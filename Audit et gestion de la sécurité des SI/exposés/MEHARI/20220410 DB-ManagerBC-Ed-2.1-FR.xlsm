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028" codeName="{AE6600E7-7A62-396C-DE95-9942FA9DD81E}"/>
  <workbookPr updateLinks="never" codeName="ThisWorkbook"/>
  <mc:AlternateContent xmlns:mc="http://schemas.openxmlformats.org/markup-compatibility/2006">
    <mc:Choice Requires="x15">
      <x15ac:absPath xmlns:x15ac="http://schemas.microsoft.com/office/spreadsheetml/2010/11/ac" url="E:\Travail\Clusif\GT_Méhari\Manager-BCE\"/>
    </mc:Choice>
  </mc:AlternateContent>
  <xr:revisionPtr revIDLastSave="0" documentId="13_ncr:1_{EF4DEA27-D99F-454B-9A28-21A20191B9A6}" xr6:coauthVersionLast="47" xr6:coauthVersionMax="47" xr10:uidLastSave="{00000000-0000-0000-0000-000000000000}"/>
  <bookViews>
    <workbookView showSheetTabs="0" xWindow="-108" yWindow="-108" windowWidth="23256" windowHeight="12456" tabRatio="669" firstSheet="1" activeTab="2" xr2:uid="{00000000-000D-0000-FFFF-FFFF00000000}"/>
  </bookViews>
  <sheets>
    <sheet name="Corr_Services" sheetId="75" state="hidden" r:id="rId1"/>
    <sheet name="ADMIN" sheetId="103" r:id="rId2"/>
    <sheet name="Accueil" sheetId="96" r:id="rId3"/>
    <sheet name="Licence" sheetId="97" r:id="rId4"/>
    <sheet name="Présentation" sheetId="95" r:id="rId5"/>
    <sheet name="Actifs_primaires" sheetId="82" r:id="rId6"/>
    <sheet name="Actifs_support" sheetId="86" r:id="rId7"/>
    <sheet name="Dommages" sheetId="94" r:id="rId8"/>
    <sheet name="Expo" sheetId="89" r:id="rId9"/>
    <sheet name="Scénarios" sheetId="88" r:id="rId10"/>
    <sheet name="Ana_risk" sheetId="84" r:id="rId11"/>
    <sheet name="Vis_risk" sheetId="100" r:id="rId12"/>
    <sheet name="Fic_Risk" sheetId="98" r:id="rId13"/>
    <sheet name="Panorama" sheetId="102" r:id="rId14"/>
    <sheet name="Fonctions" sheetId="92" r:id="rId15"/>
    <sheet name="Param" sheetId="85" state="hidden" r:id="rId16"/>
    <sheet name="Tab_sel" sheetId="99" state="hidden" r:id="rId17"/>
    <sheet name="Tab_X" sheetId="87" state="hidden" r:id="rId18"/>
    <sheet name="Tab_PE" sheetId="101" state="hidden" r:id="rId19"/>
    <sheet name="Gravité" sheetId="90" r:id="rId20"/>
    <sheet name="Grilles_IP" sheetId="91" r:id="rId21"/>
  </sheets>
  <functionGroups builtInGroupCount="19"/>
  <externalReferences>
    <externalReference r:id="rId22"/>
    <externalReference r:id="rId23"/>
  </externalReferences>
  <definedNames>
    <definedName name="_xlnm._FilterDatabase" localSheetId="12">Fic_Risk!$S$4:$BA$9</definedName>
    <definedName name="_xlnm._FilterDatabase" localSheetId="13">Panorama!#REF!</definedName>
    <definedName name="_xlnm._FilterDatabase" localSheetId="9" hidden="1">Scénarios!$E$1:$F$240</definedName>
    <definedName name="Actif_support_à_sélectionner">OFFSET(Tab_sel!$M$31,,,COUNTA(Tab_sel!$M$31:$M$36)-COUNTIF(Tab_sel!$M$31:$M$36," "))</definedName>
    <definedName name="Actifs_à_sélectionner">OFFSET(Tab_sel!$M$7,,,COUNTA(Tab_sel!$M$7:$M$18)-COUNTIF(Tab_sel!$M$7:$M$18," "))</definedName>
    <definedName name="Actifs_P">Actifs_primaires!$D$5:$I$16</definedName>
    <definedName name="Altd">Dommages!$E$11</definedName>
    <definedName name="Altf">Dommages!$E$12</definedName>
    <definedName name="Arc">Actifs_primaires!$D$9</definedName>
    <definedName name="base_g">Gravité!$D$6:$G$9</definedName>
    <definedName name="base_i">Grilles_IP!$D$7:$AB$43</definedName>
    <definedName name="base_p">Grilles_IP!$D$54:$AB$79</definedName>
    <definedName name="CelScenDAP">Scénarios!$B$6</definedName>
    <definedName name="Cep">Actifs_primaires!$D$8</definedName>
    <definedName name="Cfg">Actifs_support!$D$11</definedName>
    <definedName name="Circonstance_à_sélectionner">OFFSET(Tab_sel!$M$77,,,COUNTA(Tab_sel!$M$77:$M$82)-COUNTIF(Tab_sel!$M$77:$M$82," "))</definedName>
    <definedName name="Codderscen">Scénarios!$B$232</definedName>
    <definedName name="Coe">Actifs_support!$D$6</definedName>
    <definedName name="Comment_Arisk">Ana_risk!$B$2</definedName>
    <definedName name="Comment_Arisk_fus">Fic_Risk!B1:B2</definedName>
    <definedName name="Cop">Actifs_support!$D$9</definedName>
    <definedName name="Crfx">Dommages!$E$14</definedName>
    <definedName name="Dap">Actifs_primaires!$D$5</definedName>
    <definedName name="Dbu">Actifs_primaires!$D$6</definedName>
    <definedName name="Dec_et_Pac">Param!$A$31:$A$36</definedName>
    <definedName name="Det">Actifs_support!$D$5</definedName>
    <definedName name="Dex">Actifs_primaires!$D$11</definedName>
    <definedName name="Disp">Dommages!$E$6</definedName>
    <definedName name="Dive">Dommages!$E$15</definedName>
    <definedName name="Doc">Actifs_support!$D$8</definedName>
    <definedName name="Dommage_à_sélectionner">OFFSET(Tab_sel!$M$40,,,COUNTA(Tab_sel!$M$40:$M$45)-COUNTIF(Tab_sel!$M$40:$M$45," "))</definedName>
    <definedName name="Dpu">Actifs_primaires!$D$10</definedName>
    <definedName name="Dysf">Actifs_primaires!$D$3</definedName>
    <definedName name="Effic">Tab_sel!$I$97</definedName>
    <definedName name="Endl">Dommages!$E$8</definedName>
    <definedName name="Endp">Dommages!$E$7</definedName>
    <definedName name="Eni">Actifs_support!$D$7</definedName>
    <definedName name="Env">Actifs_support!$D$13</definedName>
    <definedName name="Equ">Actifs_support!$D$12</definedName>
    <definedName name="Erreur1">Tab_sel!$Q$8</definedName>
    <definedName name="Erreur10">Tab_sel!$P$63</definedName>
    <definedName name="Erreur2">Tab_sel!$Q$9</definedName>
    <definedName name="Erreur3">Tab_sel!$P$25</definedName>
    <definedName name="Erreur4">Tab_sel!$P$26</definedName>
    <definedName name="Erreur5">Tab_sel!$P$32</definedName>
    <definedName name="Erreur6">Tab_sel!$P$33</definedName>
    <definedName name="Erreur7">Tab_sel!$P$41</definedName>
    <definedName name="Erreur8">Tab_sel!$P$42</definedName>
    <definedName name="Erreur9">Tab_sel!$P$62</definedName>
    <definedName name="Far_anal_globdet">Ana_risk!$D$23</definedName>
    <definedName name="FAR_b">Ana_risk!$C$8</definedName>
    <definedName name="FAR_b_fus">Ana_risk!$C$8:$D$8</definedName>
    <definedName name="FAR_c">Ana_risk!$C$10</definedName>
    <definedName name="Far_c_fus">Ana_risk!$C$10:$D10</definedName>
    <definedName name="FAR_Com">Ana_risk!$C$95</definedName>
    <definedName name="Far_Com_fus">Ana_risk!$C$95:$D$95</definedName>
    <definedName name="FAR_d">Ana_risk!$C$12</definedName>
    <definedName name="Far_d_fus">Ana_risk!$C$12:$D12</definedName>
    <definedName name="FAR_Dec">Ana_risk!$C$91</definedName>
    <definedName name="Far_Dec_fus">Ana_risk!$C$91:$D$91</definedName>
    <definedName name="FAR_e">Ana_risk!$C$17</definedName>
    <definedName name="Far_e_fus">Ana_risk!$C$17:$D$17</definedName>
    <definedName name="FAR_f">Ana_risk!$C$19</definedName>
    <definedName name="Far_f_fus">Ana_risk!$C$19:$D$19</definedName>
    <definedName name="FAR_Gi">Ana_risk!$C$30</definedName>
    <definedName name="FAR_Gr">Ana_risk!$C$86</definedName>
    <definedName name="Far_h">Ana_risk!$C$25</definedName>
    <definedName name="Far_h_fus">Ana_risk!$C$25:$D$25</definedName>
    <definedName name="FAR_Ii">Ana_risk!$C$14</definedName>
    <definedName name="FAR_Ii_perso">Ana_risk!$C$15</definedName>
    <definedName name="FAR_Ir">Ana_risk!$C$82</definedName>
    <definedName name="FAR_Ir_perso">Ana_risk!$C$83</definedName>
    <definedName name="FAR_Mes_Conf_Desc">Ana_risk!$C$70</definedName>
    <definedName name="Far_Mes_Conf_Desc_fus">Ana_risk!$C$70:$D$70</definedName>
    <definedName name="FAR_Mes_Conf_Niv">Ana_risk!$C$67</definedName>
    <definedName name="Far_Mes_Conf_Niv_fus">Ana_risk!$C$67:$D$67</definedName>
    <definedName name="FAR_Mes_Diss_Desc">Ana_risk!$C$44</definedName>
    <definedName name="Far_Mes_Diss_Desc_fus">Ana_risk!$C$44:$D$44</definedName>
    <definedName name="FAR_Mes_Diss_Niv">Ana_risk!$C$41</definedName>
    <definedName name="Far_Mes_Diss_Niv_fus">Ana_risk!$C$41:$D$41</definedName>
    <definedName name="Far_Mes_Pall_Desc">Ana_risk!$C$80</definedName>
    <definedName name="Far_Mes_Pall_Desc_fus">Ana_risk!$C$80:$D$80</definedName>
    <definedName name="FAR_Mes_Pall_Niv">Ana_risk!$C$77</definedName>
    <definedName name="Far_Mes_Pall_Niv_fus">Ana_risk!$C$77:$D$77</definedName>
    <definedName name="FAR_Mes_Prev_Desc">Ana_risk!$C$54</definedName>
    <definedName name="Far_Mes_Prev_Desc_fus">Ana_risk!$C$54:$D$54</definedName>
    <definedName name="FAR_Mes_Prev_Niv">Ana_risk!$C$51</definedName>
    <definedName name="Far_Mes_Prev_Niv_fus">Ana_risk!$C$51:$D$51</definedName>
    <definedName name="FAR_Pi">Ana_risk!$C$27</definedName>
    <definedName name="FAR_Pi_perso">Ana_risk!$C$28</definedName>
    <definedName name="FAR_Pr">Ana_risk!$C$56</definedName>
    <definedName name="FAR_Pr_perso">Ana_risk!$C$57</definedName>
    <definedName name="Fic">Actifs_support!$D$4</definedName>
    <definedName name="Ia">Scénarios!$AP$5</definedName>
    <definedName name="Ie">Scénarios!$AQ$5</definedName>
    <definedName name="Iei">Actifs_primaires!$D$7</definedName>
    <definedName name="Ig">Scénarios!$AO$5</definedName>
    <definedName name="Ii">Scénarios!$AT$5</definedName>
    <definedName name="Iml">Actifs_support!$D$15</definedName>
    <definedName name="Inac">Dommages!$E$5</definedName>
    <definedName name="Inco">Dommages!$E$13</definedName>
    <definedName name="IndA">Tab_sel!$I$90</definedName>
    <definedName name="IndF">Tab_sel!$I$93</definedName>
    <definedName name="IndG">Param!$F$1</definedName>
    <definedName name="IndI">Tab_sel!$I$91</definedName>
    <definedName name="IndModGD">Tab_sel!$I$100</definedName>
    <definedName name="IndQok">Tab_sel!$I$106</definedName>
    <definedName name="IndR">Tab_sel!$I$87</definedName>
    <definedName name="Indrepyes">Tab_sel!$I$109</definedName>
    <definedName name="IndS">Tab_sel!$I$2</definedName>
    <definedName name="IndSret">Tab_sel!$I$88</definedName>
    <definedName name="Inex">Dommages!$E$10</definedName>
    <definedName name="Inop">Dommages!$E$9</definedName>
    <definedName name="Ir">Scénarios!$AR$5</definedName>
    <definedName name="Isd">Scénarios!$AU$5</definedName>
    <definedName name="It">Scénarios!$AS$5</definedName>
    <definedName name="Ligne_du_scénario">Tab_sel!$C$67</definedName>
    <definedName name="Med">Actifs_support!$D$7</definedName>
    <definedName name="Mes">Actifs_support!$D$5</definedName>
    <definedName name="Mes_Conf_à_sélectionner">Param!$A$17:$A$21</definedName>
    <definedName name="Mes_Diss_à_sélectionner">Param!$A$3:$A$7</definedName>
    <definedName name="Mes_Pall_à_sélectionner">Param!$A$24:$A$28</definedName>
    <definedName name="Mes_Prev_à_sélectionner">Param!$A$10:$A$14</definedName>
    <definedName name="Mesures">Scénarios!$CG$1:$CJ$233</definedName>
    <definedName name="Msa">Actifs_support!$D$10</definedName>
    <definedName name="msg">Param!$B$156</definedName>
    <definedName name="msgact1">Param!$B$122</definedName>
    <definedName name="msgact10">Param!$B$131</definedName>
    <definedName name="msgact11">Param!$B$132</definedName>
    <definedName name="msgact12">Param!$B$133</definedName>
    <definedName name="msgact13">Param!$B$134</definedName>
    <definedName name="msgact14">Param!$B$135</definedName>
    <definedName name="msgact15">Param!$B$136</definedName>
    <definedName name="msgact16">Param!$B$137</definedName>
    <definedName name="msgact17">Param!$B$138</definedName>
    <definedName name="msgact18">Param!$B$139</definedName>
    <definedName name="msgact2">Param!$B$123</definedName>
    <definedName name="msgact3">Param!$B$124</definedName>
    <definedName name="msgact4">Param!$B$125</definedName>
    <definedName name="msgact5">Param!$B$126</definedName>
    <definedName name="msgact6">Param!$B$127</definedName>
    <definedName name="msgact7">Param!$B$128</definedName>
    <definedName name="msgact8">Param!$B$129</definedName>
    <definedName name="msgact9">Param!$B$130</definedName>
    <definedName name="msgcsq1">Param!$B$140</definedName>
    <definedName name="msgcsq2">Param!$B$141</definedName>
    <definedName name="msgcsq3">Param!$B$142</definedName>
    <definedName name="msgcsq4">Param!$B$143</definedName>
    <definedName name="msgcsq5">Param!$B$144</definedName>
    <definedName name="msgq1">Param!$B$145</definedName>
    <definedName name="msgq2">Param!$B$146</definedName>
    <definedName name="msgq3">Param!$B$147</definedName>
    <definedName name="msgq4">Param!$B$148</definedName>
    <definedName name="msgq5">Param!$B$149</definedName>
    <definedName name="msgq6">Param!$B$150</definedName>
    <definedName name="msgq7">Param!$B$151</definedName>
    <definedName name="Msl">Actifs_support!$D$14</definedName>
    <definedName name="Napp">Dommages!$E$16</definedName>
    <definedName name="NbAV">Scénarios!$CC$235</definedName>
    <definedName name="Pgc">Actifs_primaires!$D$15</definedName>
    <definedName name="Pgd">Actifs_primaires!$D$16</definedName>
    <definedName name="Pro">Actifs_support!$D$16</definedName>
    <definedName name="Retab">Gravité!$R$11</definedName>
    <definedName name="RetD">Param!$B$154</definedName>
    <definedName name="RetIP">Grilles_IP!$BY$1</definedName>
    <definedName name="Sap">Actifs_primaires!$D$12</definedName>
    <definedName name="Scen">Scénarios!$B$6:$M$232</definedName>
    <definedName name="Sel_GD">Tab_sel!$I$94</definedName>
    <definedName name="Sel_ID_risk">Tab_sel!$C$69</definedName>
    <definedName name="Sel_Num_ActP">Tab_sel!$O$7</definedName>
    <definedName name="Sel_Num_Dice">Tab_sel!$O$25</definedName>
    <definedName name="Sel_Num_event">Tab_sel!$O$61</definedName>
    <definedName name="Sel_Num_Expo">Tab_sel!$J$68</definedName>
    <definedName name="Sex">Actifs_primaires!$D$13</definedName>
    <definedName name="Spu">Actifs_primaires!$D$14</definedName>
    <definedName name="Tab_ActP">Actifs_primaires!$C$5:$I$16</definedName>
    <definedName name="Tab_ActS">Actifs_support!$D$4:$E$16</definedName>
    <definedName name="Tab_ad_dom">Tab_X!$B$29:$G$41</definedName>
    <definedName name="Tab_base_scen">Scénarios!$B$6:$M$232</definedName>
    <definedName name="Tab_cod_event">Tab_sel!$B$61:$B$65</definedName>
    <definedName name="Tab_conf">Param!$A$16:$C$21</definedName>
    <definedName name="Tab_DIC">Param!$F$6:$K$19</definedName>
    <definedName name="Tab_diss">Param!$A$2:$C$7</definedName>
    <definedName name="Tab_dom">Tab_X!$A$15:$BC$23</definedName>
    <definedName name="Tab_fonct">Param!$A$67:$B$115</definedName>
    <definedName name="Tab_nb_event">Tab_X!$A$62:$BC$100</definedName>
    <definedName name="Tab_pall">Param!$A$23:$C$28</definedName>
    <definedName name="Tab_prev">Param!$A$9:A$14</definedName>
    <definedName name="Tab_scen">Tab_X!$A$49:$BC$54</definedName>
    <definedName name="Tab_scen_GD">Scénarios!$BA$7:$BA$232</definedName>
    <definedName name="Tab_scen_invalid">Scénarios!$AK$7:$AK$232</definedName>
    <definedName name="Tab_scen_trait">Scénarios!$AV$7:$AV$232</definedName>
    <definedName name="Tab_SDom">Dommages!$E$5:$G$16</definedName>
    <definedName name="Tab_sel_event">Tab_sel!$H$53:$I$57</definedName>
    <definedName name="Tabexpo">Expo!$D$4:$M$35</definedName>
    <definedName name="TabPS">Tab_X!$A$4:$M$10</definedName>
    <definedName name="Tabscenanal">Tab_sel!$H$7:$K$18</definedName>
    <definedName name="Tclassif">Actifs_primaires!$F$5:$I$16</definedName>
    <definedName name="Tscensel">Scénarios!$BD$7:$BD$232</definedName>
    <definedName name="Type_analyse_scénario">Tab_sel!$B$73:$B$74</definedName>
    <definedName name="Type_d_événement_à_sélectionner" localSheetId="18">OFFSET([1]Tab_sel!$M$54,,,COUNTA([1]Tab_sel!$M$54:$M$58)-COUNTIF([1]Tab_sel!$M$54:$M$58," "))</definedName>
    <definedName name="Type_d_événement_à_sélectionner">OFFSET(Tab_sel!$M$61,,,COUNTA(Tab_sel!$M$61:$M$65)-COUNTIF(Tab_sel!$M$61:$M$65," "))</definedName>
    <definedName name="Type_de_conséquence_à_sélectionner" localSheetId="18">OFFSET([1]Tab_sel!$M$24,,,COUNTA([1]Tab_sel!$M$24:$M$27)-COUNTIF([1]Tab_sel!$M$24:$M$27," "))</definedName>
    <definedName name="Type_de_conséquence_à_sélectionner">OFFSET(Tab_sel!$M$24,,,COUNTA(Tab_sel!$M$24:$M$27)-COUNTIF(Tab_sel!$M$24:$M$27," "))</definedName>
    <definedName name="VAR_b_fus" localSheetId="11">Vis_risk!$C$8:$D$8</definedName>
    <definedName name="VAR_c_fus" localSheetId="11">Vis_risk!$C$10:$D$10</definedName>
    <definedName name="VAR_Com_fus" localSheetId="11">Vis_risk!$C$93:$D$93</definedName>
    <definedName name="VAR_d_fus" localSheetId="11">Vis_risk!$C$12:$D$12</definedName>
    <definedName name="VAR_Dec_fus" localSheetId="11">Vis_risk!$C$89:$D$89</definedName>
    <definedName name="Var_e_fus">Vis_risk!$C$17:$D$17</definedName>
    <definedName name="Var_ex_conf">Vis_risk!$C$62:$D$62</definedName>
    <definedName name="Var_ex_diss">Vis_risk!$C$37:$D$37</definedName>
    <definedName name="Var_ex_pall">Vis_risk!$C$72:$D$72</definedName>
    <definedName name="Var_ex_prev">Vis_risk!$C$46:$D$46</definedName>
    <definedName name="VAR_g_fus" localSheetId="11">Vis_risk!$C$19:$D$19</definedName>
    <definedName name="VAR_Gi" localSheetId="11">Vis_risk!$C$28</definedName>
    <definedName name="VAR_Gr" localSheetId="11">Vis_risk!$C$84</definedName>
    <definedName name="Var_h_fus">Vis_risk!$C$23:$D$23</definedName>
    <definedName name="VAR_Ii" localSheetId="11">Vis_risk!$C$14</definedName>
    <definedName name="VAR_Ii_perso" localSheetId="11">Vis_risk!$C$15</definedName>
    <definedName name="VAR_Ir" localSheetId="11">Vis_risk!$C$80</definedName>
    <definedName name="VAR_Ir_perso" localSheetId="11">Vis_risk!$C$81</definedName>
    <definedName name="VAR_Mes_Conf_Desc_fus" localSheetId="11">Vis_risk!$C$68:$D$68</definedName>
    <definedName name="VAR_Mes_Conf_Niv_fus" localSheetId="11">Vis_risk!$C$65:$D$65</definedName>
    <definedName name="VAR_Mes_Diss_Desc_fus" localSheetId="11">Vis_risk!$C$42:$D$42</definedName>
    <definedName name="VAR_Mes_Diss_Niv_fus" localSheetId="11">Vis_risk!$C$39:$D$39</definedName>
    <definedName name="VAR_Mes_Pall_Desc" localSheetId="11">Vis_risk!$C$78</definedName>
    <definedName name="VAR_Mes_Pall_Desc_fus">Vis_risk!$C$78:$D$78</definedName>
    <definedName name="VAR_Mes_Pall_Niv_fus" localSheetId="11">Vis_risk!$C$75:$D$75</definedName>
    <definedName name="VAR_Mes_Prev_Desc_fus" localSheetId="11">Vis_risk!$C$52:$D$52</definedName>
    <definedName name="VAR_Mes_Prev_Niv_fus" localSheetId="11">Vis_risk!$C$49:$D$49</definedName>
    <definedName name="Var_Num_risk">Vis_risk!$E$2</definedName>
    <definedName name="VAR_Pi" localSheetId="11">Vis_risk!$C$25</definedName>
    <definedName name="VAR_Pi_perso" localSheetId="11">Vis_risk!$C$26</definedName>
    <definedName name="VAR_Pr" localSheetId="11">Vis_risk!$C$54</definedName>
    <definedName name="VAR_Pr_perso" localSheetId="11">Vis_risk!$C$55</definedName>
    <definedName name="Var_typ_scen">Vis_risk!$B$21:$D$21</definedName>
    <definedName name="_xlnm.Print_Area" localSheetId="5">Actifs_primaires!$B$2:$I$16</definedName>
    <definedName name="_xlnm.Print_Area" localSheetId="6">Actifs_support!$B$2:$E$16</definedName>
    <definedName name="_xlnm.Print_Area" localSheetId="10">Ana_risk!$A$2:$E$96</definedName>
    <definedName name="_xlnm.Print_Area" localSheetId="7">Dommages!$B$2:$G$16</definedName>
    <definedName name="_xlnm.Print_Area" localSheetId="13">Panorama!$A$1:$O$20</definedName>
    <definedName name="_xlnm.Print_Area" localSheetId="11">Vis_risk!$A$2:$E$94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1" i="89" l="1"/>
  <c r="BB54" i="88"/>
  <c r="BB115" i="88"/>
  <c r="BB128" i="88"/>
  <c r="AZ8" i="88"/>
  <c r="AZ9" i="88"/>
  <c r="AZ10" i="88"/>
  <c r="AZ11" i="88"/>
  <c r="AZ12" i="88"/>
  <c r="AZ13" i="88"/>
  <c r="AZ14" i="88"/>
  <c r="AZ15" i="88"/>
  <c r="AZ16" i="88"/>
  <c r="AZ17" i="88"/>
  <c r="AZ18" i="88"/>
  <c r="AZ19" i="88"/>
  <c r="AZ20" i="88"/>
  <c r="AZ21" i="88"/>
  <c r="AZ22" i="88"/>
  <c r="AZ23" i="88"/>
  <c r="AZ24" i="88"/>
  <c r="AZ25" i="88"/>
  <c r="AZ26" i="88"/>
  <c r="AZ27" i="88"/>
  <c r="AZ28" i="88"/>
  <c r="AZ29" i="88"/>
  <c r="AZ30" i="88"/>
  <c r="AZ31" i="88"/>
  <c r="AZ32" i="88"/>
  <c r="AZ33" i="88"/>
  <c r="AZ34" i="88"/>
  <c r="AZ35" i="88"/>
  <c r="AZ36" i="88"/>
  <c r="AZ37" i="88"/>
  <c r="AZ38" i="88"/>
  <c r="AZ39" i="88"/>
  <c r="AZ40" i="88"/>
  <c r="AZ41" i="88"/>
  <c r="AZ42" i="88"/>
  <c r="AZ43" i="88"/>
  <c r="AZ44" i="88"/>
  <c r="AZ45" i="88"/>
  <c r="AZ46" i="88"/>
  <c r="AZ47" i="88"/>
  <c r="AZ48" i="88"/>
  <c r="AZ49" i="88"/>
  <c r="AZ50" i="88"/>
  <c r="AZ51" i="88"/>
  <c r="AZ52" i="88"/>
  <c r="AZ53" i="88"/>
  <c r="AZ55" i="88"/>
  <c r="AZ56" i="88"/>
  <c r="AZ57" i="88"/>
  <c r="AZ58" i="88"/>
  <c r="AZ59" i="88"/>
  <c r="AZ60" i="88"/>
  <c r="AZ61" i="88"/>
  <c r="AZ62" i="88"/>
  <c r="AZ63" i="88"/>
  <c r="AZ64" i="88"/>
  <c r="AZ65" i="88"/>
  <c r="AZ66" i="88"/>
  <c r="AZ67" i="88"/>
  <c r="AZ68" i="88"/>
  <c r="AZ69" i="88"/>
  <c r="AZ70" i="88"/>
  <c r="AZ71" i="88"/>
  <c r="AZ72" i="88"/>
  <c r="AZ73" i="88"/>
  <c r="AZ74" i="88"/>
  <c r="AZ75" i="88"/>
  <c r="AZ76" i="88"/>
  <c r="AZ77" i="88"/>
  <c r="AZ78" i="88"/>
  <c r="AZ79" i="88"/>
  <c r="AZ80" i="88"/>
  <c r="AZ81" i="88"/>
  <c r="AZ82" i="88"/>
  <c r="AZ83" i="88"/>
  <c r="AZ84" i="88"/>
  <c r="AZ85" i="88"/>
  <c r="AZ86" i="88"/>
  <c r="AZ87" i="88"/>
  <c r="AZ88" i="88"/>
  <c r="AZ89" i="88"/>
  <c r="AZ90" i="88"/>
  <c r="AZ91" i="88"/>
  <c r="AZ92" i="88"/>
  <c r="AZ93" i="88"/>
  <c r="AZ94" i="88"/>
  <c r="AZ95" i="88"/>
  <c r="AZ96" i="88"/>
  <c r="AZ97" i="88"/>
  <c r="AZ98" i="88"/>
  <c r="AZ99" i="88"/>
  <c r="AZ100" i="88"/>
  <c r="AZ102" i="88"/>
  <c r="AZ103" i="88"/>
  <c r="AZ104" i="88"/>
  <c r="AZ105" i="88"/>
  <c r="AZ106" i="88"/>
  <c r="AZ107" i="88"/>
  <c r="AZ108" i="88"/>
  <c r="AZ109" i="88"/>
  <c r="AZ110" i="88"/>
  <c r="AZ111" i="88"/>
  <c r="AZ112" i="88"/>
  <c r="AZ113" i="88"/>
  <c r="AZ114" i="88"/>
  <c r="AZ116" i="88"/>
  <c r="AZ117" i="88"/>
  <c r="AZ118" i="88"/>
  <c r="AZ119" i="88"/>
  <c r="AZ120" i="88"/>
  <c r="AZ121" i="88"/>
  <c r="AZ122" i="88"/>
  <c r="AZ123" i="88"/>
  <c r="AZ124" i="88"/>
  <c r="AZ125" i="88"/>
  <c r="AZ126" i="88"/>
  <c r="AZ127" i="88"/>
  <c r="AZ129" i="88"/>
  <c r="AZ130" i="88"/>
  <c r="AZ131" i="88"/>
  <c r="AZ132" i="88"/>
  <c r="AZ133" i="88"/>
  <c r="AZ134" i="88"/>
  <c r="AZ135" i="88"/>
  <c r="AZ136" i="88"/>
  <c r="AZ137" i="88"/>
  <c r="AZ138" i="88"/>
  <c r="AZ139" i="88"/>
  <c r="AZ140" i="88"/>
  <c r="AZ142" i="88"/>
  <c r="AZ143" i="88"/>
  <c r="AZ144" i="88"/>
  <c r="AZ145" i="88"/>
  <c r="AZ147" i="88"/>
  <c r="AZ148" i="88"/>
  <c r="AZ149" i="88"/>
  <c r="AZ150" i="88"/>
  <c r="AZ151" i="88"/>
  <c r="AZ152" i="88"/>
  <c r="AZ153" i="88"/>
  <c r="AZ154" i="88"/>
  <c r="AZ155" i="88"/>
  <c r="AZ156" i="88"/>
  <c r="AZ157" i="88"/>
  <c r="AZ159" i="88"/>
  <c r="AZ160" i="88"/>
  <c r="AZ161" i="88"/>
  <c r="AZ162" i="88"/>
  <c r="AZ163" i="88"/>
  <c r="AZ164" i="88"/>
  <c r="AZ165" i="88"/>
  <c r="AZ166" i="88"/>
  <c r="AZ167" i="88"/>
  <c r="AZ168" i="88"/>
  <c r="AZ169" i="88"/>
  <c r="AZ170" i="88"/>
  <c r="AZ171" i="88"/>
  <c r="AZ172" i="88"/>
  <c r="AZ173" i="88"/>
  <c r="AZ174" i="88"/>
  <c r="AZ175" i="88"/>
  <c r="AZ176" i="88"/>
  <c r="AZ177" i="88"/>
  <c r="AZ178" i="88"/>
  <c r="AZ179" i="88"/>
  <c r="AZ180" i="88"/>
  <c r="AZ181" i="88"/>
  <c r="AZ182" i="88"/>
  <c r="AZ183" i="88"/>
  <c r="AZ184" i="88"/>
  <c r="AZ185" i="88"/>
  <c r="AZ186" i="88"/>
  <c r="AZ187" i="88"/>
  <c r="AZ188" i="88"/>
  <c r="AZ189" i="88"/>
  <c r="AZ190" i="88"/>
  <c r="AZ191" i="88"/>
  <c r="AZ192" i="88"/>
  <c r="AZ193" i="88"/>
  <c r="AZ194" i="88"/>
  <c r="AZ195" i="88"/>
  <c r="AZ196" i="88"/>
  <c r="AZ197" i="88"/>
  <c r="AZ198" i="88"/>
  <c r="AZ199" i="88"/>
  <c r="AZ200" i="88"/>
  <c r="AZ201" i="88"/>
  <c r="AZ202" i="88"/>
  <c r="AZ203" i="88"/>
  <c r="AZ204" i="88"/>
  <c r="AZ205" i="88"/>
  <c r="AZ206" i="88"/>
  <c r="AZ207" i="88"/>
  <c r="AZ208" i="88"/>
  <c r="AZ209" i="88"/>
  <c r="AZ210" i="88"/>
  <c r="AZ211" i="88"/>
  <c r="AZ212" i="88"/>
  <c r="AZ213" i="88"/>
  <c r="AZ214" i="88"/>
  <c r="AZ216" i="88"/>
  <c r="AZ217" i="88"/>
  <c r="AZ218" i="88"/>
  <c r="AZ220" i="88"/>
  <c r="AZ221" i="88"/>
  <c r="AZ222" i="88"/>
  <c r="AZ223" i="88"/>
  <c r="AZ224" i="88"/>
  <c r="AZ226" i="88"/>
  <c r="AZ227" i="88"/>
  <c r="AZ228" i="88"/>
  <c r="AZ230" i="88"/>
  <c r="AZ231" i="88"/>
  <c r="AZ232" i="88"/>
  <c r="AZ7" i="88"/>
  <c r="AB19" i="87" l="1"/>
  <c r="B40" i="87"/>
  <c r="B39" i="87"/>
  <c r="F130" i="88"/>
  <c r="Q16" i="82" l="1"/>
  <c r="Q15" i="82"/>
  <c r="Q13" i="82" l="1"/>
  <c r="Q14" i="82"/>
  <c r="Q12" i="82"/>
  <c r="Q11" i="82"/>
  <c r="Q10" i="82"/>
  <c r="Q9" i="82"/>
  <c r="Q8" i="82"/>
  <c r="Q7" i="82"/>
  <c r="Q6" i="82"/>
  <c r="Q5" i="82"/>
  <c r="Q18" i="82" l="1"/>
  <c r="D26" i="100"/>
  <c r="D25" i="100"/>
  <c r="D14" i="100"/>
  <c r="D15" i="100"/>
  <c r="H20" i="89" l="1"/>
  <c r="H15" i="89"/>
  <c r="H16" i="89"/>
  <c r="CE103" i="88" l="1"/>
  <c r="CD103" i="88"/>
  <c r="CC103" i="88"/>
  <c r="AW103" i="88"/>
  <c r="AI103" i="88"/>
  <c r="F103" i="88"/>
  <c r="AY103" i="88" s="1"/>
  <c r="E103" i="88"/>
  <c r="AX103" i="88" s="1"/>
  <c r="BB103" i="88" l="1"/>
  <c r="BC103" i="88" s="1"/>
  <c r="M94" i="99" l="1"/>
  <c r="C146" i="88"/>
  <c r="F222" i="88"/>
  <c r="AY222" i="88" s="1"/>
  <c r="F223" i="88"/>
  <c r="AY223" i="88" s="1"/>
  <c r="F224" i="88"/>
  <c r="F214" i="88"/>
  <c r="F208" i="88"/>
  <c r="AY208" i="88" s="1"/>
  <c r="F209" i="88"/>
  <c r="AY209" i="88" s="1"/>
  <c r="F210" i="88"/>
  <c r="F211" i="88"/>
  <c r="AY211" i="88" s="1"/>
  <c r="F212" i="88"/>
  <c r="AY212" i="88" s="1"/>
  <c r="F213" i="88"/>
  <c r="AY213" i="88" s="1"/>
  <c r="F205" i="88"/>
  <c r="F206" i="88"/>
  <c r="F200" i="88"/>
  <c r="AY200" i="88" s="1"/>
  <c r="F201" i="88"/>
  <c r="F202" i="88"/>
  <c r="F203" i="88"/>
  <c r="F204" i="88"/>
  <c r="F197" i="88"/>
  <c r="AY197" i="88" s="1"/>
  <c r="F198" i="88"/>
  <c r="F192" i="88"/>
  <c r="F193" i="88"/>
  <c r="AY193" i="88" s="1"/>
  <c r="F194" i="88"/>
  <c r="F195" i="88"/>
  <c r="AY195" i="88" s="1"/>
  <c r="F179" i="88"/>
  <c r="F180" i="88"/>
  <c r="AY180" i="88" s="1"/>
  <c r="F171" i="88"/>
  <c r="AY171" i="88" s="1"/>
  <c r="F172" i="88"/>
  <c r="F173" i="88"/>
  <c r="F160" i="88"/>
  <c r="AY160" i="88" s="1"/>
  <c r="F161" i="88"/>
  <c r="AY161" i="88" s="1"/>
  <c r="F153" i="88"/>
  <c r="F154" i="88"/>
  <c r="F148" i="88"/>
  <c r="AY148" i="88" s="1"/>
  <c r="F149" i="88"/>
  <c r="F150" i="88"/>
  <c r="F151" i="88"/>
  <c r="AY151" i="88" s="1"/>
  <c r="F144" i="88"/>
  <c r="AY144" i="88" s="1"/>
  <c r="F145" i="88"/>
  <c r="F138" i="88"/>
  <c r="F139" i="88"/>
  <c r="AY139" i="88" s="1"/>
  <c r="F140" i="88"/>
  <c r="AY140" i="88" s="1"/>
  <c r="F119" i="88"/>
  <c r="AY119" i="88" s="1"/>
  <c r="F120" i="88"/>
  <c r="AY120" i="88" s="1"/>
  <c r="F121" i="88"/>
  <c r="F110" i="88"/>
  <c r="F111" i="88"/>
  <c r="AY111" i="88" s="1"/>
  <c r="F112" i="88"/>
  <c r="AY112" i="88" s="1"/>
  <c r="F113" i="88"/>
  <c r="AY113" i="88" s="1"/>
  <c r="F114" i="88"/>
  <c r="F104" i="88"/>
  <c r="AY104" i="88" s="1"/>
  <c r="F105" i="88"/>
  <c r="AY105" i="88" s="1"/>
  <c r="F97" i="88"/>
  <c r="F98" i="88"/>
  <c r="F99" i="88"/>
  <c r="AY99" i="88" s="1"/>
  <c r="F100" i="88"/>
  <c r="F89" i="88"/>
  <c r="F87" i="88"/>
  <c r="AY87" i="88" s="1"/>
  <c r="F88" i="88"/>
  <c r="AY88" i="88" s="1"/>
  <c r="F84" i="88"/>
  <c r="AY84" i="88" s="1"/>
  <c r="F85" i="88"/>
  <c r="F86" i="88"/>
  <c r="AY86" i="88" s="1"/>
  <c r="F80" i="88"/>
  <c r="AY80" i="88" s="1"/>
  <c r="F81" i="88"/>
  <c r="F75" i="88"/>
  <c r="AY75" i="88" s="1"/>
  <c r="F76" i="88"/>
  <c r="F77" i="88"/>
  <c r="AY77" i="88" s="1"/>
  <c r="F68" i="88"/>
  <c r="AY68" i="88" s="1"/>
  <c r="F69" i="88"/>
  <c r="AY69" i="88" s="1"/>
  <c r="F60" i="88"/>
  <c r="AY60" i="88" s="1"/>
  <c r="F56" i="88"/>
  <c r="AY56" i="88" s="1"/>
  <c r="F57" i="88"/>
  <c r="AY57" i="88" s="1"/>
  <c r="F58" i="88"/>
  <c r="F59" i="88"/>
  <c r="AY59" i="88" s="1"/>
  <c r="F34" i="88"/>
  <c r="AY34" i="88" s="1"/>
  <c r="F35" i="88"/>
  <c r="AY35" i="88" s="1"/>
  <c r="E221" i="88"/>
  <c r="AX221" i="88" s="1"/>
  <c r="E222" i="88"/>
  <c r="AX222" i="88" s="1"/>
  <c r="E223" i="88"/>
  <c r="E224" i="88"/>
  <c r="AX224" i="88" s="1"/>
  <c r="C215" i="88"/>
  <c r="E212" i="88"/>
  <c r="AX212" i="88" s="1"/>
  <c r="E213" i="88"/>
  <c r="AX213" i="88" s="1"/>
  <c r="E214" i="88"/>
  <c r="AX214" i="88" s="1"/>
  <c r="E208" i="88"/>
  <c r="AX208" i="88" s="1"/>
  <c r="E209" i="88"/>
  <c r="E210" i="88"/>
  <c r="AX210" i="88" s="1"/>
  <c r="E206" i="88"/>
  <c r="AX206" i="88" s="1"/>
  <c r="E203" i="88"/>
  <c r="AX203" i="88" s="1"/>
  <c r="E204" i="88"/>
  <c r="E205" i="88"/>
  <c r="AX205" i="88" s="1"/>
  <c r="E200" i="88"/>
  <c r="AX200" i="88" s="1"/>
  <c r="E201" i="88"/>
  <c r="AX201" i="88" s="1"/>
  <c r="E197" i="88"/>
  <c r="E198" i="88"/>
  <c r="AX198" i="88" s="1"/>
  <c r="E192" i="88"/>
  <c r="AX192" i="88" s="1"/>
  <c r="E193" i="88"/>
  <c r="E194" i="88"/>
  <c r="E179" i="88"/>
  <c r="AX179" i="88" s="1"/>
  <c r="E180" i="88"/>
  <c r="AX180" i="88" s="1"/>
  <c r="E181" i="88"/>
  <c r="AX181" i="88" s="1"/>
  <c r="E182" i="88"/>
  <c r="E183" i="88"/>
  <c r="E184" i="88"/>
  <c r="AX184" i="88" s="1"/>
  <c r="E172" i="88"/>
  <c r="E173" i="88"/>
  <c r="E174" i="88"/>
  <c r="E175" i="88"/>
  <c r="AX175" i="88" s="1"/>
  <c r="E176" i="88"/>
  <c r="AX176" i="88" s="1"/>
  <c r="C158" i="88"/>
  <c r="E154" i="88"/>
  <c r="E148" i="88"/>
  <c r="AX148" i="88" s="1"/>
  <c r="E149" i="88"/>
  <c r="AX149" i="88" s="1"/>
  <c r="E150" i="88"/>
  <c r="E143" i="88"/>
  <c r="AX143" i="88" s="1"/>
  <c r="E144" i="88"/>
  <c r="AX144" i="88" s="1"/>
  <c r="E145" i="88"/>
  <c r="AX145" i="88" s="1"/>
  <c r="E138" i="88"/>
  <c r="E139" i="88"/>
  <c r="AX139" i="88" s="1"/>
  <c r="E130" i="88"/>
  <c r="E119" i="88"/>
  <c r="AX119" i="88" s="1"/>
  <c r="E120" i="88"/>
  <c r="AX120" i="88" s="1"/>
  <c r="E121" i="88"/>
  <c r="E109" i="88"/>
  <c r="E110" i="88"/>
  <c r="AX110" i="88" s="1"/>
  <c r="E111" i="88"/>
  <c r="AX111" i="88" s="1"/>
  <c r="E112" i="88"/>
  <c r="AX112" i="88" s="1"/>
  <c r="E113" i="88"/>
  <c r="E114" i="88"/>
  <c r="AX114" i="88" s="1"/>
  <c r="E104" i="88"/>
  <c r="E105" i="88"/>
  <c r="AX105" i="88" s="1"/>
  <c r="E106" i="88"/>
  <c r="E107" i="88"/>
  <c r="AX107" i="88" s="1"/>
  <c r="E98" i="88"/>
  <c r="AX98" i="88" s="1"/>
  <c r="E99" i="88"/>
  <c r="E100" i="88"/>
  <c r="AX100" i="88" s="1"/>
  <c r="E90" i="88"/>
  <c r="AX90" i="88" s="1"/>
  <c r="E91" i="88"/>
  <c r="E88" i="88"/>
  <c r="AX88" i="88" s="1"/>
  <c r="E89" i="88"/>
  <c r="E87" i="88"/>
  <c r="AX87" i="88" s="1"/>
  <c r="E85" i="88"/>
  <c r="AX85" i="88" s="1"/>
  <c r="E86" i="88"/>
  <c r="AX86" i="88" s="1"/>
  <c r="E84" i="88"/>
  <c r="AX84" i="88" s="1"/>
  <c r="E80" i="88"/>
  <c r="AX80" i="88" s="1"/>
  <c r="E81" i="88"/>
  <c r="AX81" i="88" s="1"/>
  <c r="E77" i="88"/>
  <c r="AX77" i="88" s="1"/>
  <c r="E78" i="88"/>
  <c r="E75" i="88"/>
  <c r="AX75" i="88" s="1"/>
  <c r="E76" i="88"/>
  <c r="AX76" i="88" s="1"/>
  <c r="E68" i="88"/>
  <c r="AX68" i="88" s="1"/>
  <c r="E69" i="88"/>
  <c r="E70" i="88"/>
  <c r="E61" i="88"/>
  <c r="E62" i="88"/>
  <c r="AX62" i="88" s="1"/>
  <c r="E63" i="88"/>
  <c r="AX63" i="88" s="1"/>
  <c r="E60" i="88"/>
  <c r="E56" i="88"/>
  <c r="AX56" i="88" s="1"/>
  <c r="E57" i="88"/>
  <c r="AX57" i="88" s="1"/>
  <c r="E58" i="88"/>
  <c r="E34" i="88"/>
  <c r="AX34" i="88" s="1"/>
  <c r="E35" i="88"/>
  <c r="AX35" i="88" s="1"/>
  <c r="AI232" i="88"/>
  <c r="AI8" i="88"/>
  <c r="AI9" i="88"/>
  <c r="AI10" i="88"/>
  <c r="AI11" i="88"/>
  <c r="AI12" i="88"/>
  <c r="AI13" i="88"/>
  <c r="AI14" i="88"/>
  <c r="AI15" i="88"/>
  <c r="AI16" i="88"/>
  <c r="AI17" i="88"/>
  <c r="AI18" i="88"/>
  <c r="AI19" i="88"/>
  <c r="AI20" i="88"/>
  <c r="AI21" i="88"/>
  <c r="AI22" i="88"/>
  <c r="AI23" i="88"/>
  <c r="AI24" i="88"/>
  <c r="AI25" i="88"/>
  <c r="AI26" i="88"/>
  <c r="AI27" i="88"/>
  <c r="AI28" i="88"/>
  <c r="AI29" i="88"/>
  <c r="AI30" i="88"/>
  <c r="AI31" i="88"/>
  <c r="AI32" i="88"/>
  <c r="AI33" i="88"/>
  <c r="AI34" i="88"/>
  <c r="AI35" i="88"/>
  <c r="AI36" i="88"/>
  <c r="AI37" i="88"/>
  <c r="AI38" i="88"/>
  <c r="AI39" i="88"/>
  <c r="AI40" i="88"/>
  <c r="AI41" i="88"/>
  <c r="AI42" i="88"/>
  <c r="AI43" i="88"/>
  <c r="AI44" i="88"/>
  <c r="AI45" i="88"/>
  <c r="AI46" i="88"/>
  <c r="AI47" i="88"/>
  <c r="AI48" i="88"/>
  <c r="AI49" i="88"/>
  <c r="AI50" i="88"/>
  <c r="AI51" i="88"/>
  <c r="AI52" i="88"/>
  <c r="AI53" i="88"/>
  <c r="AI54" i="88"/>
  <c r="AI55" i="88"/>
  <c r="AI56" i="88"/>
  <c r="AI57" i="88"/>
  <c r="AI58" i="88"/>
  <c r="AI59" i="88"/>
  <c r="AI60" i="88"/>
  <c r="AI61" i="88"/>
  <c r="AI62" i="88"/>
  <c r="AI63" i="88"/>
  <c r="AI64" i="88"/>
  <c r="AI65" i="88"/>
  <c r="AI66" i="88"/>
  <c r="AI67" i="88"/>
  <c r="AI68" i="88"/>
  <c r="AI69" i="88"/>
  <c r="AI70" i="88"/>
  <c r="AI71" i="88"/>
  <c r="AI72" i="88"/>
  <c r="AI73" i="88"/>
  <c r="AI74" i="88"/>
  <c r="AI75" i="88"/>
  <c r="AI76" i="88"/>
  <c r="AI77" i="88"/>
  <c r="AI78" i="88"/>
  <c r="AI79" i="88"/>
  <c r="AI80" i="88"/>
  <c r="AI81" i="88"/>
  <c r="AI82" i="88"/>
  <c r="AI83" i="88"/>
  <c r="AI84" i="88"/>
  <c r="AI85" i="88"/>
  <c r="AI86" i="88"/>
  <c r="AI87" i="88"/>
  <c r="AI88" i="88"/>
  <c r="AI89" i="88"/>
  <c r="AI90" i="88"/>
  <c r="AI91" i="88"/>
  <c r="AI92" i="88"/>
  <c r="AI93" i="88"/>
  <c r="AI94" i="88"/>
  <c r="AI95" i="88"/>
  <c r="AI96" i="88"/>
  <c r="AI97" i="88"/>
  <c r="AI98" i="88"/>
  <c r="AI99" i="88"/>
  <c r="AI100" i="88"/>
  <c r="AI101" i="88"/>
  <c r="AI102" i="88"/>
  <c r="AI104" i="88"/>
  <c r="AI105" i="88"/>
  <c r="AI106" i="88"/>
  <c r="AI107" i="88"/>
  <c r="AI108" i="88"/>
  <c r="AI109" i="88"/>
  <c r="AI110" i="88"/>
  <c r="AI111" i="88"/>
  <c r="AI112" i="88"/>
  <c r="AI113" i="88"/>
  <c r="AI114" i="88"/>
  <c r="AI115" i="88"/>
  <c r="AI116" i="88"/>
  <c r="AI117" i="88"/>
  <c r="AI118" i="88"/>
  <c r="AI119" i="88"/>
  <c r="AI120" i="88"/>
  <c r="AI121" i="88"/>
  <c r="AI122" i="88"/>
  <c r="AI123" i="88"/>
  <c r="AI124" i="88"/>
  <c r="AI125" i="88"/>
  <c r="AI126" i="88"/>
  <c r="AI127" i="88"/>
  <c r="AI128" i="88"/>
  <c r="AI129" i="88"/>
  <c r="AI130" i="88"/>
  <c r="AI131" i="88"/>
  <c r="AI132" i="88"/>
  <c r="AI133" i="88"/>
  <c r="AI134" i="88"/>
  <c r="AI135" i="88"/>
  <c r="AI136" i="88"/>
  <c r="AI137" i="88"/>
  <c r="AI138" i="88"/>
  <c r="AI139" i="88"/>
  <c r="AI140" i="88"/>
  <c r="AI141" i="88"/>
  <c r="AI142" i="88"/>
  <c r="AI143" i="88"/>
  <c r="AI144" i="88"/>
  <c r="AI145" i="88"/>
  <c r="AI146" i="88"/>
  <c r="AI147" i="88"/>
  <c r="AI148" i="88"/>
  <c r="AI149" i="88"/>
  <c r="AI150" i="88"/>
  <c r="AI151" i="88"/>
  <c r="AI152" i="88"/>
  <c r="AI153" i="88"/>
  <c r="AI154" i="88"/>
  <c r="AI155" i="88"/>
  <c r="AI156" i="88"/>
  <c r="AI157" i="88"/>
  <c r="AI158" i="88"/>
  <c r="AI159" i="88"/>
  <c r="AI160" i="88"/>
  <c r="AI161" i="88"/>
  <c r="AI162" i="88"/>
  <c r="AI163" i="88"/>
  <c r="AI164" i="88"/>
  <c r="AI165" i="88"/>
  <c r="AI166" i="88"/>
  <c r="AI167" i="88"/>
  <c r="AI168" i="88"/>
  <c r="AI169" i="88"/>
  <c r="AI170" i="88"/>
  <c r="AI171" i="88"/>
  <c r="AI172" i="88"/>
  <c r="AI173" i="88"/>
  <c r="AI174" i="88"/>
  <c r="AI175" i="88"/>
  <c r="AI176" i="88"/>
  <c r="AI177" i="88"/>
  <c r="AI178" i="88"/>
  <c r="AI179" i="88"/>
  <c r="AI180" i="88"/>
  <c r="AI181" i="88"/>
  <c r="AI182" i="88"/>
  <c r="AI183" i="88"/>
  <c r="AI184" i="88"/>
  <c r="AI185" i="88"/>
  <c r="AI186" i="88"/>
  <c r="AI187" i="88"/>
  <c r="AI188" i="88"/>
  <c r="AI189" i="88"/>
  <c r="AI190" i="88"/>
  <c r="AI191" i="88"/>
  <c r="AI192" i="88"/>
  <c r="AI193" i="88"/>
  <c r="AI194" i="88"/>
  <c r="AI195" i="88"/>
  <c r="AI196" i="88"/>
  <c r="AI197" i="88"/>
  <c r="AI198" i="88"/>
  <c r="AI199" i="88"/>
  <c r="AI200" i="88"/>
  <c r="AI201" i="88"/>
  <c r="AI202" i="88"/>
  <c r="AI203" i="88"/>
  <c r="AI204" i="88"/>
  <c r="AI205" i="88"/>
  <c r="AI206" i="88"/>
  <c r="AI207" i="88"/>
  <c r="AI208" i="88"/>
  <c r="AI209" i="88"/>
  <c r="AI210" i="88"/>
  <c r="AI211" i="88"/>
  <c r="AI212" i="88"/>
  <c r="AI213" i="88"/>
  <c r="AI214" i="88"/>
  <c r="AI215" i="88"/>
  <c r="AI216" i="88"/>
  <c r="AI217" i="88"/>
  <c r="AI218" i="88"/>
  <c r="AI219" i="88"/>
  <c r="AI220" i="88"/>
  <c r="AI221" i="88"/>
  <c r="AI222" i="88"/>
  <c r="AI223" i="88"/>
  <c r="AI224" i="88"/>
  <c r="AI225" i="88"/>
  <c r="AI226" i="88"/>
  <c r="AI227" i="88"/>
  <c r="AI228" i="88"/>
  <c r="AI229" i="88"/>
  <c r="AI230" i="88"/>
  <c r="AI231" i="88"/>
  <c r="BA234" i="88"/>
  <c r="AW8" i="88"/>
  <c r="CC8" i="88"/>
  <c r="CD8" i="88"/>
  <c r="CE8" i="88"/>
  <c r="AW9" i="88"/>
  <c r="CC9" i="88"/>
  <c r="CD9" i="88"/>
  <c r="CE9" i="88"/>
  <c r="AW10" i="88"/>
  <c r="CC10" i="88"/>
  <c r="CD10" i="88"/>
  <c r="CE10" i="88"/>
  <c r="AW11" i="88"/>
  <c r="CC11" i="88"/>
  <c r="CD11" i="88"/>
  <c r="CE11" i="88"/>
  <c r="AW12" i="88"/>
  <c r="CC12" i="88"/>
  <c r="CD12" i="88"/>
  <c r="CE12" i="88"/>
  <c r="AW13" i="88"/>
  <c r="CC13" i="88"/>
  <c r="CD13" i="88"/>
  <c r="CE13" i="88"/>
  <c r="AW14" i="88"/>
  <c r="CC14" i="88"/>
  <c r="CD14" i="88"/>
  <c r="CE14" i="88"/>
  <c r="AW15" i="88"/>
  <c r="CC15" i="88"/>
  <c r="CD15" i="88"/>
  <c r="CE15" i="88"/>
  <c r="AW16" i="88"/>
  <c r="CC16" i="88"/>
  <c r="CD16" i="88"/>
  <c r="CE16" i="88"/>
  <c r="AW17" i="88"/>
  <c r="CC17" i="88"/>
  <c r="CD17" i="88"/>
  <c r="CE17" i="88"/>
  <c r="AW18" i="88"/>
  <c r="CC18" i="88"/>
  <c r="CD18" i="88"/>
  <c r="CE18" i="88"/>
  <c r="AW19" i="88"/>
  <c r="CC19" i="88"/>
  <c r="CD19" i="88"/>
  <c r="CE19" i="88"/>
  <c r="AW20" i="88"/>
  <c r="CC20" i="88"/>
  <c r="CD20" i="88"/>
  <c r="CE20" i="88"/>
  <c r="AW21" i="88"/>
  <c r="CC21" i="88"/>
  <c r="CD21" i="88"/>
  <c r="CE21" i="88"/>
  <c r="AW22" i="88"/>
  <c r="CC22" i="88"/>
  <c r="CD22" i="88"/>
  <c r="CE22" i="88"/>
  <c r="AW23" i="88"/>
  <c r="CC23" i="88"/>
  <c r="CD23" i="88"/>
  <c r="CE23" i="88"/>
  <c r="AW24" i="88"/>
  <c r="CC24" i="88"/>
  <c r="CD24" i="88"/>
  <c r="CE24" i="88"/>
  <c r="AW25" i="88"/>
  <c r="CC25" i="88"/>
  <c r="CD25" i="88"/>
  <c r="CE25" i="88"/>
  <c r="AW26" i="88"/>
  <c r="CC26" i="88"/>
  <c r="CD26" i="88"/>
  <c r="CE26" i="88"/>
  <c r="AW27" i="88"/>
  <c r="CC27" i="88"/>
  <c r="CD27" i="88"/>
  <c r="CE27" i="88"/>
  <c r="AW28" i="88"/>
  <c r="CC28" i="88"/>
  <c r="CD28" i="88"/>
  <c r="CE28" i="88"/>
  <c r="AW29" i="88"/>
  <c r="CC29" i="88"/>
  <c r="CD29" i="88"/>
  <c r="CE29" i="88"/>
  <c r="AW30" i="88"/>
  <c r="CC30" i="88"/>
  <c r="CD30" i="88"/>
  <c r="CE30" i="88"/>
  <c r="AW31" i="88"/>
  <c r="CC31" i="88"/>
  <c r="CD31" i="88"/>
  <c r="CE31" i="88"/>
  <c r="AW32" i="88"/>
  <c r="CC32" i="88"/>
  <c r="CD32" i="88"/>
  <c r="CE32" i="88"/>
  <c r="AW33" i="88"/>
  <c r="CC33" i="88"/>
  <c r="CD33" i="88"/>
  <c r="CE33" i="88"/>
  <c r="AW34" i="88"/>
  <c r="CC34" i="88"/>
  <c r="CD34" i="88"/>
  <c r="CE34" i="88"/>
  <c r="AW35" i="88"/>
  <c r="CC35" i="88"/>
  <c r="CD35" i="88"/>
  <c r="CE35" i="88"/>
  <c r="AW36" i="88"/>
  <c r="CC36" i="88"/>
  <c r="CD36" i="88"/>
  <c r="CE36" i="88"/>
  <c r="AW37" i="88"/>
  <c r="CC37" i="88"/>
  <c r="CD37" i="88"/>
  <c r="CE37" i="88"/>
  <c r="AW38" i="88"/>
  <c r="CC38" i="88"/>
  <c r="CD38" i="88"/>
  <c r="CE38" i="88"/>
  <c r="AW39" i="88"/>
  <c r="CC39" i="88"/>
  <c r="CD39" i="88"/>
  <c r="CE39" i="88"/>
  <c r="AW40" i="88"/>
  <c r="CC40" i="88"/>
  <c r="CD40" i="88"/>
  <c r="CE40" i="88"/>
  <c r="AW41" i="88"/>
  <c r="CC41" i="88"/>
  <c r="CD41" i="88"/>
  <c r="CE41" i="88"/>
  <c r="AW42" i="88"/>
  <c r="CC42" i="88"/>
  <c r="CD42" i="88"/>
  <c r="CE42" i="88"/>
  <c r="AW43" i="88"/>
  <c r="CC43" i="88"/>
  <c r="CD43" i="88"/>
  <c r="CE43" i="88"/>
  <c r="AW44" i="88"/>
  <c r="CC44" i="88"/>
  <c r="CD44" i="88"/>
  <c r="CE44" i="88"/>
  <c r="AW45" i="88"/>
  <c r="CC45" i="88"/>
  <c r="CD45" i="88"/>
  <c r="CE45" i="88"/>
  <c r="AW46" i="88"/>
  <c r="CC46" i="88"/>
  <c r="CD46" i="88"/>
  <c r="CE46" i="88"/>
  <c r="AW47" i="88"/>
  <c r="CC47" i="88"/>
  <c r="CD47" i="88"/>
  <c r="CE47" i="88"/>
  <c r="AW48" i="88"/>
  <c r="CC48" i="88"/>
  <c r="CD48" i="88"/>
  <c r="CE48" i="88"/>
  <c r="AW49" i="88"/>
  <c r="CC49" i="88"/>
  <c r="CD49" i="88"/>
  <c r="CE49" i="88"/>
  <c r="AW50" i="88"/>
  <c r="CC50" i="88"/>
  <c r="CD50" i="88"/>
  <c r="CE50" i="88"/>
  <c r="AW51" i="88"/>
  <c r="CC51" i="88"/>
  <c r="CD51" i="88"/>
  <c r="CE51" i="88"/>
  <c r="AW52" i="88"/>
  <c r="CC52" i="88"/>
  <c r="CD52" i="88"/>
  <c r="CE52" i="88"/>
  <c r="AW53" i="88"/>
  <c r="CC53" i="88"/>
  <c r="CD53" i="88"/>
  <c r="CE53" i="88"/>
  <c r="CC54" i="88"/>
  <c r="CD54" i="88"/>
  <c r="CE54" i="88"/>
  <c r="AW55" i="88"/>
  <c r="CC55" i="88"/>
  <c r="CD55" i="88"/>
  <c r="CE55" i="88"/>
  <c r="AW56" i="88"/>
  <c r="CC56" i="88"/>
  <c r="CD56" i="88"/>
  <c r="CE56" i="88"/>
  <c r="AW57" i="88"/>
  <c r="CC57" i="88"/>
  <c r="CD57" i="88"/>
  <c r="CE57" i="88"/>
  <c r="AW58" i="88"/>
  <c r="AX58" i="88"/>
  <c r="AY58" i="88"/>
  <c r="CC58" i="88"/>
  <c r="CD58" i="88"/>
  <c r="CE58" i="88"/>
  <c r="AW59" i="88"/>
  <c r="CC59" i="88"/>
  <c r="CD59" i="88"/>
  <c r="CE59" i="88"/>
  <c r="AW60" i="88"/>
  <c r="AX60" i="88"/>
  <c r="CC60" i="88"/>
  <c r="CD60" i="88"/>
  <c r="CE60" i="88"/>
  <c r="AW61" i="88"/>
  <c r="AX61" i="88"/>
  <c r="CC61" i="88"/>
  <c r="CD61" i="88"/>
  <c r="CE61" i="88"/>
  <c r="AW62" i="88"/>
  <c r="CC62" i="88"/>
  <c r="CD62" i="88"/>
  <c r="CE62" i="88"/>
  <c r="AW63" i="88"/>
  <c r="CC63" i="88"/>
  <c r="CD63" i="88"/>
  <c r="CE63" i="88"/>
  <c r="AW64" i="88"/>
  <c r="CC64" i="88"/>
  <c r="CD64" i="88"/>
  <c r="CE64" i="88"/>
  <c r="AW65" i="88"/>
  <c r="CC65" i="88"/>
  <c r="CD65" i="88"/>
  <c r="CE65" i="88"/>
  <c r="AW66" i="88"/>
  <c r="CC66" i="88"/>
  <c r="CD66" i="88"/>
  <c r="CE66" i="88"/>
  <c r="AW67" i="88"/>
  <c r="CC67" i="88"/>
  <c r="CD67" i="88"/>
  <c r="CE67" i="88"/>
  <c r="AW68" i="88"/>
  <c r="CC68" i="88"/>
  <c r="CD68" i="88"/>
  <c r="CE68" i="88"/>
  <c r="AW69" i="88"/>
  <c r="AX69" i="88"/>
  <c r="CC69" i="88"/>
  <c r="CD69" i="88"/>
  <c r="CE69" i="88"/>
  <c r="AW70" i="88"/>
  <c r="AX70" i="88"/>
  <c r="CC70" i="88"/>
  <c r="CD70" i="88"/>
  <c r="CE70" i="88"/>
  <c r="AW71" i="88"/>
  <c r="CC71" i="88"/>
  <c r="CD71" i="88"/>
  <c r="CE71" i="88"/>
  <c r="AW72" i="88"/>
  <c r="CC72" i="88"/>
  <c r="CD72" i="88"/>
  <c r="CE72" i="88"/>
  <c r="AW73" i="88"/>
  <c r="CC73" i="88"/>
  <c r="CD73" i="88"/>
  <c r="CE73" i="88"/>
  <c r="AW74" i="88"/>
  <c r="CC74" i="88"/>
  <c r="CD74" i="88"/>
  <c r="CE74" i="88"/>
  <c r="AW75" i="88"/>
  <c r="BB75" i="88" s="1"/>
  <c r="CC75" i="88"/>
  <c r="CD75" i="88"/>
  <c r="CE75" i="88"/>
  <c r="AW76" i="88"/>
  <c r="AY76" i="88"/>
  <c r="CC76" i="88"/>
  <c r="CD76" i="88"/>
  <c r="CE76" i="88"/>
  <c r="AW77" i="88"/>
  <c r="CC77" i="88"/>
  <c r="CD77" i="88"/>
  <c r="CE77" i="88"/>
  <c r="AW78" i="88"/>
  <c r="AX78" i="88"/>
  <c r="CC78" i="88"/>
  <c r="CD78" i="88"/>
  <c r="CE78" i="88"/>
  <c r="AW79" i="88"/>
  <c r="CC79" i="88"/>
  <c r="CD79" i="88"/>
  <c r="CE79" i="88"/>
  <c r="AW80" i="88"/>
  <c r="CC80" i="88"/>
  <c r="CD80" i="88"/>
  <c r="CE80" i="88"/>
  <c r="AW81" i="88"/>
  <c r="AY81" i="88"/>
  <c r="CC81" i="88"/>
  <c r="CD81" i="88"/>
  <c r="CE81" i="88"/>
  <c r="AW82" i="88"/>
  <c r="CC82" i="88"/>
  <c r="CD82" i="88"/>
  <c r="CE82" i="88"/>
  <c r="AW83" i="88"/>
  <c r="CC83" i="88"/>
  <c r="CD83" i="88"/>
  <c r="CE83" i="88"/>
  <c r="AW84" i="88"/>
  <c r="BB84" i="88" s="1"/>
  <c r="CC84" i="88"/>
  <c r="CD84" i="88"/>
  <c r="CE84" i="88"/>
  <c r="AW85" i="88"/>
  <c r="AY85" i="88"/>
  <c r="CC85" i="88"/>
  <c r="CD85" i="88"/>
  <c r="CE85" i="88"/>
  <c r="AW86" i="88"/>
  <c r="CC86" i="88"/>
  <c r="CD86" i="88"/>
  <c r="CE86" i="88"/>
  <c r="AW87" i="88"/>
  <c r="CC87" i="88"/>
  <c r="CD87" i="88"/>
  <c r="CE87" i="88"/>
  <c r="AW88" i="88"/>
  <c r="CC88" i="88"/>
  <c r="CD88" i="88"/>
  <c r="CE88" i="88"/>
  <c r="AW89" i="88"/>
  <c r="AX89" i="88"/>
  <c r="AY89" i="88"/>
  <c r="CC89" i="88"/>
  <c r="CD89" i="88"/>
  <c r="CE89" i="88"/>
  <c r="AW90" i="88"/>
  <c r="CC90" i="88"/>
  <c r="CD90" i="88"/>
  <c r="CE90" i="88"/>
  <c r="AW91" i="88"/>
  <c r="AX91" i="88"/>
  <c r="CC91" i="88"/>
  <c r="CD91" i="88"/>
  <c r="CE91" i="88"/>
  <c r="AW92" i="88"/>
  <c r="CC92" i="88"/>
  <c r="CD92" i="88"/>
  <c r="CE92" i="88"/>
  <c r="AW93" i="88"/>
  <c r="CC93" i="88"/>
  <c r="CD93" i="88"/>
  <c r="CE93" i="88"/>
  <c r="AW94" i="88"/>
  <c r="CC94" i="88"/>
  <c r="CD94" i="88"/>
  <c r="CE94" i="88"/>
  <c r="AW95" i="88"/>
  <c r="CC95" i="88"/>
  <c r="CD95" i="88"/>
  <c r="CE95" i="88"/>
  <c r="AW96" i="88"/>
  <c r="CC96" i="88"/>
  <c r="CD96" i="88"/>
  <c r="CE96" i="88"/>
  <c r="AW97" i="88"/>
  <c r="AY97" i="88"/>
  <c r="CC97" i="88"/>
  <c r="CD97" i="88"/>
  <c r="CE97" i="88"/>
  <c r="AW98" i="88"/>
  <c r="AY98" i="88"/>
  <c r="CC98" i="88"/>
  <c r="CD98" i="88"/>
  <c r="CE98" i="88"/>
  <c r="AW99" i="88"/>
  <c r="AX99" i="88"/>
  <c r="CC99" i="88"/>
  <c r="CD99" i="88"/>
  <c r="CE99" i="88"/>
  <c r="AW100" i="88"/>
  <c r="AY100" i="88"/>
  <c r="CC100" i="88"/>
  <c r="CD100" i="88"/>
  <c r="CE100" i="88"/>
  <c r="CC101" i="88"/>
  <c r="CD101" i="88"/>
  <c r="CE101" i="88"/>
  <c r="AW102" i="88"/>
  <c r="CC102" i="88"/>
  <c r="CD102" i="88"/>
  <c r="CE102" i="88"/>
  <c r="AW104" i="88"/>
  <c r="AX104" i="88"/>
  <c r="CC104" i="88"/>
  <c r="CD104" i="88"/>
  <c r="CE104" i="88"/>
  <c r="AW105" i="88"/>
  <c r="CC105" i="88"/>
  <c r="CD105" i="88"/>
  <c r="CE105" i="88"/>
  <c r="AW106" i="88"/>
  <c r="AX106" i="88"/>
  <c r="CC106" i="88"/>
  <c r="CD106" i="88"/>
  <c r="CE106" i="88"/>
  <c r="AW107" i="88"/>
  <c r="CC107" i="88"/>
  <c r="CD107" i="88"/>
  <c r="CE107" i="88"/>
  <c r="AW108" i="88"/>
  <c r="CC108" i="88"/>
  <c r="CD108" i="88"/>
  <c r="CE108" i="88"/>
  <c r="AW109" i="88"/>
  <c r="AX109" i="88"/>
  <c r="CC109" i="88"/>
  <c r="CD109" i="88"/>
  <c r="CE109" i="88"/>
  <c r="AW110" i="88"/>
  <c r="AY110" i="88"/>
  <c r="CC110" i="88"/>
  <c r="CD110" i="88"/>
  <c r="CE110" i="88"/>
  <c r="AW111" i="88"/>
  <c r="BB111" i="88" s="1"/>
  <c r="CC111" i="88"/>
  <c r="CD111" i="88"/>
  <c r="CE111" i="88"/>
  <c r="AW112" i="88"/>
  <c r="BB112" i="88" s="1"/>
  <c r="CC112" i="88"/>
  <c r="CD112" i="88"/>
  <c r="CE112" i="88"/>
  <c r="AW113" i="88"/>
  <c r="AX113" i="88"/>
  <c r="CC113" i="88"/>
  <c r="CD113" i="88"/>
  <c r="CE113" i="88"/>
  <c r="AW114" i="88"/>
  <c r="AY114" i="88"/>
  <c r="CC114" i="88"/>
  <c r="CD114" i="88"/>
  <c r="CE114" i="88"/>
  <c r="CC115" i="88"/>
  <c r="CD115" i="88"/>
  <c r="CE115" i="88"/>
  <c r="AW116" i="88"/>
  <c r="CC116" i="88"/>
  <c r="CD116" i="88"/>
  <c r="CE116" i="88"/>
  <c r="AW117" i="88"/>
  <c r="CC117" i="88"/>
  <c r="CD117" i="88"/>
  <c r="CE117" i="88"/>
  <c r="AW118" i="88"/>
  <c r="CC118" i="88"/>
  <c r="CD118" i="88"/>
  <c r="CE118" i="88"/>
  <c r="AW119" i="88"/>
  <c r="CC119" i="88"/>
  <c r="CD119" i="88"/>
  <c r="CE119" i="88"/>
  <c r="AW120" i="88"/>
  <c r="CC120" i="88"/>
  <c r="CD120" i="88"/>
  <c r="CE120" i="88"/>
  <c r="AW121" i="88"/>
  <c r="AX121" i="88"/>
  <c r="AY121" i="88"/>
  <c r="CC121" i="88"/>
  <c r="CD121" i="88"/>
  <c r="CE121" i="88"/>
  <c r="AW122" i="88"/>
  <c r="CC122" i="88"/>
  <c r="CD122" i="88"/>
  <c r="CE122" i="88"/>
  <c r="AW123" i="88"/>
  <c r="CC123" i="88"/>
  <c r="CD123" i="88"/>
  <c r="CE123" i="88"/>
  <c r="AW124" i="88"/>
  <c r="CC124" i="88"/>
  <c r="CD124" i="88"/>
  <c r="CE124" i="88"/>
  <c r="AW125" i="88"/>
  <c r="CC125" i="88"/>
  <c r="CD125" i="88"/>
  <c r="CE125" i="88"/>
  <c r="AW126" i="88"/>
  <c r="CC126" i="88"/>
  <c r="CD126" i="88"/>
  <c r="CE126" i="88"/>
  <c r="AW127" i="88"/>
  <c r="CC127" i="88"/>
  <c r="CD127" i="88"/>
  <c r="CE127" i="88"/>
  <c r="CC128" i="88"/>
  <c r="CD128" i="88"/>
  <c r="CE128" i="88"/>
  <c r="AW129" i="88"/>
  <c r="CC129" i="88"/>
  <c r="CD129" i="88"/>
  <c r="CE129" i="88"/>
  <c r="AW130" i="88"/>
  <c r="AX130" i="88"/>
  <c r="CC130" i="88"/>
  <c r="CD130" i="88"/>
  <c r="CE130" i="88"/>
  <c r="AW131" i="88"/>
  <c r="CC131" i="88"/>
  <c r="CD131" i="88"/>
  <c r="CE131" i="88"/>
  <c r="AW132" i="88"/>
  <c r="CC132" i="88"/>
  <c r="CD132" i="88"/>
  <c r="CE132" i="88"/>
  <c r="AW133" i="88"/>
  <c r="CC133" i="88"/>
  <c r="CD133" i="88"/>
  <c r="CE133" i="88"/>
  <c r="AW134" i="88"/>
  <c r="CC134" i="88"/>
  <c r="CD134" i="88"/>
  <c r="CE134" i="88"/>
  <c r="AW135" i="88"/>
  <c r="CC135" i="88"/>
  <c r="CD135" i="88"/>
  <c r="CE135" i="88"/>
  <c r="AW136" i="88"/>
  <c r="CC136" i="88"/>
  <c r="CD136" i="88"/>
  <c r="CE136" i="88"/>
  <c r="AW137" i="88"/>
  <c r="CC137" i="88"/>
  <c r="CD137" i="88"/>
  <c r="CE137" i="88"/>
  <c r="AW138" i="88"/>
  <c r="AX138" i="88"/>
  <c r="AY138" i="88"/>
  <c r="CC138" i="88"/>
  <c r="CD138" i="88"/>
  <c r="CE138" i="88"/>
  <c r="AW139" i="88"/>
  <c r="CC139" i="88"/>
  <c r="CD139" i="88"/>
  <c r="CE139" i="88"/>
  <c r="AW140" i="88"/>
  <c r="CC140" i="88"/>
  <c r="CD140" i="88"/>
  <c r="CE140" i="88"/>
  <c r="CC141" i="88"/>
  <c r="CD141" i="88"/>
  <c r="CE141" i="88"/>
  <c r="AW142" i="88"/>
  <c r="CC142" i="88"/>
  <c r="CD142" i="88"/>
  <c r="CE142" i="88"/>
  <c r="AW143" i="88"/>
  <c r="CC143" i="88"/>
  <c r="CD143" i="88"/>
  <c r="CE143" i="88"/>
  <c r="AW144" i="88"/>
  <c r="CC144" i="88"/>
  <c r="CD144" i="88"/>
  <c r="CE144" i="88"/>
  <c r="AW145" i="88"/>
  <c r="AY145" i="88"/>
  <c r="CC145" i="88"/>
  <c r="CD145" i="88"/>
  <c r="CE145" i="88"/>
  <c r="CC146" i="88"/>
  <c r="CD146" i="88"/>
  <c r="CE146" i="88"/>
  <c r="AW147" i="88"/>
  <c r="CC147" i="88"/>
  <c r="CD147" i="88"/>
  <c r="CE147" i="88"/>
  <c r="AW148" i="88"/>
  <c r="CC148" i="88"/>
  <c r="CD148" i="88"/>
  <c r="CE148" i="88"/>
  <c r="AW149" i="88"/>
  <c r="AY149" i="88"/>
  <c r="CC149" i="88"/>
  <c r="CD149" i="88"/>
  <c r="CE149" i="88"/>
  <c r="AW150" i="88"/>
  <c r="AX150" i="88"/>
  <c r="AY150" i="88"/>
  <c r="CC150" i="88"/>
  <c r="CD150" i="88"/>
  <c r="CE150" i="88"/>
  <c r="AW151" i="88"/>
  <c r="CC151" i="88"/>
  <c r="CD151" i="88"/>
  <c r="CE151" i="88"/>
  <c r="AW152" i="88"/>
  <c r="CC152" i="88"/>
  <c r="CD152" i="88"/>
  <c r="CE152" i="88"/>
  <c r="AW153" i="88"/>
  <c r="AY153" i="88"/>
  <c r="CC153" i="88"/>
  <c r="CD153" i="88"/>
  <c r="CE153" i="88"/>
  <c r="AW154" i="88"/>
  <c r="AX154" i="88"/>
  <c r="AY154" i="88"/>
  <c r="CC154" i="88"/>
  <c r="CD154" i="88"/>
  <c r="CE154" i="88"/>
  <c r="AW155" i="88"/>
  <c r="CC155" i="88"/>
  <c r="CD155" i="88"/>
  <c r="CE155" i="88"/>
  <c r="AW156" i="88"/>
  <c r="CC156" i="88"/>
  <c r="CD156" i="88"/>
  <c r="CE156" i="88"/>
  <c r="AW157" i="88"/>
  <c r="CC157" i="88"/>
  <c r="CD157" i="88"/>
  <c r="CE157" i="88"/>
  <c r="CC158" i="88"/>
  <c r="CD158" i="88"/>
  <c r="CE158" i="88"/>
  <c r="AW159" i="88"/>
  <c r="CC159" i="88"/>
  <c r="CD159" i="88"/>
  <c r="CE159" i="88"/>
  <c r="AW160" i="88"/>
  <c r="AX160" i="88"/>
  <c r="CC160" i="88"/>
  <c r="CD160" i="88"/>
  <c r="CE160" i="88"/>
  <c r="AW161" i="88"/>
  <c r="AX161" i="88"/>
  <c r="CC161" i="88"/>
  <c r="CD161" i="88"/>
  <c r="CE161" i="88"/>
  <c r="AW162" i="88"/>
  <c r="AX162" i="88"/>
  <c r="CC162" i="88"/>
  <c r="CD162" i="88"/>
  <c r="CE162" i="88"/>
  <c r="AW163" i="88"/>
  <c r="AX163" i="88"/>
  <c r="CC163" i="88"/>
  <c r="CD163" i="88"/>
  <c r="CE163" i="88"/>
  <c r="AW164" i="88"/>
  <c r="AX164" i="88"/>
  <c r="CC164" i="88"/>
  <c r="CD164" i="88"/>
  <c r="CE164" i="88"/>
  <c r="AW165" i="88"/>
  <c r="AX165" i="88"/>
  <c r="CC165" i="88"/>
  <c r="CD165" i="88"/>
  <c r="CE165" i="88"/>
  <c r="AW166" i="88"/>
  <c r="AX166" i="88"/>
  <c r="CC166" i="88"/>
  <c r="CD166" i="88"/>
  <c r="CE166" i="88"/>
  <c r="AW167" i="88"/>
  <c r="AX167" i="88"/>
  <c r="CC167" i="88"/>
  <c r="CD167" i="88"/>
  <c r="CE167" i="88"/>
  <c r="AW168" i="88"/>
  <c r="AX168" i="88"/>
  <c r="CC168" i="88"/>
  <c r="CD168" i="88"/>
  <c r="CE168" i="88"/>
  <c r="AW169" i="88"/>
  <c r="CC169" i="88"/>
  <c r="CD169" i="88"/>
  <c r="CE169" i="88"/>
  <c r="AW170" i="88"/>
  <c r="CC170" i="88"/>
  <c r="CD170" i="88"/>
  <c r="CE170" i="88"/>
  <c r="AW171" i="88"/>
  <c r="CC171" i="88"/>
  <c r="CD171" i="88"/>
  <c r="CE171" i="88"/>
  <c r="AW172" i="88"/>
  <c r="AX172" i="88"/>
  <c r="AY172" i="88"/>
  <c r="CC172" i="88"/>
  <c r="CD172" i="88"/>
  <c r="CE172" i="88"/>
  <c r="AW173" i="88"/>
  <c r="AX173" i="88"/>
  <c r="AY173" i="88"/>
  <c r="CC173" i="88"/>
  <c r="CD173" i="88"/>
  <c r="CE173" i="88"/>
  <c r="AW174" i="88"/>
  <c r="AX174" i="88"/>
  <c r="CC174" i="88"/>
  <c r="CD174" i="88"/>
  <c r="CE174" i="88"/>
  <c r="AW175" i="88"/>
  <c r="CC175" i="88"/>
  <c r="CD175" i="88"/>
  <c r="CE175" i="88"/>
  <c r="AW176" i="88"/>
  <c r="CC176" i="88"/>
  <c r="CD176" i="88"/>
  <c r="CE176" i="88"/>
  <c r="AW177" i="88"/>
  <c r="CC177" i="88"/>
  <c r="CD177" i="88"/>
  <c r="CE177" i="88"/>
  <c r="AW178" i="88"/>
  <c r="CC178" i="88"/>
  <c r="CD178" i="88"/>
  <c r="CE178" i="88"/>
  <c r="AW179" i="88"/>
  <c r="AY179" i="88"/>
  <c r="CC179" i="88"/>
  <c r="CD179" i="88"/>
  <c r="CE179" i="88"/>
  <c r="AW180" i="88"/>
  <c r="CC180" i="88"/>
  <c r="CD180" i="88"/>
  <c r="CE180" i="88"/>
  <c r="AW181" i="88"/>
  <c r="CC181" i="88"/>
  <c r="CD181" i="88"/>
  <c r="CE181" i="88"/>
  <c r="AW182" i="88"/>
  <c r="AX182" i="88"/>
  <c r="CC182" i="88"/>
  <c r="CD182" i="88"/>
  <c r="CE182" i="88"/>
  <c r="AW183" i="88"/>
  <c r="AX183" i="88"/>
  <c r="CC183" i="88"/>
  <c r="CD183" i="88"/>
  <c r="CE183" i="88"/>
  <c r="AW184" i="88"/>
  <c r="CC184" i="88"/>
  <c r="CD184" i="88"/>
  <c r="CE184" i="88"/>
  <c r="AW185" i="88"/>
  <c r="CC185" i="88"/>
  <c r="CD185" i="88"/>
  <c r="CE185" i="88"/>
  <c r="AW186" i="88"/>
  <c r="CC186" i="88"/>
  <c r="CD186" i="88"/>
  <c r="CE186" i="88"/>
  <c r="AW187" i="88"/>
  <c r="CC187" i="88"/>
  <c r="CD187" i="88"/>
  <c r="CE187" i="88"/>
  <c r="AW188" i="88"/>
  <c r="CC188" i="88"/>
  <c r="CD188" i="88"/>
  <c r="CE188" i="88"/>
  <c r="AW189" i="88"/>
  <c r="CC189" i="88"/>
  <c r="CD189" i="88"/>
  <c r="CE189" i="88"/>
  <c r="AW190" i="88"/>
  <c r="CC190" i="88"/>
  <c r="CD190" i="88"/>
  <c r="CE190" i="88"/>
  <c r="AW191" i="88"/>
  <c r="CC191" i="88"/>
  <c r="CD191" i="88"/>
  <c r="CE191" i="88"/>
  <c r="AW192" i="88"/>
  <c r="AY192" i="88"/>
  <c r="CC192" i="88"/>
  <c r="CD192" i="88"/>
  <c r="CE192" i="88"/>
  <c r="AW193" i="88"/>
  <c r="AX193" i="88"/>
  <c r="CC193" i="88"/>
  <c r="CD193" i="88"/>
  <c r="CE193" i="88"/>
  <c r="AW194" i="88"/>
  <c r="AX194" i="88"/>
  <c r="AY194" i="88"/>
  <c r="CC194" i="88"/>
  <c r="CD194" i="88"/>
  <c r="CE194" i="88"/>
  <c r="AW195" i="88"/>
  <c r="CC195" i="88"/>
  <c r="CD195" i="88"/>
  <c r="CE195" i="88"/>
  <c r="AW196" i="88"/>
  <c r="CC196" i="88"/>
  <c r="CD196" i="88"/>
  <c r="CE196" i="88"/>
  <c r="AW197" i="88"/>
  <c r="AX197" i="88"/>
  <c r="CC197" i="88"/>
  <c r="CD197" i="88"/>
  <c r="CE197" i="88"/>
  <c r="AW198" i="88"/>
  <c r="AY198" i="88"/>
  <c r="CC198" i="88"/>
  <c r="CD198" i="88"/>
  <c r="CE198" i="88"/>
  <c r="AW199" i="88"/>
  <c r="CC199" i="88"/>
  <c r="CD199" i="88"/>
  <c r="CE199" i="88"/>
  <c r="AW200" i="88"/>
  <c r="BB200" i="88" s="1"/>
  <c r="CC200" i="88"/>
  <c r="CD200" i="88"/>
  <c r="CE200" i="88"/>
  <c r="AW201" i="88"/>
  <c r="AY201" i="88"/>
  <c r="CC201" i="88"/>
  <c r="CD201" i="88"/>
  <c r="CE201" i="88"/>
  <c r="AW202" i="88"/>
  <c r="AY202" i="88"/>
  <c r="CC202" i="88"/>
  <c r="CD202" i="88"/>
  <c r="CE202" i="88"/>
  <c r="AW203" i="88"/>
  <c r="AY203" i="88"/>
  <c r="CC203" i="88"/>
  <c r="CD203" i="88"/>
  <c r="CE203" i="88"/>
  <c r="AW204" i="88"/>
  <c r="AX204" i="88"/>
  <c r="AY204" i="88"/>
  <c r="CC204" i="88"/>
  <c r="CD204" i="88"/>
  <c r="CE204" i="88"/>
  <c r="AW205" i="88"/>
  <c r="AY205" i="88"/>
  <c r="CC205" i="88"/>
  <c r="CD205" i="88"/>
  <c r="CE205" i="88"/>
  <c r="AW206" i="88"/>
  <c r="AY206" i="88"/>
  <c r="CC206" i="88"/>
  <c r="CD206" i="88"/>
  <c r="CE206" i="88"/>
  <c r="AW207" i="88"/>
  <c r="CC207" i="88"/>
  <c r="CD207" i="88"/>
  <c r="CE207" i="88"/>
  <c r="AW208" i="88"/>
  <c r="BB208" i="88" s="1"/>
  <c r="CC208" i="88"/>
  <c r="CD208" i="88"/>
  <c r="CE208" i="88"/>
  <c r="AW209" i="88"/>
  <c r="AX209" i="88"/>
  <c r="CC209" i="88"/>
  <c r="CD209" i="88"/>
  <c r="CE209" i="88"/>
  <c r="AW210" i="88"/>
  <c r="AY210" i="88"/>
  <c r="CC210" i="88"/>
  <c r="CD210" i="88"/>
  <c r="CE210" i="88"/>
  <c r="AW211" i="88"/>
  <c r="CC211" i="88"/>
  <c r="CD211" i="88"/>
  <c r="CE211" i="88"/>
  <c r="AW212" i="88"/>
  <c r="CC212" i="88"/>
  <c r="CD212" i="88"/>
  <c r="CE212" i="88"/>
  <c r="AW213" i="88"/>
  <c r="CC213" i="88"/>
  <c r="CD213" i="88"/>
  <c r="CE213" i="88"/>
  <c r="AW214" i="88"/>
  <c r="AY214" i="88"/>
  <c r="CC214" i="88"/>
  <c r="CD214" i="88"/>
  <c r="CE214" i="88"/>
  <c r="CC215" i="88"/>
  <c r="CD215" i="88"/>
  <c r="CE215" i="88"/>
  <c r="AW216" i="88"/>
  <c r="CC216" i="88"/>
  <c r="CD216" i="88"/>
  <c r="CE216" i="88"/>
  <c r="AW217" i="88"/>
  <c r="CC217" i="88"/>
  <c r="CD217" i="88"/>
  <c r="CE217" i="88"/>
  <c r="AW218" i="88"/>
  <c r="CC218" i="88"/>
  <c r="CD218" i="88"/>
  <c r="CE218" i="88"/>
  <c r="CC219" i="88"/>
  <c r="CD219" i="88"/>
  <c r="CE219" i="88"/>
  <c r="AW220" i="88"/>
  <c r="CC220" i="88"/>
  <c r="CD220" i="88"/>
  <c r="CE220" i="88"/>
  <c r="AW221" i="88"/>
  <c r="CC221" i="88"/>
  <c r="CD221" i="88"/>
  <c r="CE221" i="88"/>
  <c r="AW222" i="88"/>
  <c r="BB222" i="88" s="1"/>
  <c r="CC222" i="88"/>
  <c r="CD222" i="88"/>
  <c r="CE222" i="88"/>
  <c r="AW223" i="88"/>
  <c r="AX223" i="88"/>
  <c r="CC223" i="88"/>
  <c r="CD223" i="88"/>
  <c r="CE223" i="88"/>
  <c r="AW224" i="88"/>
  <c r="AY224" i="88"/>
  <c r="CC224" i="88"/>
  <c r="CD224" i="88"/>
  <c r="CE224" i="88"/>
  <c r="CC225" i="88"/>
  <c r="CD225" i="88"/>
  <c r="CE225" i="88"/>
  <c r="AW226" i="88"/>
  <c r="CC226" i="88"/>
  <c r="CD226" i="88"/>
  <c r="CE226" i="88"/>
  <c r="AW227" i="88"/>
  <c r="CC227" i="88"/>
  <c r="CD227" i="88"/>
  <c r="CE227" i="88"/>
  <c r="AW228" i="88"/>
  <c r="CC228" i="88"/>
  <c r="CD228" i="88"/>
  <c r="CE228" i="88"/>
  <c r="CC229" i="88"/>
  <c r="CD229" i="88"/>
  <c r="CE229" i="88"/>
  <c r="AW230" i="88"/>
  <c r="CC230" i="88"/>
  <c r="CD230" i="88"/>
  <c r="CE230" i="88"/>
  <c r="AW231" i="88"/>
  <c r="CC231" i="88"/>
  <c r="CD231" i="88"/>
  <c r="CE231" i="88"/>
  <c r="AW232" i="88"/>
  <c r="CC232" i="88"/>
  <c r="CD232" i="88"/>
  <c r="CE232" i="88"/>
  <c r="CC233" i="88"/>
  <c r="CD233" i="88"/>
  <c r="CE233" i="88"/>
  <c r="BB56" i="88" l="1"/>
  <c r="BC56" i="88" s="1"/>
  <c r="BB80" i="88"/>
  <c r="BC80" i="88" s="1"/>
  <c r="BB68" i="88"/>
  <c r="BC68" i="88" s="1"/>
  <c r="BB57" i="88"/>
  <c r="BC57" i="88" s="1"/>
  <c r="BB201" i="88"/>
  <c r="BC201" i="88" s="1"/>
  <c r="BB120" i="88"/>
  <c r="BC120" i="88" s="1"/>
  <c r="BB35" i="88"/>
  <c r="BC35" i="88" s="1"/>
  <c r="BB173" i="88"/>
  <c r="BC173" i="88" s="1"/>
  <c r="BB154" i="88"/>
  <c r="BC154" i="88" s="1"/>
  <c r="BB113" i="88"/>
  <c r="BC113" i="88" s="1"/>
  <c r="BB104" i="88"/>
  <c r="BC104" i="88" s="1"/>
  <c r="BB69" i="88"/>
  <c r="BC69" i="88" s="1"/>
  <c r="BB223" i="88"/>
  <c r="BC223" i="88" s="1"/>
  <c r="BB194" i="88"/>
  <c r="BC194" i="88" s="1"/>
  <c r="BB180" i="88"/>
  <c r="BC180" i="88" s="1"/>
  <c r="BB148" i="88"/>
  <c r="BC148" i="88" s="1"/>
  <c r="BB144" i="88"/>
  <c r="BC144" i="88" s="1"/>
  <c r="BB100" i="88"/>
  <c r="BC100" i="88" s="1"/>
  <c r="BB212" i="88"/>
  <c r="BC212" i="88" s="1"/>
  <c r="BB87" i="88"/>
  <c r="BC87" i="88" s="1"/>
  <c r="BB210" i="88"/>
  <c r="BC210" i="88" s="1"/>
  <c r="BB81" i="88"/>
  <c r="BC81" i="88" s="1"/>
  <c r="BB149" i="88"/>
  <c r="BC149" i="88" s="1"/>
  <c r="BB145" i="88"/>
  <c r="BC145" i="88" s="1"/>
  <c r="BB58" i="88"/>
  <c r="BB110" i="88"/>
  <c r="BC110" i="88" s="1"/>
  <c r="BB206" i="88"/>
  <c r="BC206" i="88" s="1"/>
  <c r="BB203" i="88"/>
  <c r="BC203" i="88" s="1"/>
  <c r="BB192" i="88"/>
  <c r="BC192" i="88" s="1"/>
  <c r="BB161" i="88"/>
  <c r="BC161" i="88" s="1"/>
  <c r="BB98" i="88"/>
  <c r="BC98" i="88" s="1"/>
  <c r="BB76" i="88"/>
  <c r="BC76" i="88" s="1"/>
  <c r="BB224" i="88"/>
  <c r="BC224" i="88" s="1"/>
  <c r="BB214" i="88"/>
  <c r="BC214" i="88" s="1"/>
  <c r="BB121" i="88"/>
  <c r="BC121" i="88" s="1"/>
  <c r="BB119" i="88"/>
  <c r="BC119" i="88" s="1"/>
  <c r="BB114" i="88"/>
  <c r="BC114" i="88" s="1"/>
  <c r="BB85" i="88"/>
  <c r="BC85" i="88" s="1"/>
  <c r="BB34" i="88"/>
  <c r="BC34" i="88" s="1"/>
  <c r="BB89" i="88"/>
  <c r="BC89" i="88" s="1"/>
  <c r="BB160" i="88"/>
  <c r="BC160" i="88" s="1"/>
  <c r="BB150" i="88"/>
  <c r="BC150" i="88" s="1"/>
  <c r="BB60" i="88"/>
  <c r="BC60" i="88" s="1"/>
  <c r="BB213" i="88"/>
  <c r="BC213" i="88" s="1"/>
  <c r="BB205" i="88"/>
  <c r="BC205" i="88" s="1"/>
  <c r="BB209" i="88"/>
  <c r="BC209" i="88" s="1"/>
  <c r="BB204" i="88"/>
  <c r="BC204" i="88" s="1"/>
  <c r="BB198" i="88"/>
  <c r="BC198" i="88" s="1"/>
  <c r="BB193" i="88"/>
  <c r="BC193" i="88" s="1"/>
  <c r="BB179" i="88"/>
  <c r="BC179" i="88" s="1"/>
  <c r="BB138" i="88"/>
  <c r="BC138" i="88" s="1"/>
  <c r="BB99" i="88"/>
  <c r="BC99" i="88" s="1"/>
  <c r="BB77" i="88"/>
  <c r="BC77" i="88" s="1"/>
  <c r="BB197" i="88"/>
  <c r="BC197" i="88" s="1"/>
  <c r="BB172" i="88"/>
  <c r="BC172" i="88" s="1"/>
  <c r="BB88" i="88"/>
  <c r="BC88" i="88" s="1"/>
  <c r="BB86" i="88"/>
  <c r="BC86" i="88" s="1"/>
  <c r="BB139" i="88"/>
  <c r="BC139" i="88" s="1"/>
  <c r="BB105" i="88"/>
  <c r="BC105" i="88" s="1"/>
  <c r="BC58" i="88"/>
  <c r="BC84" i="88"/>
  <c r="BC111" i="88"/>
  <c r="BC75" i="88"/>
  <c r="BC112" i="88"/>
  <c r="BC208" i="88"/>
  <c r="BC200" i="88"/>
  <c r="BC222" i="88"/>
  <c r="C85" i="99" l="1"/>
  <c r="C29" i="100"/>
  <c r="C6" i="100"/>
  <c r="F52" i="88" l="1"/>
  <c r="AY52" i="88" s="1"/>
  <c r="E52" i="88"/>
  <c r="AX52" i="88" s="1"/>
  <c r="F51" i="88"/>
  <c r="AY51" i="88" s="1"/>
  <c r="E51" i="88"/>
  <c r="AX51" i="88" s="1"/>
  <c r="F47" i="88"/>
  <c r="AY47" i="88" s="1"/>
  <c r="E47" i="88"/>
  <c r="AX47" i="88" s="1"/>
  <c r="F46" i="88"/>
  <c r="AY46" i="88" s="1"/>
  <c r="E46" i="88"/>
  <c r="AX46" i="88" s="1"/>
  <c r="F45" i="88"/>
  <c r="AY45" i="88" s="1"/>
  <c r="E45" i="88"/>
  <c r="AX45" i="88" s="1"/>
  <c r="F43" i="88"/>
  <c r="AY43" i="88" s="1"/>
  <c r="E43" i="88"/>
  <c r="AX43" i="88" s="1"/>
  <c r="F42" i="88"/>
  <c r="AY42" i="88" s="1"/>
  <c r="E42" i="88"/>
  <c r="AX42" i="88" s="1"/>
  <c r="F39" i="88"/>
  <c r="AY39" i="88" s="1"/>
  <c r="E39" i="88"/>
  <c r="AX39" i="88" s="1"/>
  <c r="F38" i="88"/>
  <c r="AY38" i="88" s="1"/>
  <c r="E38" i="88"/>
  <c r="AX38" i="88" s="1"/>
  <c r="F37" i="88"/>
  <c r="AY37" i="88" s="1"/>
  <c r="E37" i="88"/>
  <c r="AX37" i="88" s="1"/>
  <c r="F32" i="88"/>
  <c r="AY32" i="88" s="1"/>
  <c r="E32" i="88"/>
  <c r="AX32" i="88" s="1"/>
  <c r="F31" i="88"/>
  <c r="AY31" i="88" s="1"/>
  <c r="E31" i="88"/>
  <c r="AX31" i="88" s="1"/>
  <c r="BB37" i="88" l="1"/>
  <c r="BC37" i="88" s="1"/>
  <c r="BB39" i="88"/>
  <c r="BC39" i="88" s="1"/>
  <c r="BB43" i="88"/>
  <c r="BC43" i="88" s="1"/>
  <c r="BB46" i="88"/>
  <c r="BC46" i="88" s="1"/>
  <c r="BB51" i="88"/>
  <c r="BB31" i="88"/>
  <c r="BC31" i="88" s="1"/>
  <c r="BB32" i="88"/>
  <c r="BC32" i="88" s="1"/>
  <c r="BB38" i="88"/>
  <c r="BC38" i="88" s="1"/>
  <c r="BB42" i="88"/>
  <c r="BC42" i="88" s="1"/>
  <c r="BB45" i="88"/>
  <c r="BC45" i="88" s="1"/>
  <c r="BB47" i="88"/>
  <c r="BC47" i="88" s="1"/>
  <c r="BB52" i="88"/>
  <c r="BC52" i="88" s="1"/>
  <c r="BC51" i="88"/>
  <c r="N77" i="99"/>
  <c r="N73" i="99" l="1"/>
  <c r="O73" i="99" s="1"/>
  <c r="P78" i="99"/>
  <c r="AI7" i="88"/>
  <c r="BC10" i="98" l="1"/>
  <c r="BC26" i="98"/>
  <c r="BC42" i="98"/>
  <c r="BC58" i="98"/>
  <c r="BC74" i="98"/>
  <c r="BC90" i="98"/>
  <c r="BC106" i="98"/>
  <c r="BC122" i="98"/>
  <c r="BC6" i="98"/>
  <c r="BC23" i="98"/>
  <c r="BC39" i="98"/>
  <c r="BC55" i="98"/>
  <c r="BC71" i="98"/>
  <c r="BC87" i="98"/>
  <c r="BC103" i="98"/>
  <c r="BC119" i="98"/>
  <c r="BC135" i="98"/>
  <c r="BC20" i="98"/>
  <c r="BC36" i="98"/>
  <c r="BC52" i="98"/>
  <c r="BC68" i="98"/>
  <c r="BC84" i="98"/>
  <c r="BC100" i="98"/>
  <c r="BC116" i="98"/>
  <c r="BC132" i="98"/>
  <c r="BC17" i="98"/>
  <c r="BC33" i="98"/>
  <c r="BC49" i="98"/>
  <c r="BC65" i="98"/>
  <c r="BC81" i="98"/>
  <c r="BC97" i="98"/>
  <c r="BC113" i="98"/>
  <c r="BC129" i="98"/>
  <c r="BC69" i="98"/>
  <c r="BC101" i="98"/>
  <c r="BC117" i="98"/>
  <c r="BC133" i="98"/>
  <c r="BC18" i="98"/>
  <c r="BC34" i="98"/>
  <c r="BC50" i="98"/>
  <c r="BC66" i="98"/>
  <c r="BC82" i="98"/>
  <c r="BC114" i="98"/>
  <c r="BC130" i="98"/>
  <c r="BC31" i="98"/>
  <c r="BC63" i="98"/>
  <c r="BC95" i="98"/>
  <c r="BC12" i="98"/>
  <c r="BC60" i="98"/>
  <c r="BC92" i="98"/>
  <c r="BC124" i="98"/>
  <c r="BC25" i="98"/>
  <c r="BC57" i="98"/>
  <c r="BC89" i="98"/>
  <c r="BC121" i="98"/>
  <c r="BC22" i="98"/>
  <c r="BC54" i="98"/>
  <c r="BC102" i="98"/>
  <c r="BC134" i="98"/>
  <c r="BC19" i="98"/>
  <c r="BC51" i="98"/>
  <c r="BC83" i="98"/>
  <c r="BC115" i="98"/>
  <c r="BC16" i="98"/>
  <c r="BC48" i="98"/>
  <c r="BC80" i="98"/>
  <c r="BC112" i="98"/>
  <c r="BC13" i="98"/>
  <c r="BC45" i="98"/>
  <c r="BC77" i="98"/>
  <c r="BC109" i="98"/>
  <c r="BC9" i="98"/>
  <c r="BC14" i="98"/>
  <c r="BC30" i="98"/>
  <c r="BC46" i="98"/>
  <c r="BC62" i="98"/>
  <c r="BC78" i="98"/>
  <c r="BC94" i="98"/>
  <c r="BC110" i="98"/>
  <c r="BC126" i="98"/>
  <c r="BC11" i="98"/>
  <c r="BC27" i="98"/>
  <c r="BC43" i="98"/>
  <c r="BC59" i="98"/>
  <c r="BC75" i="98"/>
  <c r="BC91" i="98"/>
  <c r="BC107" i="98"/>
  <c r="BC123" i="98"/>
  <c r="BC7" i="98"/>
  <c r="BC24" i="98"/>
  <c r="BC40" i="98"/>
  <c r="BC56" i="98"/>
  <c r="BC72" i="98"/>
  <c r="BC88" i="98"/>
  <c r="BC104" i="98"/>
  <c r="BC120" i="98"/>
  <c r="BC136" i="98"/>
  <c r="BC21" i="98"/>
  <c r="BC37" i="98"/>
  <c r="BC53" i="98"/>
  <c r="BC85" i="98"/>
  <c r="BC98" i="98"/>
  <c r="BC15" i="98"/>
  <c r="BC47" i="98"/>
  <c r="BC79" i="98"/>
  <c r="BC111" i="98"/>
  <c r="BC127" i="98"/>
  <c r="BC28" i="98"/>
  <c r="BC44" i="98"/>
  <c r="BC76" i="98"/>
  <c r="BC108" i="98"/>
  <c r="BC8" i="98"/>
  <c r="BC41" i="98"/>
  <c r="BC73" i="98"/>
  <c r="BC105" i="98"/>
  <c r="BC137" i="98"/>
  <c r="BC38" i="98"/>
  <c r="BC70" i="98"/>
  <c r="BC86" i="98"/>
  <c r="BC118" i="98"/>
  <c r="BC35" i="98"/>
  <c r="BC67" i="98"/>
  <c r="BC99" i="98"/>
  <c r="BC131" i="98"/>
  <c r="BC32" i="98"/>
  <c r="BC64" i="98"/>
  <c r="BC96" i="98"/>
  <c r="BC128" i="98"/>
  <c r="BC29" i="98"/>
  <c r="BC61" i="98"/>
  <c r="BC93" i="98"/>
  <c r="BC125" i="98"/>
  <c r="BC5" i="98"/>
  <c r="Y6" i="98"/>
  <c r="Y7" i="98"/>
  <c r="Y20" i="98"/>
  <c r="Y36" i="98"/>
  <c r="Y52" i="98"/>
  <c r="Y68" i="98"/>
  <c r="Y84" i="98"/>
  <c r="Y100" i="98"/>
  <c r="Y116" i="98"/>
  <c r="Y132" i="98"/>
  <c r="Y17" i="98"/>
  <c r="Y33" i="98"/>
  <c r="Y49" i="98"/>
  <c r="Y65" i="98"/>
  <c r="Y81" i="98"/>
  <c r="Y97" i="98"/>
  <c r="Y113" i="98"/>
  <c r="Y129" i="98"/>
  <c r="Y14" i="98"/>
  <c r="Y30" i="98"/>
  <c r="Y46" i="98"/>
  <c r="Y62" i="98"/>
  <c r="Y78" i="98"/>
  <c r="Y94" i="98"/>
  <c r="Y110" i="98"/>
  <c r="Y126" i="98"/>
  <c r="Y11" i="98"/>
  <c r="Y27" i="98"/>
  <c r="Y43" i="98"/>
  <c r="Y59" i="98"/>
  <c r="Y75" i="98"/>
  <c r="Y91" i="98"/>
  <c r="Y107" i="98"/>
  <c r="Y123" i="98"/>
  <c r="Y95" i="98"/>
  <c r="Y48" i="98"/>
  <c r="Y96" i="98"/>
  <c r="Y128" i="98"/>
  <c r="Y45" i="98"/>
  <c r="Y77" i="98"/>
  <c r="Y109" i="98"/>
  <c r="Y10" i="98"/>
  <c r="Y58" i="98"/>
  <c r="Y106" i="98"/>
  <c r="Y23" i="98"/>
  <c r="Y55" i="98"/>
  <c r="Y103" i="98"/>
  <c r="Y8" i="98"/>
  <c r="Y24" i="98"/>
  <c r="Y40" i="98"/>
  <c r="Y56" i="98"/>
  <c r="Y72" i="98"/>
  <c r="Y88" i="98"/>
  <c r="Y104" i="98"/>
  <c r="Y120" i="98"/>
  <c r="Y136" i="98"/>
  <c r="Y21" i="98"/>
  <c r="Y37" i="98"/>
  <c r="Y53" i="98"/>
  <c r="Y69" i="98"/>
  <c r="Y85" i="98"/>
  <c r="Y101" i="98"/>
  <c r="Y117" i="98"/>
  <c r="Y133" i="98"/>
  <c r="Y18" i="98"/>
  <c r="Y34" i="98"/>
  <c r="Y50" i="98"/>
  <c r="Y66" i="98"/>
  <c r="Y82" i="98"/>
  <c r="Y98" i="98"/>
  <c r="Y114" i="98"/>
  <c r="Y130" i="98"/>
  <c r="Y15" i="98"/>
  <c r="Y31" i="98"/>
  <c r="Y47" i="98"/>
  <c r="Y63" i="98"/>
  <c r="Y79" i="98"/>
  <c r="Y111" i="98"/>
  <c r="Y127" i="98"/>
  <c r="Y13" i="98"/>
  <c r="Y93" i="98"/>
  <c r="Y26" i="98"/>
  <c r="Y90" i="98"/>
  <c r="Y5" i="98"/>
  <c r="Y71" i="98"/>
  <c r="Y135" i="98"/>
  <c r="Y12" i="98"/>
  <c r="Y28" i="98"/>
  <c r="Y44" i="98"/>
  <c r="Y60" i="98"/>
  <c r="Y76" i="98"/>
  <c r="Y92" i="98"/>
  <c r="Y108" i="98"/>
  <c r="Y124" i="98"/>
  <c r="Y9" i="98"/>
  <c r="Y25" i="98"/>
  <c r="Y41" i="98"/>
  <c r="Y57" i="98"/>
  <c r="Y73" i="98"/>
  <c r="Y89" i="98"/>
  <c r="Y105" i="98"/>
  <c r="Y121" i="98"/>
  <c r="Y137" i="98"/>
  <c r="Y22" i="98"/>
  <c r="Y38" i="98"/>
  <c r="Y54" i="98"/>
  <c r="Y70" i="98"/>
  <c r="Y86" i="98"/>
  <c r="Y102" i="98"/>
  <c r="Y118" i="98"/>
  <c r="Y134" i="98"/>
  <c r="Y19" i="98"/>
  <c r="Y35" i="98"/>
  <c r="Y51" i="98"/>
  <c r="Y67" i="98"/>
  <c r="Y83" i="98"/>
  <c r="Y99" i="98"/>
  <c r="Y115" i="98"/>
  <c r="Y131" i="98"/>
  <c r="Y16" i="98"/>
  <c r="Y32" i="98"/>
  <c r="Y64" i="98"/>
  <c r="Y80" i="98"/>
  <c r="Y112" i="98"/>
  <c r="Y29" i="98"/>
  <c r="Y61" i="98"/>
  <c r="Y125" i="98"/>
  <c r="Y42" i="98"/>
  <c r="Y74" i="98"/>
  <c r="Y122" i="98"/>
  <c r="Y39" i="98"/>
  <c r="Y87" i="98"/>
  <c r="Y119" i="98"/>
  <c r="E17" i="88"/>
  <c r="AX17" i="88" s="1"/>
  <c r="F17" i="88"/>
  <c r="AY17" i="88" s="1"/>
  <c r="E23" i="88"/>
  <c r="AX23" i="88" s="1"/>
  <c r="F23" i="88"/>
  <c r="AY23" i="88" s="1"/>
  <c r="E24" i="88"/>
  <c r="AX24" i="88" s="1"/>
  <c r="F24" i="88"/>
  <c r="AY24" i="88" s="1"/>
  <c r="E25" i="88"/>
  <c r="AX25" i="88" s="1"/>
  <c r="F25" i="88"/>
  <c r="AY25" i="88" s="1"/>
  <c r="E18" i="88"/>
  <c r="AX18" i="88" s="1"/>
  <c r="F18" i="88"/>
  <c r="AY18" i="88" s="1"/>
  <c r="E19" i="88"/>
  <c r="AX19" i="88" s="1"/>
  <c r="F19" i="88"/>
  <c r="AY19" i="88" s="1"/>
  <c r="E14" i="88"/>
  <c r="AX14" i="88" s="1"/>
  <c r="F14" i="88"/>
  <c r="AY14" i="88" s="1"/>
  <c r="E15" i="88"/>
  <c r="AX15" i="88" s="1"/>
  <c r="F15" i="88"/>
  <c r="AY15" i="88" s="1"/>
  <c r="F8" i="88"/>
  <c r="AY8" i="88" s="1"/>
  <c r="F9" i="88"/>
  <c r="AY9" i="88" s="1"/>
  <c r="E8" i="88"/>
  <c r="AX8" i="88" s="1"/>
  <c r="E9" i="88"/>
  <c r="AX9" i="88" s="1"/>
  <c r="BB14" i="88" l="1"/>
  <c r="BC14" i="88" s="1"/>
  <c r="BB18" i="88"/>
  <c r="BC18" i="88" s="1"/>
  <c r="BB24" i="88"/>
  <c r="BB17" i="88"/>
  <c r="BC17" i="88" s="1"/>
  <c r="BB9" i="88"/>
  <c r="BC9" i="88" s="1"/>
  <c r="BB8" i="88"/>
  <c r="BC8" i="88" s="1"/>
  <c r="BB15" i="88"/>
  <c r="BC15" i="88" s="1"/>
  <c r="BB19" i="88"/>
  <c r="BC19" i="88" s="1"/>
  <c r="BB25" i="88"/>
  <c r="BC25" i="88" s="1"/>
  <c r="BB23" i="88"/>
  <c r="BC23" i="88" s="1"/>
  <c r="BC24" i="88"/>
  <c r="D57" i="84"/>
  <c r="D28" i="84"/>
  <c r="D83" i="84"/>
  <c r="D15" i="84"/>
  <c r="F2" i="102" l="1"/>
  <c r="C6" i="84"/>
  <c r="C78" i="84"/>
  <c r="C68" i="84"/>
  <c r="C52" i="84"/>
  <c r="C42" i="84"/>
  <c r="T18" i="101" l="1"/>
  <c r="U18" i="101"/>
  <c r="T19" i="101"/>
  <c r="U19" i="101"/>
  <c r="T20" i="101"/>
  <c r="U20" i="101"/>
  <c r="T21" i="101"/>
  <c r="U21" i="101"/>
  <c r="AS18" i="87"/>
  <c r="AR18" i="87"/>
  <c r="F50" i="88" l="1"/>
  <c r="AY50" i="88" s="1"/>
  <c r="E50" i="88"/>
  <c r="AX50" i="88" s="1"/>
  <c r="BB50" i="88" l="1"/>
  <c r="BC50" i="88" s="1"/>
  <c r="F13" i="88"/>
  <c r="AY13" i="88" s="1"/>
  <c r="E13" i="88"/>
  <c r="AX13" i="88" s="1"/>
  <c r="H35" i="89"/>
  <c r="H31" i="89"/>
  <c r="H32" i="89"/>
  <c r="H33" i="89"/>
  <c r="H34" i="89"/>
  <c r="H25" i="89"/>
  <c r="H26" i="89"/>
  <c r="H27" i="89"/>
  <c r="H28" i="89"/>
  <c r="H29" i="89"/>
  <c r="H30" i="89"/>
  <c r="H18" i="89"/>
  <c r="H19" i="89"/>
  <c r="H22" i="89"/>
  <c r="H23" i="89"/>
  <c r="H24" i="89"/>
  <c r="BB13" i="88" l="1"/>
  <c r="BC13" i="88" s="1"/>
  <c r="G15" i="102"/>
  <c r="CE7" i="88"/>
  <c r="CC7" i="88"/>
  <c r="CD7" i="88"/>
  <c r="AU5" i="88"/>
  <c r="C35" i="85"/>
  <c r="C20" i="102" l="1"/>
  <c r="G20" i="102"/>
  <c r="CD235" i="88"/>
  <c r="G13" i="102" s="1"/>
  <c r="D20" i="102"/>
  <c r="E20" i="102"/>
  <c r="F20" i="102"/>
  <c r="CC235" i="88"/>
  <c r="G14" i="102" s="1"/>
  <c r="C3" i="102"/>
  <c r="H20" i="102" l="1"/>
  <c r="AA18" i="87"/>
  <c r="X18" i="87"/>
  <c r="AD60" i="87"/>
  <c r="AD47" i="87"/>
  <c r="AD16" i="87"/>
  <c r="E6" i="87"/>
  <c r="E140" i="88"/>
  <c r="AX140" i="88" s="1"/>
  <c r="E132" i="88"/>
  <c r="AX132" i="88" s="1"/>
  <c r="E133" i="88"/>
  <c r="AX133" i="88" s="1"/>
  <c r="E134" i="88"/>
  <c r="AX134" i="88" s="1"/>
  <c r="E135" i="88"/>
  <c r="AX135" i="88" s="1"/>
  <c r="E136" i="88"/>
  <c r="AX136" i="88" s="1"/>
  <c r="E131" i="88"/>
  <c r="AX131" i="88" s="1"/>
  <c r="BB140" i="88" l="1"/>
  <c r="BC140" i="88" s="1"/>
  <c r="BB8" i="98"/>
  <c r="BB16" i="98"/>
  <c r="BB24" i="98"/>
  <c r="BB64" i="98"/>
  <c r="BB96" i="98"/>
  <c r="BB17" i="98"/>
  <c r="BB89" i="98"/>
  <c r="BB121" i="98"/>
  <c r="BB26" i="98"/>
  <c r="BB58" i="98"/>
  <c r="BB106" i="98"/>
  <c r="BB83" i="98"/>
  <c r="BB9" i="98"/>
  <c r="BB98" i="98"/>
  <c r="BB131" i="98"/>
  <c r="BB10" i="98"/>
  <c r="BB11" i="98"/>
  <c r="BB19" i="98"/>
  <c r="BB27" i="98"/>
  <c r="BB35" i="98"/>
  <c r="BB43" i="98"/>
  <c r="BB51" i="98"/>
  <c r="BB59" i="98"/>
  <c r="BB67" i="98"/>
  <c r="BB75" i="98"/>
  <c r="BB115" i="98"/>
  <c r="BB12" i="98"/>
  <c r="BB20" i="98"/>
  <c r="BB28" i="98"/>
  <c r="BB36" i="98"/>
  <c r="BB44" i="98"/>
  <c r="BB52" i="98"/>
  <c r="BB60" i="98"/>
  <c r="BB68" i="98"/>
  <c r="BB76" i="98"/>
  <c r="BB84" i="98"/>
  <c r="BB92" i="98"/>
  <c r="BB100" i="98"/>
  <c r="BB108" i="98"/>
  <c r="BB116" i="98"/>
  <c r="BB124" i="98"/>
  <c r="BB132" i="98"/>
  <c r="BB5" i="98"/>
  <c r="BB56" i="98"/>
  <c r="BB104" i="98"/>
  <c r="BB136" i="98"/>
  <c r="BB49" i="98"/>
  <c r="BB73" i="98"/>
  <c r="BB113" i="98"/>
  <c r="BB18" i="98"/>
  <c r="BB66" i="98"/>
  <c r="BB114" i="98"/>
  <c r="BB99" i="98"/>
  <c r="BB13" i="98"/>
  <c r="BB21" i="98"/>
  <c r="BB29" i="98"/>
  <c r="BB37" i="98"/>
  <c r="BB45" i="98"/>
  <c r="BB53" i="98"/>
  <c r="BB61" i="98"/>
  <c r="BB69" i="98"/>
  <c r="BB77" i="98"/>
  <c r="BB85" i="98"/>
  <c r="BB93" i="98"/>
  <c r="BB101" i="98"/>
  <c r="BB109" i="98"/>
  <c r="BB117" i="98"/>
  <c r="BB125" i="98"/>
  <c r="BB133" i="98"/>
  <c r="BB40" i="98"/>
  <c r="BB80" i="98"/>
  <c r="BB112" i="98"/>
  <c r="BB33" i="98"/>
  <c r="BB57" i="98"/>
  <c r="BB97" i="98"/>
  <c r="BB34" i="98"/>
  <c r="BB82" i="98"/>
  <c r="BB122" i="98"/>
  <c r="BB107" i="98"/>
  <c r="BB14" i="98"/>
  <c r="BB22" i="98"/>
  <c r="BB30" i="98"/>
  <c r="BB38" i="98"/>
  <c r="BB46" i="98"/>
  <c r="BB54" i="98"/>
  <c r="BB62" i="98"/>
  <c r="BB70" i="98"/>
  <c r="BB78" i="98"/>
  <c r="BB86" i="98"/>
  <c r="BB94" i="98"/>
  <c r="BB102" i="98"/>
  <c r="BB110" i="98"/>
  <c r="BB118" i="98"/>
  <c r="BB126" i="98"/>
  <c r="BB134" i="98"/>
  <c r="BB48" i="98"/>
  <c r="BB88" i="98"/>
  <c r="BB128" i="98"/>
  <c r="BB41" i="98"/>
  <c r="BB81" i="98"/>
  <c r="BB129" i="98"/>
  <c r="BB50" i="98"/>
  <c r="BB90" i="98"/>
  <c r="BB6" i="98"/>
  <c r="BB123" i="98"/>
  <c r="BB15" i="98"/>
  <c r="BB23" i="98"/>
  <c r="BB31" i="98"/>
  <c r="BB39" i="98"/>
  <c r="BB47" i="98"/>
  <c r="BB55" i="98"/>
  <c r="BB63" i="98"/>
  <c r="BB71" i="98"/>
  <c r="BB79" i="98"/>
  <c r="BB87" i="98"/>
  <c r="BB95" i="98"/>
  <c r="BB103" i="98"/>
  <c r="BB111" i="98"/>
  <c r="BB119" i="98"/>
  <c r="BB127" i="98"/>
  <c r="BB135" i="98"/>
  <c r="BB32" i="98"/>
  <c r="BB72" i="98"/>
  <c r="BB120" i="98"/>
  <c r="BB25" i="98"/>
  <c r="BB65" i="98"/>
  <c r="BB105" i="98"/>
  <c r="BB137" i="98"/>
  <c r="BB42" i="98"/>
  <c r="BB74" i="98"/>
  <c r="BB130" i="98"/>
  <c r="BB91" i="98"/>
  <c r="BB7" i="98"/>
  <c r="D81" i="100"/>
  <c r="C76" i="100"/>
  <c r="C66" i="100"/>
  <c r="D55" i="100"/>
  <c r="C50" i="100"/>
  <c r="C40" i="100"/>
  <c r="F126" i="88"/>
  <c r="AY126" i="88" s="1"/>
  <c r="F127" i="88"/>
  <c r="AY127" i="88" s="1"/>
  <c r="F125" i="88"/>
  <c r="AY125" i="88" s="1"/>
  <c r="E157" i="88"/>
  <c r="AX157" i="88" s="1"/>
  <c r="E156" i="88"/>
  <c r="AX156" i="88" s="1"/>
  <c r="E96" i="88"/>
  <c r="AX96" i="88" s="1"/>
  <c r="E95" i="88"/>
  <c r="AX95" i="88" s="1"/>
  <c r="E94" i="88"/>
  <c r="AX94" i="88" s="1"/>
  <c r="E93" i="88"/>
  <c r="AX93" i="88" s="1"/>
  <c r="E92" i="88"/>
  <c r="AX92" i="88" s="1"/>
  <c r="E79" i="88"/>
  <c r="AX79" i="88" s="1"/>
  <c r="E64" i="88"/>
  <c r="AX64" i="88" s="1"/>
  <c r="E49" i="88"/>
  <c r="AX49" i="88" s="1"/>
  <c r="E48" i="88"/>
  <c r="AX48" i="88" s="1"/>
  <c r="E40" i="88"/>
  <c r="AX40" i="88" s="1"/>
  <c r="E36" i="88"/>
  <c r="AX36" i="88" s="1"/>
  <c r="L104" i="87" l="1"/>
  <c r="K104" i="87"/>
  <c r="J104" i="87"/>
  <c r="I104" i="87"/>
  <c r="H104" i="87"/>
  <c r="G104" i="87"/>
  <c r="F104" i="87"/>
  <c r="E104" i="87"/>
  <c r="D104" i="87"/>
  <c r="C104" i="87"/>
  <c r="B104" i="87"/>
  <c r="A104" i="87"/>
  <c r="BC60" i="87"/>
  <c r="BB60" i="87"/>
  <c r="AZ60" i="87"/>
  <c r="AX60" i="87"/>
  <c r="AV60" i="87"/>
  <c r="AT60" i="87"/>
  <c r="AQ60" i="87"/>
  <c r="AN60" i="87"/>
  <c r="AK60" i="87"/>
  <c r="AH60" i="87"/>
  <c r="AF60" i="87"/>
  <c r="AB60" i="87"/>
  <c r="Y60" i="87"/>
  <c r="V60" i="87"/>
  <c r="S60" i="87"/>
  <c r="P60" i="87"/>
  <c r="M60" i="87"/>
  <c r="J60" i="87"/>
  <c r="G60" i="87"/>
  <c r="D60" i="87"/>
  <c r="A60" i="87"/>
  <c r="BC59" i="87"/>
  <c r="BB59" i="87"/>
  <c r="AZ59" i="87"/>
  <c r="AX59" i="87"/>
  <c r="AN59" i="87"/>
  <c r="AH59" i="87"/>
  <c r="AF59" i="87"/>
  <c r="AB59" i="87"/>
  <c r="V59" i="87"/>
  <c r="S59" i="87"/>
  <c r="J59" i="87"/>
  <c r="A59" i="87"/>
  <c r="BC47" i="87"/>
  <c r="BB47" i="87"/>
  <c r="AZ47" i="87"/>
  <c r="AX47" i="87"/>
  <c r="AV47" i="87"/>
  <c r="AT47" i="87"/>
  <c r="AQ47" i="87"/>
  <c r="AN47" i="87"/>
  <c r="AK47" i="87"/>
  <c r="AH47" i="87"/>
  <c r="AF47" i="87"/>
  <c r="AB47" i="87"/>
  <c r="Y47" i="87"/>
  <c r="V47" i="87"/>
  <c r="S47" i="87"/>
  <c r="P47" i="87"/>
  <c r="M47" i="87"/>
  <c r="J47" i="87"/>
  <c r="G47" i="87"/>
  <c r="D47" i="87"/>
  <c r="A47" i="87"/>
  <c r="BC46" i="87"/>
  <c r="BB46" i="87"/>
  <c r="AZ46" i="87"/>
  <c r="AX46" i="87"/>
  <c r="AN46" i="87"/>
  <c r="AH46" i="87"/>
  <c r="AF46" i="87"/>
  <c r="AB46" i="87"/>
  <c r="V46" i="87"/>
  <c r="S46" i="87"/>
  <c r="J46" i="87"/>
  <c r="A46" i="87"/>
  <c r="AQ22" i="87"/>
  <c r="AD22" i="87"/>
  <c r="P22" i="87"/>
  <c r="G22" i="87"/>
  <c r="AT21" i="87"/>
  <c r="AQ21" i="87"/>
  <c r="AN21" i="87"/>
  <c r="AD21" i="87"/>
  <c r="P21" i="87"/>
  <c r="G21" i="87"/>
  <c r="AT20" i="87"/>
  <c r="AQ20" i="87"/>
  <c r="AN20" i="87"/>
  <c r="AD20" i="87"/>
  <c r="P20" i="87"/>
  <c r="J20" i="87"/>
  <c r="G20" i="87"/>
  <c r="A20" i="87"/>
  <c r="AX19" i="87"/>
  <c r="AV19" i="87"/>
  <c r="AT19" i="87"/>
  <c r="AQ19" i="87"/>
  <c r="AN19" i="87"/>
  <c r="AD19" i="87"/>
  <c r="W19" i="87"/>
  <c r="V19" i="87"/>
  <c r="S19" i="87"/>
  <c r="P19" i="87"/>
  <c r="J19" i="87"/>
  <c r="G19" i="87"/>
  <c r="B19" i="87"/>
  <c r="A19" i="87"/>
  <c r="BC18" i="87"/>
  <c r="BB18" i="87"/>
  <c r="BA18" i="87"/>
  <c r="AZ18" i="87"/>
  <c r="AY18" i="87"/>
  <c r="AX18" i="87"/>
  <c r="AW18" i="87"/>
  <c r="AV18" i="87"/>
  <c r="AU18" i="87"/>
  <c r="AT18" i="87"/>
  <c r="AQ18" i="87"/>
  <c r="AP18" i="87"/>
  <c r="AO18" i="87"/>
  <c r="AN18" i="87"/>
  <c r="AM18" i="87"/>
  <c r="AL18" i="87"/>
  <c r="AK18" i="87"/>
  <c r="AJ18" i="87"/>
  <c r="AI18" i="87"/>
  <c r="AH18" i="87"/>
  <c r="AG18" i="87"/>
  <c r="AF18" i="87"/>
  <c r="AE18" i="87"/>
  <c r="AD18" i="87"/>
  <c r="AC18" i="87"/>
  <c r="AB18" i="87"/>
  <c r="Z18" i="87"/>
  <c r="Y18" i="87"/>
  <c r="W18" i="87"/>
  <c r="V18" i="87"/>
  <c r="U18" i="87"/>
  <c r="T18" i="87"/>
  <c r="S18" i="87"/>
  <c r="R18" i="87"/>
  <c r="Q18" i="87"/>
  <c r="P18" i="87"/>
  <c r="O18" i="87"/>
  <c r="N18" i="87"/>
  <c r="M18" i="87"/>
  <c r="L18" i="87"/>
  <c r="K18" i="87"/>
  <c r="J18" i="87"/>
  <c r="I18" i="87"/>
  <c r="H18" i="87"/>
  <c r="G18" i="87"/>
  <c r="F18" i="87"/>
  <c r="E18" i="87"/>
  <c r="D18" i="87"/>
  <c r="C18" i="87"/>
  <c r="B18" i="87"/>
  <c r="A18" i="87"/>
  <c r="BC16" i="87"/>
  <c r="BB16" i="87"/>
  <c r="AZ16" i="87"/>
  <c r="AX16" i="87"/>
  <c r="AV16" i="87"/>
  <c r="AT16" i="87"/>
  <c r="AQ16" i="87"/>
  <c r="AN16" i="87"/>
  <c r="AK16" i="87"/>
  <c r="AH16" i="87"/>
  <c r="AF16" i="87"/>
  <c r="AB16" i="87"/>
  <c r="Y16" i="87"/>
  <c r="V16" i="87"/>
  <c r="S16" i="87"/>
  <c r="P16" i="87"/>
  <c r="M16" i="87"/>
  <c r="J16" i="87"/>
  <c r="G16" i="87"/>
  <c r="D16" i="87"/>
  <c r="A16" i="87"/>
  <c r="BC15" i="87"/>
  <c r="BB15" i="87"/>
  <c r="AZ15" i="87"/>
  <c r="AX15" i="87"/>
  <c r="AN15" i="87"/>
  <c r="AH15" i="87"/>
  <c r="AF15" i="87"/>
  <c r="AB15" i="87"/>
  <c r="V15" i="87"/>
  <c r="S15" i="87"/>
  <c r="J15" i="87"/>
  <c r="A15" i="87"/>
  <c r="H8" i="87"/>
  <c r="H7" i="87"/>
  <c r="B7" i="87"/>
  <c r="A7" i="87"/>
  <c r="H6" i="87"/>
  <c r="G6" i="87"/>
  <c r="D6" i="87"/>
  <c r="B6" i="87"/>
  <c r="A6" i="87"/>
  <c r="L5" i="87"/>
  <c r="K5" i="87"/>
  <c r="J5" i="87"/>
  <c r="I5" i="87"/>
  <c r="H5" i="87"/>
  <c r="G5" i="87"/>
  <c r="F5" i="87"/>
  <c r="E5" i="87"/>
  <c r="D5" i="87"/>
  <c r="C5" i="87"/>
  <c r="B5" i="87"/>
  <c r="A5" i="87"/>
  <c r="L4" i="87"/>
  <c r="K4" i="87"/>
  <c r="J4" i="87"/>
  <c r="I4" i="87"/>
  <c r="H4" i="87"/>
  <c r="G4" i="87"/>
  <c r="F4" i="87"/>
  <c r="E4" i="87"/>
  <c r="D4" i="87"/>
  <c r="C4" i="87"/>
  <c r="B4" i="87"/>
  <c r="A4" i="87"/>
  <c r="F232" i="88"/>
  <c r="AY232" i="88" s="1"/>
  <c r="E232" i="88"/>
  <c r="AX232" i="88" s="1"/>
  <c r="F231" i="88"/>
  <c r="AY231" i="88" s="1"/>
  <c r="E231" i="88"/>
  <c r="AX231" i="88" s="1"/>
  <c r="F230" i="88"/>
  <c r="AY230" i="88" s="1"/>
  <c r="E230" i="88"/>
  <c r="AX230" i="88" s="1"/>
  <c r="F228" i="88"/>
  <c r="AY228" i="88" s="1"/>
  <c r="E228" i="88"/>
  <c r="AX228" i="88" s="1"/>
  <c r="F227" i="88"/>
  <c r="AY227" i="88" s="1"/>
  <c r="E227" i="88"/>
  <c r="AX227" i="88" s="1"/>
  <c r="F226" i="88"/>
  <c r="AY226" i="88" s="1"/>
  <c r="E226" i="88"/>
  <c r="AX226" i="88" s="1"/>
  <c r="F221" i="88"/>
  <c r="AY221" i="88" s="1"/>
  <c r="F220" i="88"/>
  <c r="AY220" i="88" s="1"/>
  <c r="E220" i="88"/>
  <c r="AX220" i="88" s="1"/>
  <c r="F218" i="88"/>
  <c r="AY218" i="88" s="1"/>
  <c r="E218" i="88"/>
  <c r="AX218" i="88" s="1"/>
  <c r="F217" i="88"/>
  <c r="AY217" i="88" s="1"/>
  <c r="E217" i="88"/>
  <c r="AX217" i="88" s="1"/>
  <c r="F216" i="88"/>
  <c r="AY216" i="88" s="1"/>
  <c r="E216" i="88"/>
  <c r="AX216" i="88" s="1"/>
  <c r="E211" i="88"/>
  <c r="AX211" i="88" s="1"/>
  <c r="F207" i="88"/>
  <c r="AY207" i="88" s="1"/>
  <c r="E207" i="88"/>
  <c r="AX207" i="88" s="1"/>
  <c r="E202" i="88"/>
  <c r="AX202" i="88" s="1"/>
  <c r="F199" i="88"/>
  <c r="AY199" i="88" s="1"/>
  <c r="E199" i="88"/>
  <c r="AX199" i="88" s="1"/>
  <c r="F196" i="88"/>
  <c r="AY196" i="88" s="1"/>
  <c r="E196" i="88"/>
  <c r="AX196" i="88" s="1"/>
  <c r="E195" i="88"/>
  <c r="AX195" i="88" s="1"/>
  <c r="F191" i="88"/>
  <c r="AY191" i="88" s="1"/>
  <c r="E191" i="88"/>
  <c r="AX191" i="88" s="1"/>
  <c r="F190" i="88"/>
  <c r="AY190" i="88" s="1"/>
  <c r="E190" i="88"/>
  <c r="AX190" i="88" s="1"/>
  <c r="F189" i="88"/>
  <c r="AY189" i="88" s="1"/>
  <c r="E189" i="88"/>
  <c r="AX189" i="88" s="1"/>
  <c r="F188" i="88"/>
  <c r="AY188" i="88" s="1"/>
  <c r="E188" i="88"/>
  <c r="AX188" i="88" s="1"/>
  <c r="F187" i="88"/>
  <c r="AY187" i="88" s="1"/>
  <c r="E187" i="88"/>
  <c r="AX187" i="88" s="1"/>
  <c r="F186" i="88"/>
  <c r="AY186" i="88" s="1"/>
  <c r="E186" i="88"/>
  <c r="AX186" i="88" s="1"/>
  <c r="F185" i="88"/>
  <c r="AY185" i="88" s="1"/>
  <c r="E185" i="88"/>
  <c r="AX185" i="88" s="1"/>
  <c r="F184" i="88"/>
  <c r="AY184" i="88" s="1"/>
  <c r="F183" i="88"/>
  <c r="AY183" i="88" s="1"/>
  <c r="F182" i="88"/>
  <c r="AY182" i="88" s="1"/>
  <c r="F181" i="88"/>
  <c r="AY181" i="88" s="1"/>
  <c r="F178" i="88"/>
  <c r="AY178" i="88" s="1"/>
  <c r="E178" i="88"/>
  <c r="AX178" i="88" s="1"/>
  <c r="F177" i="88"/>
  <c r="AY177" i="88" s="1"/>
  <c r="E177" i="88"/>
  <c r="AX177" i="88" s="1"/>
  <c r="F176" i="88"/>
  <c r="AY176" i="88" s="1"/>
  <c r="F175" i="88"/>
  <c r="AY175" i="88" s="1"/>
  <c r="F174" i="88"/>
  <c r="AY174" i="88" s="1"/>
  <c r="E171" i="88"/>
  <c r="AX171" i="88" s="1"/>
  <c r="F170" i="88"/>
  <c r="AY170" i="88" s="1"/>
  <c r="E170" i="88"/>
  <c r="AX170" i="88" s="1"/>
  <c r="F169" i="88"/>
  <c r="AY169" i="88" s="1"/>
  <c r="E169" i="88"/>
  <c r="AX169" i="88" s="1"/>
  <c r="F168" i="88"/>
  <c r="AY168" i="88" s="1"/>
  <c r="F167" i="88"/>
  <c r="AY167" i="88" s="1"/>
  <c r="F166" i="88"/>
  <c r="AY166" i="88" s="1"/>
  <c r="F165" i="88"/>
  <c r="AY165" i="88" s="1"/>
  <c r="F164" i="88"/>
  <c r="AY164" i="88" s="1"/>
  <c r="F163" i="88"/>
  <c r="AY163" i="88" s="1"/>
  <c r="F162" i="88"/>
  <c r="AY162" i="88" s="1"/>
  <c r="F159" i="88"/>
  <c r="AY159" i="88" s="1"/>
  <c r="E159" i="88"/>
  <c r="AX159" i="88" s="1"/>
  <c r="F157" i="88"/>
  <c r="AY157" i="88" s="1"/>
  <c r="BB157" i="88" s="1"/>
  <c r="F156" i="88"/>
  <c r="AY156" i="88" s="1"/>
  <c r="F155" i="88"/>
  <c r="AY155" i="88" s="1"/>
  <c r="E155" i="88"/>
  <c r="AX155" i="88" s="1"/>
  <c r="E153" i="88"/>
  <c r="AX153" i="88" s="1"/>
  <c r="F152" i="88"/>
  <c r="AY152" i="88" s="1"/>
  <c r="E152" i="88"/>
  <c r="AX152" i="88" s="1"/>
  <c r="E151" i="88"/>
  <c r="AX151" i="88" s="1"/>
  <c r="F147" i="88"/>
  <c r="AY147" i="88" s="1"/>
  <c r="E147" i="88"/>
  <c r="AX147" i="88" s="1"/>
  <c r="F143" i="88"/>
  <c r="AY143" i="88" s="1"/>
  <c r="F142" i="88"/>
  <c r="AY142" i="88" s="1"/>
  <c r="E142" i="88"/>
  <c r="AX142" i="88" s="1"/>
  <c r="C141" i="88"/>
  <c r="F137" i="88"/>
  <c r="AY137" i="88" s="1"/>
  <c r="E137" i="88"/>
  <c r="AX137" i="88" s="1"/>
  <c r="F136" i="88"/>
  <c r="AY136" i="88" s="1"/>
  <c r="F135" i="88"/>
  <c r="AY135" i="88" s="1"/>
  <c r="F134" i="88"/>
  <c r="AY134" i="88" s="1"/>
  <c r="F133" i="88"/>
  <c r="AY133" i="88" s="1"/>
  <c r="F132" i="88"/>
  <c r="AY132" i="88" s="1"/>
  <c r="F131" i="88"/>
  <c r="AY131" i="88" s="1"/>
  <c r="AY130" i="88"/>
  <c r="F129" i="88"/>
  <c r="AY129" i="88" s="1"/>
  <c r="E129" i="88"/>
  <c r="AX129" i="88" s="1"/>
  <c r="C128" i="88"/>
  <c r="E127" i="88"/>
  <c r="AX127" i="88" s="1"/>
  <c r="E126" i="88"/>
  <c r="AX126" i="88" s="1"/>
  <c r="E125" i="88"/>
  <c r="AX125" i="88" s="1"/>
  <c r="F124" i="88"/>
  <c r="AY124" i="88" s="1"/>
  <c r="E124" i="88"/>
  <c r="AX124" i="88" s="1"/>
  <c r="F123" i="88"/>
  <c r="AY123" i="88" s="1"/>
  <c r="E123" i="88"/>
  <c r="AX123" i="88" s="1"/>
  <c r="F122" i="88"/>
  <c r="AY122" i="88" s="1"/>
  <c r="E122" i="88"/>
  <c r="AX122" i="88" s="1"/>
  <c r="F118" i="88"/>
  <c r="AY118" i="88" s="1"/>
  <c r="E118" i="88"/>
  <c r="AX118" i="88" s="1"/>
  <c r="F117" i="88"/>
  <c r="AY117" i="88" s="1"/>
  <c r="E117" i="88"/>
  <c r="AX117" i="88" s="1"/>
  <c r="F116" i="88"/>
  <c r="AY116" i="88" s="1"/>
  <c r="E116" i="88"/>
  <c r="AX116" i="88" s="1"/>
  <c r="C115" i="88"/>
  <c r="F109" i="88"/>
  <c r="AY109" i="88" s="1"/>
  <c r="F108" i="88"/>
  <c r="AY108" i="88" s="1"/>
  <c r="E108" i="88"/>
  <c r="AX108" i="88" s="1"/>
  <c r="F107" i="88"/>
  <c r="AY107" i="88" s="1"/>
  <c r="F106" i="88"/>
  <c r="AY106" i="88" s="1"/>
  <c r="F102" i="88"/>
  <c r="AY102" i="88" s="1"/>
  <c r="E102" i="88"/>
  <c r="AX102" i="88" s="1"/>
  <c r="C101" i="88"/>
  <c r="E97" i="88"/>
  <c r="AX97" i="88" s="1"/>
  <c r="F96" i="88"/>
  <c r="AY96" i="88" s="1"/>
  <c r="BB96" i="88" s="1"/>
  <c r="F95" i="88"/>
  <c r="AY95" i="88" s="1"/>
  <c r="F94" i="88"/>
  <c r="AY94" i="88" s="1"/>
  <c r="F93" i="88"/>
  <c r="AY93" i="88" s="1"/>
  <c r="F92" i="88"/>
  <c r="AY92" i="88" s="1"/>
  <c r="BB92" i="88" s="1"/>
  <c r="F91" i="88"/>
  <c r="AY91" i="88" s="1"/>
  <c r="F90" i="88"/>
  <c r="AY90" i="88" s="1"/>
  <c r="F83" i="88"/>
  <c r="AY83" i="88" s="1"/>
  <c r="E83" i="88"/>
  <c r="AX83" i="88" s="1"/>
  <c r="F82" i="88"/>
  <c r="AY82" i="88" s="1"/>
  <c r="E82" i="88"/>
  <c r="AX82" i="88" s="1"/>
  <c r="F79" i="88"/>
  <c r="AY79" i="88" s="1"/>
  <c r="BB79" i="88" s="1"/>
  <c r="F78" i="88"/>
  <c r="AY78" i="88" s="1"/>
  <c r="F74" i="88"/>
  <c r="AY74" i="88" s="1"/>
  <c r="E74" i="88"/>
  <c r="AX74" i="88" s="1"/>
  <c r="F73" i="88"/>
  <c r="AY73" i="88" s="1"/>
  <c r="E73" i="88"/>
  <c r="AX73" i="88" s="1"/>
  <c r="F72" i="88"/>
  <c r="AY72" i="88" s="1"/>
  <c r="E72" i="88"/>
  <c r="AX72" i="88" s="1"/>
  <c r="F71" i="88"/>
  <c r="AY71" i="88" s="1"/>
  <c r="E71" i="88"/>
  <c r="AX71" i="88" s="1"/>
  <c r="F70" i="88"/>
  <c r="AY70" i="88" s="1"/>
  <c r="F67" i="88"/>
  <c r="AY67" i="88" s="1"/>
  <c r="E67" i="88"/>
  <c r="AX67" i="88" s="1"/>
  <c r="F66" i="88"/>
  <c r="AY66" i="88" s="1"/>
  <c r="E66" i="88"/>
  <c r="AX66" i="88" s="1"/>
  <c r="F65" i="88"/>
  <c r="AY65" i="88" s="1"/>
  <c r="E65" i="88"/>
  <c r="AX65" i="88" s="1"/>
  <c r="F64" i="88"/>
  <c r="AY64" i="88" s="1"/>
  <c r="F63" i="88"/>
  <c r="AY63" i="88" s="1"/>
  <c r="F62" i="88"/>
  <c r="AY62" i="88" s="1"/>
  <c r="F61" i="88"/>
  <c r="AY61" i="88" s="1"/>
  <c r="E59" i="88"/>
  <c r="AX59" i="88" s="1"/>
  <c r="F55" i="88"/>
  <c r="AY55" i="88" s="1"/>
  <c r="E55" i="88"/>
  <c r="AX55" i="88" s="1"/>
  <c r="C54" i="88"/>
  <c r="F53" i="88"/>
  <c r="AY53" i="88" s="1"/>
  <c r="E53" i="88"/>
  <c r="AX53" i="88" s="1"/>
  <c r="F49" i="88"/>
  <c r="AY49" i="88" s="1"/>
  <c r="BB49" i="88" s="1"/>
  <c r="F48" i="88"/>
  <c r="AY48" i="88" s="1"/>
  <c r="F44" i="88"/>
  <c r="AY44" i="88" s="1"/>
  <c r="E44" i="88"/>
  <c r="AX44" i="88" s="1"/>
  <c r="F41" i="88"/>
  <c r="AY41" i="88" s="1"/>
  <c r="E41" i="88"/>
  <c r="AX41" i="88" s="1"/>
  <c r="F40" i="88"/>
  <c r="AY40" i="88" s="1"/>
  <c r="BB40" i="88" s="1"/>
  <c r="F36" i="88"/>
  <c r="AY36" i="88" s="1"/>
  <c r="BB36" i="88" s="1"/>
  <c r="F33" i="88"/>
  <c r="AY33" i="88" s="1"/>
  <c r="E33" i="88"/>
  <c r="AX33" i="88" s="1"/>
  <c r="F30" i="88"/>
  <c r="AY30" i="88" s="1"/>
  <c r="E30" i="88"/>
  <c r="AX30" i="88" s="1"/>
  <c r="F29" i="88"/>
  <c r="AY29" i="88" s="1"/>
  <c r="E29" i="88"/>
  <c r="AX29" i="88" s="1"/>
  <c r="F28" i="88"/>
  <c r="AY28" i="88" s="1"/>
  <c r="E28" i="88"/>
  <c r="AX28" i="88" s="1"/>
  <c r="F27" i="88"/>
  <c r="AY27" i="88" s="1"/>
  <c r="E27" i="88"/>
  <c r="AX27" i="88" s="1"/>
  <c r="F26" i="88"/>
  <c r="AY26" i="88" s="1"/>
  <c r="E26" i="88"/>
  <c r="AX26" i="88" s="1"/>
  <c r="F22" i="88"/>
  <c r="AY22" i="88" s="1"/>
  <c r="E22" i="88"/>
  <c r="AX22" i="88" s="1"/>
  <c r="F21" i="88"/>
  <c r="AY21" i="88" s="1"/>
  <c r="E21" i="88"/>
  <c r="AX21" i="88" s="1"/>
  <c r="F20" i="88"/>
  <c r="AY20" i="88" s="1"/>
  <c r="E20" i="88"/>
  <c r="AX20" i="88" s="1"/>
  <c r="F16" i="88"/>
  <c r="AY16" i="88" s="1"/>
  <c r="E16" i="88"/>
  <c r="AX16" i="88" s="1"/>
  <c r="F12" i="88"/>
  <c r="AY12" i="88" s="1"/>
  <c r="E12" i="88"/>
  <c r="AX12" i="88" s="1"/>
  <c r="F11" i="88"/>
  <c r="AY11" i="88" s="1"/>
  <c r="E11" i="88"/>
  <c r="AX11" i="88" s="1"/>
  <c r="F10" i="88"/>
  <c r="AY10" i="88" s="1"/>
  <c r="E10" i="88"/>
  <c r="AX10" i="88" s="1"/>
  <c r="F7" i="88"/>
  <c r="E7" i="88"/>
  <c r="C6" i="88"/>
  <c r="H13" i="89"/>
  <c r="K15" i="82"/>
  <c r="B18" i="99"/>
  <c r="B17" i="99"/>
  <c r="B16" i="99"/>
  <c r="B15" i="99"/>
  <c r="B14" i="99"/>
  <c r="B13" i="99"/>
  <c r="B12" i="99"/>
  <c r="B11" i="99"/>
  <c r="B10" i="99"/>
  <c r="B9" i="99"/>
  <c r="B8" i="99"/>
  <c r="B7" i="99"/>
  <c r="C32" i="85"/>
  <c r="C33" i="85"/>
  <c r="C34" i="85"/>
  <c r="C31" i="85"/>
  <c r="C24" i="85"/>
  <c r="C21" i="85"/>
  <c r="C20" i="85"/>
  <c r="C19" i="85"/>
  <c r="C18" i="85"/>
  <c r="C17" i="85"/>
  <c r="C14" i="85"/>
  <c r="C13" i="85"/>
  <c r="C12" i="85"/>
  <c r="C11" i="85"/>
  <c r="C10" i="85"/>
  <c r="C7" i="85"/>
  <c r="C6" i="85"/>
  <c r="C5" i="85"/>
  <c r="C4" i="85"/>
  <c r="C3" i="85"/>
  <c r="C26" i="85"/>
  <c r="C27" i="85"/>
  <c r="C28" i="85"/>
  <c r="D23" i="85"/>
  <c r="C25" i="85"/>
  <c r="K6" i="82"/>
  <c r="BB147" i="88" l="1"/>
  <c r="BB220" i="88"/>
  <c r="BC220" i="88" s="1"/>
  <c r="BB55" i="88"/>
  <c r="BB72" i="88"/>
  <c r="BB74" i="88"/>
  <c r="BB82" i="88"/>
  <c r="BB199" i="88"/>
  <c r="BC199" i="88" s="1"/>
  <c r="BB217" i="88"/>
  <c r="BC217" i="88" s="1"/>
  <c r="BB10" i="88"/>
  <c r="BC10" i="88" s="1"/>
  <c r="BB12" i="88"/>
  <c r="BC12" i="88" s="1"/>
  <c r="BB20" i="88"/>
  <c r="BC20" i="88" s="1"/>
  <c r="BB22" i="88"/>
  <c r="BC22" i="88" s="1"/>
  <c r="BB27" i="88"/>
  <c r="BC27" i="88" s="1"/>
  <c r="BB29" i="88"/>
  <c r="BC29" i="88" s="1"/>
  <c r="BB33" i="88"/>
  <c r="BC33" i="88" s="1"/>
  <c r="BB41" i="88"/>
  <c r="BC41" i="88" s="1"/>
  <c r="BB65" i="88"/>
  <c r="BC65" i="88" s="1"/>
  <c r="BB67" i="88"/>
  <c r="BC67" i="88" s="1"/>
  <c r="BB117" i="88"/>
  <c r="BC117" i="88" s="1"/>
  <c r="BB122" i="88"/>
  <c r="BC122" i="88" s="1"/>
  <c r="BB124" i="88"/>
  <c r="BC124" i="88" s="1"/>
  <c r="BB152" i="88"/>
  <c r="BC152" i="88" s="1"/>
  <c r="BB169" i="88"/>
  <c r="BC169" i="88" s="1"/>
  <c r="BB177" i="88"/>
  <c r="BC177" i="88" s="1"/>
  <c r="BB185" i="88"/>
  <c r="BC185" i="88" s="1"/>
  <c r="BB187" i="88"/>
  <c r="BC187" i="88" s="1"/>
  <c r="BB189" i="88"/>
  <c r="BC189" i="88" s="1"/>
  <c r="BB191" i="88"/>
  <c r="BC191" i="88" s="1"/>
  <c r="BB207" i="88"/>
  <c r="BC207" i="88" s="1"/>
  <c r="BB226" i="88"/>
  <c r="BC226" i="88" s="1"/>
  <c r="BB228" i="88"/>
  <c r="BC228" i="88" s="1"/>
  <c r="BB231" i="88"/>
  <c r="BC231" i="88" s="1"/>
  <c r="BB106" i="88"/>
  <c r="BC106" i="88" s="1"/>
  <c r="BB130" i="88"/>
  <c r="BC130" i="88" s="1"/>
  <c r="BB134" i="88"/>
  <c r="BC134" i="88" s="1"/>
  <c r="BB143" i="88"/>
  <c r="BC143" i="88" s="1"/>
  <c r="BB165" i="88"/>
  <c r="BC165" i="88" s="1"/>
  <c r="BB181" i="88"/>
  <c r="BC181" i="88" s="1"/>
  <c r="BC49" i="88"/>
  <c r="BB62" i="88"/>
  <c r="BC62" i="88" s="1"/>
  <c r="BB90" i="88"/>
  <c r="BC90" i="88" s="1"/>
  <c r="BB107" i="88"/>
  <c r="BC107" i="88" s="1"/>
  <c r="BB131" i="88"/>
  <c r="BC131" i="88" s="1"/>
  <c r="BB135" i="88"/>
  <c r="BC135" i="88" s="1"/>
  <c r="BB162" i="88"/>
  <c r="BC162" i="88" s="1"/>
  <c r="BB166" i="88"/>
  <c r="BC166" i="88" s="1"/>
  <c r="BB174" i="88"/>
  <c r="BC174" i="88" s="1"/>
  <c r="BB182" i="88"/>
  <c r="BC182" i="88" s="1"/>
  <c r="BB61" i="88"/>
  <c r="BC61" i="88" s="1"/>
  <c r="BB109" i="88"/>
  <c r="BC109" i="88" s="1"/>
  <c r="BB11" i="88"/>
  <c r="BC11" i="88" s="1"/>
  <c r="BB16" i="88"/>
  <c r="BC16" i="88" s="1"/>
  <c r="BB21" i="88"/>
  <c r="BC21" i="88" s="1"/>
  <c r="BB26" i="88"/>
  <c r="BC26" i="88" s="1"/>
  <c r="BB28" i="88"/>
  <c r="BC28" i="88" s="1"/>
  <c r="BB30" i="88"/>
  <c r="BC30" i="88" s="1"/>
  <c r="BC36" i="88"/>
  <c r="BB44" i="88"/>
  <c r="BC44" i="88" s="1"/>
  <c r="BB53" i="88"/>
  <c r="BC53" i="88" s="1"/>
  <c r="BB63" i="88"/>
  <c r="BC63" i="88" s="1"/>
  <c r="BB66" i="88"/>
  <c r="BC66" i="88" s="1"/>
  <c r="BB70" i="88"/>
  <c r="BC70" i="88" s="1"/>
  <c r="BB91" i="88"/>
  <c r="BC91" i="88" s="1"/>
  <c r="BB102" i="88"/>
  <c r="BC102" i="88" s="1"/>
  <c r="BB108" i="88"/>
  <c r="BC108" i="88" s="1"/>
  <c r="BB116" i="88"/>
  <c r="BC116" i="88" s="1"/>
  <c r="BB118" i="88"/>
  <c r="BC118" i="88" s="1"/>
  <c r="BB123" i="88"/>
  <c r="BC123" i="88" s="1"/>
  <c r="BB129" i="88"/>
  <c r="BC129" i="88" s="1"/>
  <c r="BB132" i="88"/>
  <c r="BC132" i="88" s="1"/>
  <c r="BB136" i="88"/>
  <c r="BC136" i="88" s="1"/>
  <c r="BB142" i="88"/>
  <c r="BC142" i="88" s="1"/>
  <c r="BC157" i="88"/>
  <c r="BB163" i="88"/>
  <c r="BC163" i="88" s="1"/>
  <c r="BB167" i="88"/>
  <c r="BC167" i="88" s="1"/>
  <c r="BB170" i="88"/>
  <c r="BC170" i="88" s="1"/>
  <c r="BB175" i="88"/>
  <c r="BC175" i="88" s="1"/>
  <c r="BB178" i="88"/>
  <c r="BC178" i="88" s="1"/>
  <c r="BB183" i="88"/>
  <c r="BC183" i="88" s="1"/>
  <c r="BB186" i="88"/>
  <c r="BC186" i="88" s="1"/>
  <c r="BB188" i="88"/>
  <c r="BC188" i="88" s="1"/>
  <c r="BB190" i="88"/>
  <c r="BC190" i="88" s="1"/>
  <c r="BB227" i="88"/>
  <c r="BC227" i="88" s="1"/>
  <c r="BB230" i="88"/>
  <c r="BC230" i="88" s="1"/>
  <c r="BB232" i="88"/>
  <c r="BC232" i="88" s="1"/>
  <c r="BB156" i="88"/>
  <c r="BC156" i="88" s="1"/>
  <c r="BB94" i="88"/>
  <c r="BC94" i="88" s="1"/>
  <c r="BC79" i="88"/>
  <c r="BC40" i="88"/>
  <c r="BB71" i="88"/>
  <c r="BC71" i="88" s="1"/>
  <c r="BB73" i="88"/>
  <c r="BC73" i="88" s="1"/>
  <c r="BB78" i="88"/>
  <c r="BC78" i="88" s="1"/>
  <c r="BB83" i="88"/>
  <c r="BC83" i="88" s="1"/>
  <c r="BC92" i="88"/>
  <c r="BC96" i="88"/>
  <c r="BB133" i="88"/>
  <c r="BC133" i="88" s="1"/>
  <c r="BB137" i="88"/>
  <c r="BC137" i="88" s="1"/>
  <c r="BB155" i="88"/>
  <c r="BC155" i="88" s="1"/>
  <c r="BB159" i="88"/>
  <c r="BC159" i="88" s="1"/>
  <c r="BB164" i="88"/>
  <c r="BC164" i="88" s="1"/>
  <c r="BB168" i="88"/>
  <c r="BC168" i="88" s="1"/>
  <c r="BB176" i="88"/>
  <c r="BC176" i="88" s="1"/>
  <c r="BB184" i="88"/>
  <c r="BC184" i="88" s="1"/>
  <c r="BB196" i="88"/>
  <c r="BC196" i="88" s="1"/>
  <c r="BB216" i="88"/>
  <c r="BC216" i="88" s="1"/>
  <c r="BB218" i="88"/>
  <c r="BC218" i="88" s="1"/>
  <c r="BB221" i="88"/>
  <c r="BC221" i="88" s="1"/>
  <c r="BB95" i="88"/>
  <c r="BC95" i="88" s="1"/>
  <c r="BB93" i="88"/>
  <c r="BC93" i="88" s="1"/>
  <c r="BB64" i="88"/>
  <c r="BC64" i="88" s="1"/>
  <c r="BB48" i="88"/>
  <c r="BC48" i="88" s="1"/>
  <c r="BB59" i="88"/>
  <c r="BC59" i="88" s="1"/>
  <c r="BB126" i="88"/>
  <c r="BC126" i="88" s="1"/>
  <c r="BB97" i="88"/>
  <c r="BC97" i="88" s="1"/>
  <c r="BB127" i="88"/>
  <c r="BC127" i="88" s="1"/>
  <c r="BB171" i="88"/>
  <c r="BC171" i="88" s="1"/>
  <c r="BB151" i="88"/>
  <c r="BC151" i="88" s="1"/>
  <c r="BB202" i="88"/>
  <c r="BC202" i="88" s="1"/>
  <c r="BB125" i="88"/>
  <c r="BC125" i="88" s="1"/>
  <c r="BB153" i="88"/>
  <c r="BC153" i="88" s="1"/>
  <c r="BB195" i="88"/>
  <c r="BC195" i="88" s="1"/>
  <c r="BB211" i="88"/>
  <c r="BC211" i="88" s="1"/>
  <c r="BC55" i="88"/>
  <c r="BC72" i="88"/>
  <c r="BC74" i="88"/>
  <c r="BC82" i="88"/>
  <c r="BC147" i="88"/>
  <c r="D30" i="85"/>
  <c r="C30" i="85" s="1"/>
  <c r="D16" i="85"/>
  <c r="D9" i="85"/>
  <c r="D2" i="85"/>
  <c r="N61" i="99"/>
  <c r="N40" i="99"/>
  <c r="N31" i="99"/>
  <c r="N24" i="99"/>
  <c r="N7" i="99"/>
  <c r="D57" i="85"/>
  <c r="D58" i="85"/>
  <c r="D59" i="85"/>
  <c r="D56" i="85"/>
  <c r="E57" i="85"/>
  <c r="E58" i="85"/>
  <c r="E59" i="85"/>
  <c r="E56" i="85"/>
  <c r="D28" i="100" l="1"/>
  <c r="P7" i="99"/>
  <c r="O7" i="99"/>
  <c r="AT11" i="98"/>
  <c r="BA9" i="98"/>
  <c r="AT12" i="98"/>
  <c r="AN10" i="98"/>
  <c r="AK5" i="98"/>
  <c r="AT5" i="98"/>
  <c r="AN11" i="98"/>
  <c r="BA10" i="98"/>
  <c r="BA11" i="98"/>
  <c r="AQ9" i="98"/>
  <c r="AN12" i="98"/>
  <c r="AK10" i="98"/>
  <c r="BA12" i="98"/>
  <c r="AQ10" i="98"/>
  <c r="AN5" i="98"/>
  <c r="AQ11" i="98"/>
  <c r="AK9" i="98"/>
  <c r="AQ12" i="98"/>
  <c r="BA5" i="98"/>
  <c r="AT9" i="98"/>
  <c r="AT10" i="98"/>
  <c r="AQ5" i="98"/>
  <c r="AK11" i="98"/>
  <c r="AN9" i="98"/>
  <c r="AK12" i="98"/>
  <c r="AQ7" i="98"/>
  <c r="AN13" i="98"/>
  <c r="AQ8" i="98"/>
  <c r="AN6" i="98"/>
  <c r="AN14" i="98"/>
  <c r="AK14" i="98"/>
  <c r="BA13" i="98"/>
  <c r="AN7" i="98"/>
  <c r="AK13" i="98"/>
  <c r="BA6" i="98"/>
  <c r="BA14" i="98"/>
  <c r="AN8" i="98"/>
  <c r="AK6" i="98"/>
  <c r="BA7" i="98"/>
  <c r="AT13" i="98"/>
  <c r="AK7" i="98"/>
  <c r="BA8" i="98"/>
  <c r="AT6" i="98"/>
  <c r="AT14" i="98"/>
  <c r="AK8" i="98"/>
  <c r="AT7" i="98"/>
  <c r="AQ13" i="98"/>
  <c r="AT8" i="98"/>
  <c r="AQ6" i="98"/>
  <c r="AQ14" i="98"/>
  <c r="U35" i="98"/>
  <c r="AC35" i="98" s="1"/>
  <c r="AF35" i="98"/>
  <c r="AQ35" i="98"/>
  <c r="BA35" i="98"/>
  <c r="AE36" i="98"/>
  <c r="AO36" i="98"/>
  <c r="AP36" i="98" s="1"/>
  <c r="AY36" i="98"/>
  <c r="AZ36" i="98" s="1"/>
  <c r="O36" i="98" s="1"/>
  <c r="AD37" i="98"/>
  <c r="X37" i="98" s="1"/>
  <c r="AN37" i="98"/>
  <c r="AX37" i="98"/>
  <c r="AB38" i="98"/>
  <c r="T38" i="98" s="1"/>
  <c r="AL38" i="98"/>
  <c r="AM38" i="98" s="1"/>
  <c r="AW38" i="98"/>
  <c r="AA39" i="98"/>
  <c r="AK39" i="98"/>
  <c r="AV39" i="98"/>
  <c r="Z40" i="98"/>
  <c r="AI40" i="98"/>
  <c r="AJ40" i="98" s="1"/>
  <c r="AU40" i="98"/>
  <c r="W41" i="98"/>
  <c r="AH41" i="98"/>
  <c r="AT41" i="98"/>
  <c r="V42" i="98"/>
  <c r="AG42" i="98"/>
  <c r="AR42" i="98"/>
  <c r="AS42" i="98" s="1"/>
  <c r="U43" i="98"/>
  <c r="AC43" i="98" s="1"/>
  <c r="AF43" i="98"/>
  <c r="AQ43" i="98"/>
  <c r="BA43" i="98"/>
  <c r="AE44" i="98"/>
  <c r="AO44" i="98"/>
  <c r="AP44" i="98" s="1"/>
  <c r="AY44" i="98"/>
  <c r="AZ44" i="98" s="1"/>
  <c r="O44" i="98" s="1"/>
  <c r="AD45" i="98"/>
  <c r="X45" i="98" s="1"/>
  <c r="AN45" i="98"/>
  <c r="AX45" i="98"/>
  <c r="AB46" i="98"/>
  <c r="T46" i="98" s="1"/>
  <c r="AL46" i="98"/>
  <c r="AM46" i="98" s="1"/>
  <c r="AW46" i="98"/>
  <c r="AA47" i="98"/>
  <c r="AK47" i="98"/>
  <c r="AV47" i="98"/>
  <c r="Z48" i="98"/>
  <c r="AI48" i="98"/>
  <c r="AJ48" i="98" s="1"/>
  <c r="AU48" i="98"/>
  <c r="W49" i="98"/>
  <c r="AH49" i="98"/>
  <c r="AT49" i="98"/>
  <c r="V50" i="98"/>
  <c r="AG50" i="98"/>
  <c r="AR50" i="98"/>
  <c r="AS50" i="98" s="1"/>
  <c r="U51" i="98"/>
  <c r="AC51" i="98" s="1"/>
  <c r="AF51" i="98"/>
  <c r="AQ51" i="98"/>
  <c r="BA51" i="98"/>
  <c r="AE52" i="98"/>
  <c r="AO52" i="98"/>
  <c r="AP52" i="98" s="1"/>
  <c r="AY52" i="98"/>
  <c r="AZ52" i="98" s="1"/>
  <c r="O52" i="98" s="1"/>
  <c r="AD53" i="98"/>
  <c r="X53" i="98" s="1"/>
  <c r="AN53" i="98"/>
  <c r="AX53" i="98"/>
  <c r="AB54" i="98"/>
  <c r="T54" i="98" s="1"/>
  <c r="AL54" i="98"/>
  <c r="AM54" i="98" s="1"/>
  <c r="AW54" i="98"/>
  <c r="AA55" i="98"/>
  <c r="AK55" i="98"/>
  <c r="AV55" i="98"/>
  <c r="Z56" i="98"/>
  <c r="AI56" i="98"/>
  <c r="AJ56" i="98" s="1"/>
  <c r="AU56" i="98"/>
  <c r="W57" i="98"/>
  <c r="AH57" i="98"/>
  <c r="AT57" i="98"/>
  <c r="V58" i="98"/>
  <c r="AG58" i="98"/>
  <c r="AR58" i="98"/>
  <c r="AS58" i="98" s="1"/>
  <c r="U59" i="98"/>
  <c r="AC59" i="98" s="1"/>
  <c r="AF59" i="98"/>
  <c r="AQ59" i="98"/>
  <c r="BA59" i="98"/>
  <c r="AE60" i="98"/>
  <c r="AO60" i="98"/>
  <c r="AP60" i="98" s="1"/>
  <c r="AY60" i="98"/>
  <c r="AZ60" i="98" s="1"/>
  <c r="O60" i="98" s="1"/>
  <c r="AD61" i="98"/>
  <c r="X61" i="98" s="1"/>
  <c r="AN61" i="98"/>
  <c r="AX61" i="98"/>
  <c r="V35" i="98"/>
  <c r="AG35" i="98"/>
  <c r="AR35" i="98"/>
  <c r="AS35" i="98" s="1"/>
  <c r="U36" i="98"/>
  <c r="AC36" i="98" s="1"/>
  <c r="AF36" i="98"/>
  <c r="AQ36" i="98"/>
  <c r="BA36" i="98"/>
  <c r="AE37" i="98"/>
  <c r="AO37" i="98"/>
  <c r="AP37" i="98" s="1"/>
  <c r="AY37" i="98"/>
  <c r="AZ37" i="98" s="1"/>
  <c r="O37" i="98" s="1"/>
  <c r="AD38" i="98"/>
  <c r="X38" i="98" s="1"/>
  <c r="AN38" i="98"/>
  <c r="AX38" i="98"/>
  <c r="AB39" i="98"/>
  <c r="T39" i="98" s="1"/>
  <c r="AL39" i="98"/>
  <c r="AM39" i="98" s="1"/>
  <c r="AW39" i="98"/>
  <c r="AA40" i="98"/>
  <c r="AK40" i="98"/>
  <c r="AV40" i="98"/>
  <c r="Z41" i="98"/>
  <c r="AI41" i="98"/>
  <c r="AJ41" i="98" s="1"/>
  <c r="AU41" i="98"/>
  <c r="W42" i="98"/>
  <c r="AH42" i="98"/>
  <c r="AT42" i="98"/>
  <c r="V43" i="98"/>
  <c r="AG43" i="98"/>
  <c r="AR43" i="98"/>
  <c r="AS43" i="98" s="1"/>
  <c r="U44" i="98"/>
  <c r="AC44" i="98" s="1"/>
  <c r="AF44" i="98"/>
  <c r="AQ44" i="98"/>
  <c r="BA44" i="98"/>
  <c r="AE45" i="98"/>
  <c r="AO45" i="98"/>
  <c r="AP45" i="98" s="1"/>
  <c r="AY45" i="98"/>
  <c r="AZ45" i="98" s="1"/>
  <c r="O45" i="98" s="1"/>
  <c r="AD46" i="98"/>
  <c r="X46" i="98" s="1"/>
  <c r="AN46" i="98"/>
  <c r="AX46" i="98"/>
  <c r="AB47" i="98"/>
  <c r="T47" i="98" s="1"/>
  <c r="AL47" i="98"/>
  <c r="AM47" i="98" s="1"/>
  <c r="AW47" i="98"/>
  <c r="AA48" i="98"/>
  <c r="AK48" i="98"/>
  <c r="AV48" i="98"/>
  <c r="Z49" i="98"/>
  <c r="AI49" i="98"/>
  <c r="AJ49" i="98" s="1"/>
  <c r="AU49" i="98"/>
  <c r="W50" i="98"/>
  <c r="AH50" i="98"/>
  <c r="AT50" i="98"/>
  <c r="V51" i="98"/>
  <c r="AG51" i="98"/>
  <c r="AR51" i="98"/>
  <c r="AS51" i="98" s="1"/>
  <c r="U52" i="98"/>
  <c r="AC52" i="98" s="1"/>
  <c r="AF52" i="98"/>
  <c r="AQ52" i="98"/>
  <c r="BA52" i="98"/>
  <c r="AE53" i="98"/>
  <c r="AO53" i="98"/>
  <c r="AP53" i="98" s="1"/>
  <c r="AY53" i="98"/>
  <c r="AZ53" i="98" s="1"/>
  <c r="O53" i="98" s="1"/>
  <c r="AD54" i="98"/>
  <c r="X54" i="98" s="1"/>
  <c r="AN54" i="98"/>
  <c r="AX54" i="98"/>
  <c r="AB55" i="98"/>
  <c r="T55" i="98" s="1"/>
  <c r="AL55" i="98"/>
  <c r="AM55" i="98" s="1"/>
  <c r="AW55" i="98"/>
  <c r="AA56" i="98"/>
  <c r="AK56" i="98"/>
  <c r="AV56" i="98"/>
  <c r="Z57" i="98"/>
  <c r="AI57" i="98"/>
  <c r="AJ57" i="98" s="1"/>
  <c r="AU57" i="98"/>
  <c r="W58" i="98"/>
  <c r="AH58" i="98"/>
  <c r="AT58" i="98"/>
  <c r="V59" i="98"/>
  <c r="AG59" i="98"/>
  <c r="AR59" i="98"/>
  <c r="AS59" i="98" s="1"/>
  <c r="U60" i="98"/>
  <c r="AC60" i="98" s="1"/>
  <c r="AF60" i="98"/>
  <c r="AQ60" i="98"/>
  <c r="BA60" i="98"/>
  <c r="AE61" i="98"/>
  <c r="AO61" i="98"/>
  <c r="AP61" i="98" s="1"/>
  <c r="AY61" i="98"/>
  <c r="AZ61" i="98" s="1"/>
  <c r="O61" i="98" s="1"/>
  <c r="W35" i="98"/>
  <c r="AH35" i="98"/>
  <c r="AT35" i="98"/>
  <c r="V36" i="98"/>
  <c r="AG36" i="98"/>
  <c r="AR36" i="98"/>
  <c r="AS36" i="98" s="1"/>
  <c r="U37" i="98"/>
  <c r="AC37" i="98" s="1"/>
  <c r="AF37" i="98"/>
  <c r="AQ37" i="98"/>
  <c r="BA37" i="98"/>
  <c r="AE38" i="98"/>
  <c r="AO38" i="98"/>
  <c r="AP38" i="98" s="1"/>
  <c r="AY38" i="98"/>
  <c r="AZ38" i="98" s="1"/>
  <c r="O38" i="98" s="1"/>
  <c r="AD39" i="98"/>
  <c r="X39" i="98" s="1"/>
  <c r="AN39" i="98"/>
  <c r="AX39" i="98"/>
  <c r="AB40" i="98"/>
  <c r="T40" i="98" s="1"/>
  <c r="AL40" i="98"/>
  <c r="AM40" i="98" s="1"/>
  <c r="AW40" i="98"/>
  <c r="AA41" i="98"/>
  <c r="AK41" i="98"/>
  <c r="AV41" i="98"/>
  <c r="Z42" i="98"/>
  <c r="AI42" i="98"/>
  <c r="AJ42" i="98" s="1"/>
  <c r="AU42" i="98"/>
  <c r="W43" i="98"/>
  <c r="AH43" i="98"/>
  <c r="AT43" i="98"/>
  <c r="V44" i="98"/>
  <c r="AG44" i="98"/>
  <c r="AR44" i="98"/>
  <c r="AS44" i="98" s="1"/>
  <c r="U45" i="98"/>
  <c r="AC45" i="98" s="1"/>
  <c r="AF45" i="98"/>
  <c r="AQ45" i="98"/>
  <c r="BA45" i="98"/>
  <c r="AE46" i="98"/>
  <c r="AO46" i="98"/>
  <c r="AP46" i="98" s="1"/>
  <c r="AY46" i="98"/>
  <c r="AZ46" i="98" s="1"/>
  <c r="O46" i="98" s="1"/>
  <c r="AD47" i="98"/>
  <c r="X47" i="98" s="1"/>
  <c r="AN47" i="98"/>
  <c r="AX47" i="98"/>
  <c r="AB48" i="98"/>
  <c r="T48" i="98" s="1"/>
  <c r="AL48" i="98"/>
  <c r="AM48" i="98" s="1"/>
  <c r="AW48" i="98"/>
  <c r="AA49" i="98"/>
  <c r="AK49" i="98"/>
  <c r="AV49" i="98"/>
  <c r="Z50" i="98"/>
  <c r="AI50" i="98"/>
  <c r="AJ50" i="98" s="1"/>
  <c r="AU50" i="98"/>
  <c r="W51" i="98"/>
  <c r="AH51" i="98"/>
  <c r="AT51" i="98"/>
  <c r="V52" i="98"/>
  <c r="AG52" i="98"/>
  <c r="AR52" i="98"/>
  <c r="AS52" i="98" s="1"/>
  <c r="U53" i="98"/>
  <c r="AC53" i="98" s="1"/>
  <c r="AF53" i="98"/>
  <c r="AQ53" i="98"/>
  <c r="BA53" i="98"/>
  <c r="AE54" i="98"/>
  <c r="AO54" i="98"/>
  <c r="AP54" i="98" s="1"/>
  <c r="AY54" i="98"/>
  <c r="AZ54" i="98" s="1"/>
  <c r="O54" i="98" s="1"/>
  <c r="AD55" i="98"/>
  <c r="X55" i="98" s="1"/>
  <c r="AN55" i="98"/>
  <c r="AX55" i="98"/>
  <c r="AB56" i="98"/>
  <c r="T56" i="98" s="1"/>
  <c r="AL56" i="98"/>
  <c r="AM56" i="98" s="1"/>
  <c r="AW56" i="98"/>
  <c r="AA57" i="98"/>
  <c r="AK57" i="98"/>
  <c r="AV57" i="98"/>
  <c r="Z58" i="98"/>
  <c r="AI58" i="98"/>
  <c r="AJ58" i="98" s="1"/>
  <c r="AU58" i="98"/>
  <c r="W59" i="98"/>
  <c r="AH59" i="98"/>
  <c r="AT59" i="98"/>
  <c r="V60" i="98"/>
  <c r="AG60" i="98"/>
  <c r="AR60" i="98"/>
  <c r="AS60" i="98" s="1"/>
  <c r="U61" i="98"/>
  <c r="AC61" i="98" s="1"/>
  <c r="AF61" i="98"/>
  <c r="AQ61" i="98"/>
  <c r="BA61" i="98"/>
  <c r="Z35" i="98"/>
  <c r="AI35" i="98"/>
  <c r="AJ35" i="98" s="1"/>
  <c r="AU35" i="98"/>
  <c r="W36" i="98"/>
  <c r="AH36" i="98"/>
  <c r="AT36" i="98"/>
  <c r="V37" i="98"/>
  <c r="AG37" i="98"/>
  <c r="AR37" i="98"/>
  <c r="AS37" i="98" s="1"/>
  <c r="U38" i="98"/>
  <c r="AC38" i="98" s="1"/>
  <c r="AF38" i="98"/>
  <c r="AQ38" i="98"/>
  <c r="BA38" i="98"/>
  <c r="AE39" i="98"/>
  <c r="AO39" i="98"/>
  <c r="AP39" i="98" s="1"/>
  <c r="AY39" i="98"/>
  <c r="AZ39" i="98" s="1"/>
  <c r="O39" i="98" s="1"/>
  <c r="AD40" i="98"/>
  <c r="X40" i="98" s="1"/>
  <c r="AN40" i="98"/>
  <c r="AX40" i="98"/>
  <c r="AB41" i="98"/>
  <c r="T41" i="98" s="1"/>
  <c r="AL41" i="98"/>
  <c r="AM41" i="98" s="1"/>
  <c r="AW41" i="98"/>
  <c r="AA42" i="98"/>
  <c r="AK42" i="98"/>
  <c r="AV42" i="98"/>
  <c r="Z43" i="98"/>
  <c r="AI43" i="98"/>
  <c r="AJ43" i="98" s="1"/>
  <c r="AU43" i="98"/>
  <c r="W44" i="98"/>
  <c r="AH44" i="98"/>
  <c r="AT44" i="98"/>
  <c r="V45" i="98"/>
  <c r="AG45" i="98"/>
  <c r="AR45" i="98"/>
  <c r="AS45" i="98" s="1"/>
  <c r="U46" i="98"/>
  <c r="AC46" i="98" s="1"/>
  <c r="AF46" i="98"/>
  <c r="AQ46" i="98"/>
  <c r="BA46" i="98"/>
  <c r="AE47" i="98"/>
  <c r="AO47" i="98"/>
  <c r="AP47" i="98" s="1"/>
  <c r="AY47" i="98"/>
  <c r="AZ47" i="98" s="1"/>
  <c r="O47" i="98" s="1"/>
  <c r="AD48" i="98"/>
  <c r="X48" i="98" s="1"/>
  <c r="AN48" i="98"/>
  <c r="AX48" i="98"/>
  <c r="AB49" i="98"/>
  <c r="T49" i="98" s="1"/>
  <c r="AL49" i="98"/>
  <c r="AM49" i="98" s="1"/>
  <c r="AW49" i="98"/>
  <c r="AA50" i="98"/>
  <c r="AK50" i="98"/>
  <c r="AV50" i="98"/>
  <c r="Z51" i="98"/>
  <c r="AI51" i="98"/>
  <c r="AJ51" i="98" s="1"/>
  <c r="AU51" i="98"/>
  <c r="W52" i="98"/>
  <c r="AH52" i="98"/>
  <c r="AT52" i="98"/>
  <c r="V53" i="98"/>
  <c r="AG53" i="98"/>
  <c r="AR53" i="98"/>
  <c r="AS53" i="98" s="1"/>
  <c r="U54" i="98"/>
  <c r="AC54" i="98" s="1"/>
  <c r="AF54" i="98"/>
  <c r="AQ54" i="98"/>
  <c r="BA54" i="98"/>
  <c r="AE55" i="98"/>
  <c r="AO55" i="98"/>
  <c r="AP55" i="98" s="1"/>
  <c r="AY55" i="98"/>
  <c r="AZ55" i="98" s="1"/>
  <c r="O55" i="98" s="1"/>
  <c r="AD56" i="98"/>
  <c r="X56" i="98" s="1"/>
  <c r="AN56" i="98"/>
  <c r="AX56" i="98"/>
  <c r="AB57" i="98"/>
  <c r="T57" i="98" s="1"/>
  <c r="AL57" i="98"/>
  <c r="AM57" i="98" s="1"/>
  <c r="AW57" i="98"/>
  <c r="AA58" i="98"/>
  <c r="AK58" i="98"/>
  <c r="AV58" i="98"/>
  <c r="Z59" i="98"/>
  <c r="AI59" i="98"/>
  <c r="AJ59" i="98" s="1"/>
  <c r="AU59" i="98"/>
  <c r="W60" i="98"/>
  <c r="AH60" i="98"/>
  <c r="AT60" i="98"/>
  <c r="V61" i="98"/>
  <c r="AG61" i="98"/>
  <c r="AR61" i="98"/>
  <c r="AS61" i="98" s="1"/>
  <c r="U62" i="98"/>
  <c r="AC62" i="98" s="1"/>
  <c r="AA35" i="98"/>
  <c r="AK35" i="98"/>
  <c r="AV35" i="98"/>
  <c r="Z36" i="98"/>
  <c r="AI36" i="98"/>
  <c r="AJ36" i="98" s="1"/>
  <c r="AU36" i="98"/>
  <c r="W37" i="98"/>
  <c r="AH37" i="98"/>
  <c r="AT37" i="98"/>
  <c r="V38" i="98"/>
  <c r="AG38" i="98"/>
  <c r="AR38" i="98"/>
  <c r="AS38" i="98" s="1"/>
  <c r="U39" i="98"/>
  <c r="AC39" i="98" s="1"/>
  <c r="AF39" i="98"/>
  <c r="AQ39" i="98"/>
  <c r="BA39" i="98"/>
  <c r="AE40" i="98"/>
  <c r="AO40" i="98"/>
  <c r="AP40" i="98" s="1"/>
  <c r="AY40" i="98"/>
  <c r="AZ40" i="98" s="1"/>
  <c r="O40" i="98" s="1"/>
  <c r="AD41" i="98"/>
  <c r="X41" i="98" s="1"/>
  <c r="AN41" i="98"/>
  <c r="AX41" i="98"/>
  <c r="AB42" i="98"/>
  <c r="T42" i="98" s="1"/>
  <c r="AL42" i="98"/>
  <c r="AM42" i="98" s="1"/>
  <c r="AW42" i="98"/>
  <c r="AA43" i="98"/>
  <c r="AK43" i="98"/>
  <c r="AV43" i="98"/>
  <c r="Z44" i="98"/>
  <c r="AI44" i="98"/>
  <c r="AJ44" i="98" s="1"/>
  <c r="AU44" i="98"/>
  <c r="W45" i="98"/>
  <c r="AH45" i="98"/>
  <c r="AT45" i="98"/>
  <c r="V46" i="98"/>
  <c r="AG46" i="98"/>
  <c r="AR46" i="98"/>
  <c r="AS46" i="98" s="1"/>
  <c r="U47" i="98"/>
  <c r="AC47" i="98" s="1"/>
  <c r="AF47" i="98"/>
  <c r="AQ47" i="98"/>
  <c r="BA47" i="98"/>
  <c r="AE48" i="98"/>
  <c r="AO48" i="98"/>
  <c r="AP48" i="98" s="1"/>
  <c r="AY48" i="98"/>
  <c r="AZ48" i="98" s="1"/>
  <c r="O48" i="98" s="1"/>
  <c r="AD49" i="98"/>
  <c r="X49" i="98" s="1"/>
  <c r="AN49" i="98"/>
  <c r="AX49" i="98"/>
  <c r="AB50" i="98"/>
  <c r="T50" i="98" s="1"/>
  <c r="AL50" i="98"/>
  <c r="AM50" i="98" s="1"/>
  <c r="AW50" i="98"/>
  <c r="AA51" i="98"/>
  <c r="AK51" i="98"/>
  <c r="AV51" i="98"/>
  <c r="Z52" i="98"/>
  <c r="AI52" i="98"/>
  <c r="AJ52" i="98" s="1"/>
  <c r="AU52" i="98"/>
  <c r="W53" i="98"/>
  <c r="AH53" i="98"/>
  <c r="AT53" i="98"/>
  <c r="V54" i="98"/>
  <c r="AG54" i="98"/>
  <c r="AR54" i="98"/>
  <c r="AS54" i="98" s="1"/>
  <c r="U55" i="98"/>
  <c r="AC55" i="98" s="1"/>
  <c r="AF55" i="98"/>
  <c r="AQ55" i="98"/>
  <c r="BA55" i="98"/>
  <c r="AE56" i="98"/>
  <c r="AO56" i="98"/>
  <c r="AP56" i="98" s="1"/>
  <c r="AY56" i="98"/>
  <c r="AZ56" i="98" s="1"/>
  <c r="O56" i="98" s="1"/>
  <c r="AD57" i="98"/>
  <c r="X57" i="98" s="1"/>
  <c r="AN57" i="98"/>
  <c r="AX57" i="98"/>
  <c r="AB58" i="98"/>
  <c r="T58" i="98" s="1"/>
  <c r="AL58" i="98"/>
  <c r="AM58" i="98" s="1"/>
  <c r="AW58" i="98"/>
  <c r="AA59" i="98"/>
  <c r="AK59" i="98"/>
  <c r="AV59" i="98"/>
  <c r="Z60" i="98"/>
  <c r="AI60" i="98"/>
  <c r="AJ60" i="98" s="1"/>
  <c r="AU60" i="98"/>
  <c r="W61" i="98"/>
  <c r="AH61" i="98"/>
  <c r="AT61" i="98"/>
  <c r="V62" i="98"/>
  <c r="AB35" i="98"/>
  <c r="T35" i="98" s="1"/>
  <c r="AL35" i="98"/>
  <c r="AM35" i="98" s="1"/>
  <c r="AW35" i="98"/>
  <c r="AA36" i="98"/>
  <c r="AK36" i="98"/>
  <c r="AV36" i="98"/>
  <c r="Z37" i="98"/>
  <c r="AI37" i="98"/>
  <c r="AJ37" i="98" s="1"/>
  <c r="AU37" i="98"/>
  <c r="W38" i="98"/>
  <c r="AH38" i="98"/>
  <c r="AT38" i="98"/>
  <c r="V39" i="98"/>
  <c r="AG39" i="98"/>
  <c r="AR39" i="98"/>
  <c r="AS39" i="98" s="1"/>
  <c r="U40" i="98"/>
  <c r="AC40" i="98" s="1"/>
  <c r="AF40" i="98"/>
  <c r="AQ40" i="98"/>
  <c r="BA40" i="98"/>
  <c r="AE41" i="98"/>
  <c r="AO41" i="98"/>
  <c r="AP41" i="98" s="1"/>
  <c r="AY41" i="98"/>
  <c r="AZ41" i="98" s="1"/>
  <c r="O41" i="98" s="1"/>
  <c r="AD42" i="98"/>
  <c r="X42" i="98" s="1"/>
  <c r="AN42" i="98"/>
  <c r="AX42" i="98"/>
  <c r="AB43" i="98"/>
  <c r="T43" i="98" s="1"/>
  <c r="AL43" i="98"/>
  <c r="AM43" i="98" s="1"/>
  <c r="AW43" i="98"/>
  <c r="AA44" i="98"/>
  <c r="AK44" i="98"/>
  <c r="AV44" i="98"/>
  <c r="Z45" i="98"/>
  <c r="AI45" i="98"/>
  <c r="AJ45" i="98" s="1"/>
  <c r="AU45" i="98"/>
  <c r="W46" i="98"/>
  <c r="AH46" i="98"/>
  <c r="AT46" i="98"/>
  <c r="V47" i="98"/>
  <c r="AG47" i="98"/>
  <c r="AR47" i="98"/>
  <c r="AS47" i="98" s="1"/>
  <c r="U48" i="98"/>
  <c r="AC48" i="98" s="1"/>
  <c r="AF48" i="98"/>
  <c r="AQ48" i="98"/>
  <c r="BA48" i="98"/>
  <c r="AE49" i="98"/>
  <c r="AO49" i="98"/>
  <c r="AP49" i="98" s="1"/>
  <c r="AY49" i="98"/>
  <c r="AZ49" i="98" s="1"/>
  <c r="O49" i="98" s="1"/>
  <c r="AD50" i="98"/>
  <c r="X50" i="98" s="1"/>
  <c r="AN50" i="98"/>
  <c r="AX50" i="98"/>
  <c r="AB51" i="98"/>
  <c r="T51" i="98" s="1"/>
  <c r="AL51" i="98"/>
  <c r="AM51" i="98" s="1"/>
  <c r="AW51" i="98"/>
  <c r="AA52" i="98"/>
  <c r="AK52" i="98"/>
  <c r="AV52" i="98"/>
  <c r="Z53" i="98"/>
  <c r="AI53" i="98"/>
  <c r="AJ53" i="98" s="1"/>
  <c r="AU53" i="98"/>
  <c r="W54" i="98"/>
  <c r="AH54" i="98"/>
  <c r="AT54" i="98"/>
  <c r="V55" i="98"/>
  <c r="AG55" i="98"/>
  <c r="AR55" i="98"/>
  <c r="AS55" i="98" s="1"/>
  <c r="U56" i="98"/>
  <c r="AC56" i="98" s="1"/>
  <c r="AF56" i="98"/>
  <c r="AQ56" i="98"/>
  <c r="BA56" i="98"/>
  <c r="AE57" i="98"/>
  <c r="AO57" i="98"/>
  <c r="AP57" i="98" s="1"/>
  <c r="AY57" i="98"/>
  <c r="AZ57" i="98" s="1"/>
  <c r="O57" i="98" s="1"/>
  <c r="AD58" i="98"/>
  <c r="X58" i="98" s="1"/>
  <c r="AN58" i="98"/>
  <c r="AX58" i="98"/>
  <c r="AB59" i="98"/>
  <c r="T59" i="98" s="1"/>
  <c r="AL59" i="98"/>
  <c r="AM59" i="98" s="1"/>
  <c r="AW59" i="98"/>
  <c r="AA60" i="98"/>
  <c r="AK60" i="98"/>
  <c r="AV60" i="98"/>
  <c r="Z61" i="98"/>
  <c r="AI61" i="98"/>
  <c r="AJ61" i="98" s="1"/>
  <c r="AU61" i="98"/>
  <c r="W62" i="98"/>
  <c r="AD35" i="98"/>
  <c r="X35" i="98" s="1"/>
  <c r="AN35" i="98"/>
  <c r="AX35" i="98"/>
  <c r="AB36" i="98"/>
  <c r="T36" i="98" s="1"/>
  <c r="AL36" i="98"/>
  <c r="AM36" i="98" s="1"/>
  <c r="AW36" i="98"/>
  <c r="AA37" i="98"/>
  <c r="AK37" i="98"/>
  <c r="AV37" i="98"/>
  <c r="Z38" i="98"/>
  <c r="AI38" i="98"/>
  <c r="AJ38" i="98" s="1"/>
  <c r="AU38" i="98"/>
  <c r="W39" i="98"/>
  <c r="AH39" i="98"/>
  <c r="AT39" i="98"/>
  <c r="V40" i="98"/>
  <c r="AG40" i="98"/>
  <c r="AR40" i="98"/>
  <c r="AS40" i="98" s="1"/>
  <c r="U41" i="98"/>
  <c r="AC41" i="98" s="1"/>
  <c r="AF41" i="98"/>
  <c r="AQ41" i="98"/>
  <c r="BA41" i="98"/>
  <c r="AE42" i="98"/>
  <c r="AO42" i="98"/>
  <c r="AP42" i="98" s="1"/>
  <c r="AY42" i="98"/>
  <c r="AZ42" i="98" s="1"/>
  <c r="O42" i="98" s="1"/>
  <c r="AD43" i="98"/>
  <c r="X43" i="98" s="1"/>
  <c r="AN43" i="98"/>
  <c r="AX43" i="98"/>
  <c r="AB44" i="98"/>
  <c r="T44" i="98" s="1"/>
  <c r="AL44" i="98"/>
  <c r="AM44" i="98" s="1"/>
  <c r="AW44" i="98"/>
  <c r="AA45" i="98"/>
  <c r="AK45" i="98"/>
  <c r="AV45" i="98"/>
  <c r="Z46" i="98"/>
  <c r="AI46" i="98"/>
  <c r="AJ46" i="98" s="1"/>
  <c r="AU46" i="98"/>
  <c r="W47" i="98"/>
  <c r="AH47" i="98"/>
  <c r="AT47" i="98"/>
  <c r="V48" i="98"/>
  <c r="AG48" i="98"/>
  <c r="AR48" i="98"/>
  <c r="AS48" i="98" s="1"/>
  <c r="U49" i="98"/>
  <c r="AC49" i="98" s="1"/>
  <c r="AF49" i="98"/>
  <c r="AQ49" i="98"/>
  <c r="BA49" i="98"/>
  <c r="AE50" i="98"/>
  <c r="AO50" i="98"/>
  <c r="AP50" i="98" s="1"/>
  <c r="AY50" i="98"/>
  <c r="AZ50" i="98" s="1"/>
  <c r="O50" i="98" s="1"/>
  <c r="AD51" i="98"/>
  <c r="X51" i="98" s="1"/>
  <c r="AN51" i="98"/>
  <c r="AX51" i="98"/>
  <c r="AB52" i="98"/>
  <c r="T52" i="98" s="1"/>
  <c r="AL52" i="98"/>
  <c r="AM52" i="98" s="1"/>
  <c r="AW52" i="98"/>
  <c r="AA53" i="98"/>
  <c r="AK53" i="98"/>
  <c r="AV53" i="98"/>
  <c r="Z54" i="98"/>
  <c r="AI54" i="98"/>
  <c r="AJ54" i="98" s="1"/>
  <c r="AU54" i="98"/>
  <c r="W55" i="98"/>
  <c r="AH55" i="98"/>
  <c r="AT55" i="98"/>
  <c r="V56" i="98"/>
  <c r="AG56" i="98"/>
  <c r="AR56" i="98"/>
  <c r="AS56" i="98" s="1"/>
  <c r="U57" i="98"/>
  <c r="AC57" i="98" s="1"/>
  <c r="AF57" i="98"/>
  <c r="AQ57" i="98"/>
  <c r="BA57" i="98"/>
  <c r="AE58" i="98"/>
  <c r="AO58" i="98"/>
  <c r="AP58" i="98" s="1"/>
  <c r="AY58" i="98"/>
  <c r="AZ58" i="98" s="1"/>
  <c r="O58" i="98" s="1"/>
  <c r="AD59" i="98"/>
  <c r="X59" i="98" s="1"/>
  <c r="AN59" i="98"/>
  <c r="AX59" i="98"/>
  <c r="AB60" i="98"/>
  <c r="T60" i="98" s="1"/>
  <c r="AL60" i="98"/>
  <c r="AM60" i="98" s="1"/>
  <c r="AW60" i="98"/>
  <c r="AA61" i="98"/>
  <c r="AK61" i="98"/>
  <c r="AV61" i="98"/>
  <c r="Z62" i="98"/>
  <c r="AE35" i="98"/>
  <c r="AO35" i="98"/>
  <c r="AP35" i="98" s="1"/>
  <c r="AY35" i="98"/>
  <c r="AZ35" i="98" s="1"/>
  <c r="O35" i="98" s="1"/>
  <c r="AD36" i="98"/>
  <c r="X36" i="98" s="1"/>
  <c r="AN36" i="98"/>
  <c r="AX36" i="98"/>
  <c r="AB37" i="98"/>
  <c r="T37" i="98" s="1"/>
  <c r="AL37" i="98"/>
  <c r="AM37" i="98" s="1"/>
  <c r="AW37" i="98"/>
  <c r="AA38" i="98"/>
  <c r="AK38" i="98"/>
  <c r="AV38" i="98"/>
  <c r="Z39" i="98"/>
  <c r="AI39" i="98"/>
  <c r="AJ39" i="98" s="1"/>
  <c r="AU39" i="98"/>
  <c r="W40" i="98"/>
  <c r="AH40" i="98"/>
  <c r="AT40" i="98"/>
  <c r="V41" i="98"/>
  <c r="AG41" i="98"/>
  <c r="AR41" i="98"/>
  <c r="AS41" i="98" s="1"/>
  <c r="U42" i="98"/>
  <c r="AC42" i="98" s="1"/>
  <c r="AF42" i="98"/>
  <c r="AQ42" i="98"/>
  <c r="BA42" i="98"/>
  <c r="AE43" i="98"/>
  <c r="AO43" i="98"/>
  <c r="AP43" i="98" s="1"/>
  <c r="AY43" i="98"/>
  <c r="AZ43" i="98" s="1"/>
  <c r="O43" i="98" s="1"/>
  <c r="AD44" i="98"/>
  <c r="X44" i="98" s="1"/>
  <c r="AN44" i="98"/>
  <c r="AX44" i="98"/>
  <c r="AB45" i="98"/>
  <c r="T45" i="98" s="1"/>
  <c r="AL45" i="98"/>
  <c r="AM45" i="98" s="1"/>
  <c r="AW45" i="98"/>
  <c r="AA46" i="98"/>
  <c r="AK46" i="98"/>
  <c r="AV46" i="98"/>
  <c r="Z47" i="98"/>
  <c r="AI47" i="98"/>
  <c r="AJ47" i="98" s="1"/>
  <c r="AU47" i="98"/>
  <c r="W48" i="98"/>
  <c r="AH48" i="98"/>
  <c r="AT48" i="98"/>
  <c r="V49" i="98"/>
  <c r="AG49" i="98"/>
  <c r="AR49" i="98"/>
  <c r="AS49" i="98" s="1"/>
  <c r="U50" i="98"/>
  <c r="AC50" i="98" s="1"/>
  <c r="AF50" i="98"/>
  <c r="AQ50" i="98"/>
  <c r="BA50" i="98"/>
  <c r="AE51" i="98"/>
  <c r="AO51" i="98"/>
  <c r="AP51" i="98" s="1"/>
  <c r="AY51" i="98"/>
  <c r="AZ51" i="98" s="1"/>
  <c r="O51" i="98" s="1"/>
  <c r="AD52" i="98"/>
  <c r="X52" i="98" s="1"/>
  <c r="AN52" i="98"/>
  <c r="AX52" i="98"/>
  <c r="AB53" i="98"/>
  <c r="T53" i="98" s="1"/>
  <c r="AL53" i="98"/>
  <c r="AM53" i="98" s="1"/>
  <c r="AW53" i="98"/>
  <c r="AA54" i="98"/>
  <c r="AK54" i="98"/>
  <c r="AV54" i="98"/>
  <c r="Z55" i="98"/>
  <c r="AI55" i="98"/>
  <c r="AJ55" i="98" s="1"/>
  <c r="AU55" i="98"/>
  <c r="W56" i="98"/>
  <c r="AH56" i="98"/>
  <c r="AT56" i="98"/>
  <c r="V57" i="98"/>
  <c r="AG57" i="98"/>
  <c r="AR57" i="98"/>
  <c r="AS57" i="98" s="1"/>
  <c r="U58" i="98"/>
  <c r="AC58" i="98" s="1"/>
  <c r="AF58" i="98"/>
  <c r="AQ58" i="98"/>
  <c r="BA58" i="98"/>
  <c r="AE59" i="98"/>
  <c r="AO59" i="98"/>
  <c r="AP59" i="98" s="1"/>
  <c r="AY59" i="98"/>
  <c r="AZ59" i="98" s="1"/>
  <c r="O59" i="98" s="1"/>
  <c r="AD60" i="98"/>
  <c r="X60" i="98" s="1"/>
  <c r="AN60" i="98"/>
  <c r="AX60" i="98"/>
  <c r="AB61" i="98"/>
  <c r="T61" i="98" s="1"/>
  <c r="AL61" i="98"/>
  <c r="AM61" i="98" s="1"/>
  <c r="AW61" i="98"/>
  <c r="AA62" i="98"/>
  <c r="AK62" i="98"/>
  <c r="AV62" i="98"/>
  <c r="Z63" i="98"/>
  <c r="AI63" i="98"/>
  <c r="AJ63" i="98" s="1"/>
  <c r="AU63" i="98"/>
  <c r="W64" i="98"/>
  <c r="AH64" i="98"/>
  <c r="AT64" i="98"/>
  <c r="V65" i="98"/>
  <c r="AG65" i="98"/>
  <c r="AR65" i="98"/>
  <c r="AS65" i="98" s="1"/>
  <c r="U66" i="98"/>
  <c r="AC66" i="98" s="1"/>
  <c r="AF66" i="98"/>
  <c r="AQ66" i="98"/>
  <c r="BA66" i="98"/>
  <c r="AE67" i="98"/>
  <c r="AO67" i="98"/>
  <c r="AP67" i="98" s="1"/>
  <c r="AY67" i="98"/>
  <c r="AZ67" i="98" s="1"/>
  <c r="O67" i="98" s="1"/>
  <c r="AD68" i="98"/>
  <c r="X68" i="98" s="1"/>
  <c r="AN68" i="98"/>
  <c r="AX68" i="98"/>
  <c r="AB69" i="98"/>
  <c r="T69" i="98" s="1"/>
  <c r="AL69" i="98"/>
  <c r="AM69" i="98" s="1"/>
  <c r="AW69" i="98"/>
  <c r="AA70" i="98"/>
  <c r="AK70" i="98"/>
  <c r="AV70" i="98"/>
  <c r="Z71" i="98"/>
  <c r="AI71" i="98"/>
  <c r="AJ71" i="98" s="1"/>
  <c r="AU71" i="98"/>
  <c r="W72" i="98"/>
  <c r="AH72" i="98"/>
  <c r="AT72" i="98"/>
  <c r="V73" i="98"/>
  <c r="AG73" i="98"/>
  <c r="AR73" i="98"/>
  <c r="AS73" i="98" s="1"/>
  <c r="U74" i="98"/>
  <c r="AC74" i="98" s="1"/>
  <c r="AF74" i="98"/>
  <c r="AQ74" i="98"/>
  <c r="BA74" i="98"/>
  <c r="AE75" i="98"/>
  <c r="AO75" i="98"/>
  <c r="AP75" i="98" s="1"/>
  <c r="AY75" i="98"/>
  <c r="AZ75" i="98" s="1"/>
  <c r="O75" i="98" s="1"/>
  <c r="AD76" i="98"/>
  <c r="X76" i="98" s="1"/>
  <c r="AN76" i="98"/>
  <c r="AX76" i="98"/>
  <c r="AB77" i="98"/>
  <c r="T77" i="98" s="1"/>
  <c r="AL77" i="98"/>
  <c r="AM77" i="98" s="1"/>
  <c r="AW77" i="98"/>
  <c r="AA78" i="98"/>
  <c r="AK78" i="98"/>
  <c r="AV78" i="98"/>
  <c r="Z79" i="98"/>
  <c r="AI79" i="98"/>
  <c r="AJ79" i="98" s="1"/>
  <c r="AU79" i="98"/>
  <c r="W80" i="98"/>
  <c r="AH80" i="98"/>
  <c r="AT80" i="98"/>
  <c r="V81" i="98"/>
  <c r="AG81" i="98"/>
  <c r="AR81" i="98"/>
  <c r="AS81" i="98" s="1"/>
  <c r="U82" i="98"/>
  <c r="AC82" i="98" s="1"/>
  <c r="AF82" i="98"/>
  <c r="AQ82" i="98"/>
  <c r="BA82" i="98"/>
  <c r="AE83" i="98"/>
  <c r="AO83" i="98"/>
  <c r="AP83" i="98" s="1"/>
  <c r="AY83" i="98"/>
  <c r="AZ83" i="98" s="1"/>
  <c r="O83" i="98" s="1"/>
  <c r="AD84" i="98"/>
  <c r="X84" i="98" s="1"/>
  <c r="AN84" i="98"/>
  <c r="AX84" i="98"/>
  <c r="AB85" i="98"/>
  <c r="T85" i="98" s="1"/>
  <c r="AL85" i="98"/>
  <c r="AM85" i="98" s="1"/>
  <c r="AW85" i="98"/>
  <c r="AA86" i="98"/>
  <c r="AK86" i="98"/>
  <c r="AV86" i="98"/>
  <c r="Z87" i="98"/>
  <c r="AI87" i="98"/>
  <c r="AJ87" i="98" s="1"/>
  <c r="AU87" i="98"/>
  <c r="W88" i="98"/>
  <c r="AH88" i="98"/>
  <c r="AT88" i="98"/>
  <c r="V89" i="98"/>
  <c r="AB62" i="98"/>
  <c r="T62" i="98" s="1"/>
  <c r="AL62" i="98"/>
  <c r="AM62" i="98" s="1"/>
  <c r="AW62" i="98"/>
  <c r="AA63" i="98"/>
  <c r="AK63" i="98"/>
  <c r="AV63" i="98"/>
  <c r="Z64" i="98"/>
  <c r="AI64" i="98"/>
  <c r="AJ64" i="98" s="1"/>
  <c r="AU64" i="98"/>
  <c r="W65" i="98"/>
  <c r="AH65" i="98"/>
  <c r="AT65" i="98"/>
  <c r="V66" i="98"/>
  <c r="AG66" i="98"/>
  <c r="AR66" i="98"/>
  <c r="AS66" i="98" s="1"/>
  <c r="U67" i="98"/>
  <c r="AC67" i="98" s="1"/>
  <c r="AF67" i="98"/>
  <c r="AQ67" i="98"/>
  <c r="BA67" i="98"/>
  <c r="AE68" i="98"/>
  <c r="AO68" i="98"/>
  <c r="AP68" i="98" s="1"/>
  <c r="AY68" i="98"/>
  <c r="AZ68" i="98" s="1"/>
  <c r="O68" i="98" s="1"/>
  <c r="AD69" i="98"/>
  <c r="X69" i="98" s="1"/>
  <c r="AN69" i="98"/>
  <c r="AX69" i="98"/>
  <c r="AB70" i="98"/>
  <c r="T70" i="98" s="1"/>
  <c r="AL70" i="98"/>
  <c r="AM70" i="98" s="1"/>
  <c r="AW70" i="98"/>
  <c r="AA71" i="98"/>
  <c r="AK71" i="98"/>
  <c r="AV71" i="98"/>
  <c r="Z72" i="98"/>
  <c r="AI72" i="98"/>
  <c r="AJ72" i="98" s="1"/>
  <c r="AU72" i="98"/>
  <c r="W73" i="98"/>
  <c r="AH73" i="98"/>
  <c r="AT73" i="98"/>
  <c r="V74" i="98"/>
  <c r="AG74" i="98"/>
  <c r="AR74" i="98"/>
  <c r="AS74" i="98" s="1"/>
  <c r="U75" i="98"/>
  <c r="AC75" i="98" s="1"/>
  <c r="AF75" i="98"/>
  <c r="AQ75" i="98"/>
  <c r="BA75" i="98"/>
  <c r="AE76" i="98"/>
  <c r="AO76" i="98"/>
  <c r="AP76" i="98" s="1"/>
  <c r="AY76" i="98"/>
  <c r="AZ76" i="98" s="1"/>
  <c r="O76" i="98" s="1"/>
  <c r="AD77" i="98"/>
  <c r="X77" i="98" s="1"/>
  <c r="AN77" i="98"/>
  <c r="AX77" i="98"/>
  <c r="AB78" i="98"/>
  <c r="T78" i="98" s="1"/>
  <c r="AL78" i="98"/>
  <c r="AM78" i="98" s="1"/>
  <c r="AW78" i="98"/>
  <c r="AA79" i="98"/>
  <c r="AK79" i="98"/>
  <c r="AV79" i="98"/>
  <c r="Z80" i="98"/>
  <c r="AI80" i="98"/>
  <c r="AJ80" i="98" s="1"/>
  <c r="AU80" i="98"/>
  <c r="W81" i="98"/>
  <c r="AH81" i="98"/>
  <c r="AT81" i="98"/>
  <c r="V82" i="98"/>
  <c r="AG82" i="98"/>
  <c r="AR82" i="98"/>
  <c r="AS82" i="98" s="1"/>
  <c r="U83" i="98"/>
  <c r="AC83" i="98" s="1"/>
  <c r="AF83" i="98"/>
  <c r="AQ83" i="98"/>
  <c r="BA83" i="98"/>
  <c r="AE84" i="98"/>
  <c r="AO84" i="98"/>
  <c r="AP84" i="98" s="1"/>
  <c r="AY84" i="98"/>
  <c r="AZ84" i="98" s="1"/>
  <c r="O84" i="98" s="1"/>
  <c r="AD85" i="98"/>
  <c r="X85" i="98" s="1"/>
  <c r="AN85" i="98"/>
  <c r="AX85" i="98"/>
  <c r="AB86" i="98"/>
  <c r="T86" i="98" s="1"/>
  <c r="AL86" i="98"/>
  <c r="AM86" i="98" s="1"/>
  <c r="AW86" i="98"/>
  <c r="AA87" i="98"/>
  <c r="AK87" i="98"/>
  <c r="AV87" i="98"/>
  <c r="Z88" i="98"/>
  <c r="AI88" i="98"/>
  <c r="AJ88" i="98" s="1"/>
  <c r="AU88" i="98"/>
  <c r="W89" i="98"/>
  <c r="AD62" i="98"/>
  <c r="X62" i="98" s="1"/>
  <c r="AN62" i="98"/>
  <c r="AX62" i="98"/>
  <c r="AB63" i="98"/>
  <c r="T63" i="98" s="1"/>
  <c r="AL63" i="98"/>
  <c r="AM63" i="98" s="1"/>
  <c r="AW63" i="98"/>
  <c r="AA64" i="98"/>
  <c r="AK64" i="98"/>
  <c r="AV64" i="98"/>
  <c r="Z65" i="98"/>
  <c r="AI65" i="98"/>
  <c r="AJ65" i="98" s="1"/>
  <c r="AU65" i="98"/>
  <c r="W66" i="98"/>
  <c r="AH66" i="98"/>
  <c r="AT66" i="98"/>
  <c r="V67" i="98"/>
  <c r="AG67" i="98"/>
  <c r="AR67" i="98"/>
  <c r="AS67" i="98" s="1"/>
  <c r="U68" i="98"/>
  <c r="AC68" i="98" s="1"/>
  <c r="AF68" i="98"/>
  <c r="AQ68" i="98"/>
  <c r="BA68" i="98"/>
  <c r="AE69" i="98"/>
  <c r="AO69" i="98"/>
  <c r="AP69" i="98" s="1"/>
  <c r="AY69" i="98"/>
  <c r="AZ69" i="98" s="1"/>
  <c r="O69" i="98" s="1"/>
  <c r="AD70" i="98"/>
  <c r="X70" i="98" s="1"/>
  <c r="AN70" i="98"/>
  <c r="AX70" i="98"/>
  <c r="AB71" i="98"/>
  <c r="T71" i="98" s="1"/>
  <c r="AL71" i="98"/>
  <c r="AM71" i="98" s="1"/>
  <c r="AW71" i="98"/>
  <c r="AA72" i="98"/>
  <c r="AK72" i="98"/>
  <c r="AV72" i="98"/>
  <c r="Z73" i="98"/>
  <c r="AI73" i="98"/>
  <c r="AJ73" i="98" s="1"/>
  <c r="AU73" i="98"/>
  <c r="W74" i="98"/>
  <c r="AH74" i="98"/>
  <c r="AT74" i="98"/>
  <c r="V75" i="98"/>
  <c r="AG75" i="98"/>
  <c r="AR75" i="98"/>
  <c r="AS75" i="98" s="1"/>
  <c r="U76" i="98"/>
  <c r="AC76" i="98" s="1"/>
  <c r="AF76" i="98"/>
  <c r="AQ76" i="98"/>
  <c r="BA76" i="98"/>
  <c r="AE77" i="98"/>
  <c r="AO77" i="98"/>
  <c r="AP77" i="98" s="1"/>
  <c r="AY77" i="98"/>
  <c r="AZ77" i="98" s="1"/>
  <c r="O77" i="98" s="1"/>
  <c r="AD78" i="98"/>
  <c r="X78" i="98" s="1"/>
  <c r="AN78" i="98"/>
  <c r="AX78" i="98"/>
  <c r="AB79" i="98"/>
  <c r="T79" i="98" s="1"/>
  <c r="AL79" i="98"/>
  <c r="AM79" i="98" s="1"/>
  <c r="AW79" i="98"/>
  <c r="AA80" i="98"/>
  <c r="AK80" i="98"/>
  <c r="AV80" i="98"/>
  <c r="Z81" i="98"/>
  <c r="AI81" i="98"/>
  <c r="AJ81" i="98" s="1"/>
  <c r="AU81" i="98"/>
  <c r="W82" i="98"/>
  <c r="AH82" i="98"/>
  <c r="AT82" i="98"/>
  <c r="V83" i="98"/>
  <c r="AG83" i="98"/>
  <c r="AR83" i="98"/>
  <c r="AS83" i="98" s="1"/>
  <c r="U84" i="98"/>
  <c r="AC84" i="98" s="1"/>
  <c r="AF84" i="98"/>
  <c r="AQ84" i="98"/>
  <c r="BA84" i="98"/>
  <c r="AE85" i="98"/>
  <c r="AO85" i="98"/>
  <c r="AP85" i="98" s="1"/>
  <c r="AY85" i="98"/>
  <c r="AZ85" i="98" s="1"/>
  <c r="O85" i="98" s="1"/>
  <c r="AD86" i="98"/>
  <c r="X86" i="98" s="1"/>
  <c r="AN86" i="98"/>
  <c r="AX86" i="98"/>
  <c r="AB87" i="98"/>
  <c r="T87" i="98" s="1"/>
  <c r="AL87" i="98"/>
  <c r="AM87" i="98" s="1"/>
  <c r="AW87" i="98"/>
  <c r="AA88" i="98"/>
  <c r="AK88" i="98"/>
  <c r="AV88" i="98"/>
  <c r="Z89" i="98"/>
  <c r="AE62" i="98"/>
  <c r="AO62" i="98"/>
  <c r="AP62" i="98" s="1"/>
  <c r="AY62" i="98"/>
  <c r="AZ62" i="98" s="1"/>
  <c r="O62" i="98" s="1"/>
  <c r="AD63" i="98"/>
  <c r="X63" i="98" s="1"/>
  <c r="AN63" i="98"/>
  <c r="AX63" i="98"/>
  <c r="AB64" i="98"/>
  <c r="T64" i="98" s="1"/>
  <c r="AL64" i="98"/>
  <c r="AM64" i="98" s="1"/>
  <c r="AW64" i="98"/>
  <c r="AA65" i="98"/>
  <c r="AK65" i="98"/>
  <c r="AV65" i="98"/>
  <c r="Z66" i="98"/>
  <c r="AI66" i="98"/>
  <c r="AJ66" i="98" s="1"/>
  <c r="AU66" i="98"/>
  <c r="W67" i="98"/>
  <c r="AH67" i="98"/>
  <c r="AT67" i="98"/>
  <c r="V68" i="98"/>
  <c r="AG68" i="98"/>
  <c r="AR68" i="98"/>
  <c r="AS68" i="98" s="1"/>
  <c r="U69" i="98"/>
  <c r="AC69" i="98" s="1"/>
  <c r="AF69" i="98"/>
  <c r="AQ69" i="98"/>
  <c r="BA69" i="98"/>
  <c r="AE70" i="98"/>
  <c r="AO70" i="98"/>
  <c r="AP70" i="98" s="1"/>
  <c r="AY70" i="98"/>
  <c r="AZ70" i="98" s="1"/>
  <c r="O70" i="98" s="1"/>
  <c r="AD71" i="98"/>
  <c r="X71" i="98" s="1"/>
  <c r="AN71" i="98"/>
  <c r="AX71" i="98"/>
  <c r="AB72" i="98"/>
  <c r="T72" i="98" s="1"/>
  <c r="AL72" i="98"/>
  <c r="AM72" i="98" s="1"/>
  <c r="AW72" i="98"/>
  <c r="AA73" i="98"/>
  <c r="AK73" i="98"/>
  <c r="AV73" i="98"/>
  <c r="Z74" i="98"/>
  <c r="AI74" i="98"/>
  <c r="AJ74" i="98" s="1"/>
  <c r="AU74" i="98"/>
  <c r="W75" i="98"/>
  <c r="AH75" i="98"/>
  <c r="AT75" i="98"/>
  <c r="V76" i="98"/>
  <c r="AG76" i="98"/>
  <c r="AR76" i="98"/>
  <c r="AS76" i="98" s="1"/>
  <c r="U77" i="98"/>
  <c r="AC77" i="98" s="1"/>
  <c r="AF77" i="98"/>
  <c r="AQ77" i="98"/>
  <c r="BA77" i="98"/>
  <c r="AE78" i="98"/>
  <c r="AO78" i="98"/>
  <c r="AP78" i="98" s="1"/>
  <c r="AY78" i="98"/>
  <c r="AZ78" i="98" s="1"/>
  <c r="O78" i="98" s="1"/>
  <c r="AD79" i="98"/>
  <c r="X79" i="98" s="1"/>
  <c r="AN79" i="98"/>
  <c r="AX79" i="98"/>
  <c r="AB80" i="98"/>
  <c r="T80" i="98" s="1"/>
  <c r="AL80" i="98"/>
  <c r="AM80" i="98" s="1"/>
  <c r="AW80" i="98"/>
  <c r="AA81" i="98"/>
  <c r="AK81" i="98"/>
  <c r="AV81" i="98"/>
  <c r="Z82" i="98"/>
  <c r="AI82" i="98"/>
  <c r="AJ82" i="98" s="1"/>
  <c r="AU82" i="98"/>
  <c r="W83" i="98"/>
  <c r="AH83" i="98"/>
  <c r="AT83" i="98"/>
  <c r="V84" i="98"/>
  <c r="AG84" i="98"/>
  <c r="AR84" i="98"/>
  <c r="AS84" i="98" s="1"/>
  <c r="U85" i="98"/>
  <c r="AC85" i="98" s="1"/>
  <c r="AF85" i="98"/>
  <c r="AQ85" i="98"/>
  <c r="BA85" i="98"/>
  <c r="AE86" i="98"/>
  <c r="AO86" i="98"/>
  <c r="AP86" i="98" s="1"/>
  <c r="AY86" i="98"/>
  <c r="AZ86" i="98" s="1"/>
  <c r="O86" i="98" s="1"/>
  <c r="AD87" i="98"/>
  <c r="X87" i="98" s="1"/>
  <c r="AN87" i="98"/>
  <c r="AX87" i="98"/>
  <c r="AB88" i="98"/>
  <c r="T88" i="98" s="1"/>
  <c r="AL88" i="98"/>
  <c r="AM88" i="98" s="1"/>
  <c r="AW88" i="98"/>
  <c r="AA89" i="98"/>
  <c r="AF62" i="98"/>
  <c r="AQ62" i="98"/>
  <c r="BA62" i="98"/>
  <c r="AE63" i="98"/>
  <c r="AO63" i="98"/>
  <c r="AP63" i="98" s="1"/>
  <c r="AY63" i="98"/>
  <c r="AZ63" i="98" s="1"/>
  <c r="O63" i="98" s="1"/>
  <c r="AD64" i="98"/>
  <c r="X64" i="98" s="1"/>
  <c r="AN64" i="98"/>
  <c r="AX64" i="98"/>
  <c r="AB65" i="98"/>
  <c r="T65" i="98" s="1"/>
  <c r="AL65" i="98"/>
  <c r="AM65" i="98" s="1"/>
  <c r="AW65" i="98"/>
  <c r="AA66" i="98"/>
  <c r="AK66" i="98"/>
  <c r="AV66" i="98"/>
  <c r="Z67" i="98"/>
  <c r="AI67" i="98"/>
  <c r="AJ67" i="98" s="1"/>
  <c r="AU67" i="98"/>
  <c r="W68" i="98"/>
  <c r="AH68" i="98"/>
  <c r="AT68" i="98"/>
  <c r="V69" i="98"/>
  <c r="AG69" i="98"/>
  <c r="AR69" i="98"/>
  <c r="AS69" i="98" s="1"/>
  <c r="U70" i="98"/>
  <c r="AC70" i="98" s="1"/>
  <c r="AF70" i="98"/>
  <c r="AQ70" i="98"/>
  <c r="BA70" i="98"/>
  <c r="AE71" i="98"/>
  <c r="AO71" i="98"/>
  <c r="AP71" i="98" s="1"/>
  <c r="AY71" i="98"/>
  <c r="AZ71" i="98" s="1"/>
  <c r="O71" i="98" s="1"/>
  <c r="AD72" i="98"/>
  <c r="X72" i="98" s="1"/>
  <c r="AN72" i="98"/>
  <c r="AX72" i="98"/>
  <c r="AB73" i="98"/>
  <c r="T73" i="98" s="1"/>
  <c r="AL73" i="98"/>
  <c r="AM73" i="98" s="1"/>
  <c r="AW73" i="98"/>
  <c r="AA74" i="98"/>
  <c r="AK74" i="98"/>
  <c r="AV74" i="98"/>
  <c r="Z75" i="98"/>
  <c r="AI75" i="98"/>
  <c r="AJ75" i="98" s="1"/>
  <c r="AU75" i="98"/>
  <c r="W76" i="98"/>
  <c r="AH76" i="98"/>
  <c r="AT76" i="98"/>
  <c r="V77" i="98"/>
  <c r="AG77" i="98"/>
  <c r="AR77" i="98"/>
  <c r="AS77" i="98" s="1"/>
  <c r="U78" i="98"/>
  <c r="AC78" i="98" s="1"/>
  <c r="AF78" i="98"/>
  <c r="AQ78" i="98"/>
  <c r="BA78" i="98"/>
  <c r="AE79" i="98"/>
  <c r="AO79" i="98"/>
  <c r="AP79" i="98" s="1"/>
  <c r="AY79" i="98"/>
  <c r="AZ79" i="98" s="1"/>
  <c r="O79" i="98" s="1"/>
  <c r="AD80" i="98"/>
  <c r="X80" i="98" s="1"/>
  <c r="AN80" i="98"/>
  <c r="AX80" i="98"/>
  <c r="AB81" i="98"/>
  <c r="T81" i="98" s="1"/>
  <c r="AL81" i="98"/>
  <c r="AM81" i="98" s="1"/>
  <c r="AW81" i="98"/>
  <c r="AA82" i="98"/>
  <c r="AK82" i="98"/>
  <c r="AV82" i="98"/>
  <c r="Z83" i="98"/>
  <c r="AI83" i="98"/>
  <c r="AJ83" i="98" s="1"/>
  <c r="AU83" i="98"/>
  <c r="W84" i="98"/>
  <c r="AH84" i="98"/>
  <c r="AT84" i="98"/>
  <c r="V85" i="98"/>
  <c r="AG85" i="98"/>
  <c r="AR85" i="98"/>
  <c r="AS85" i="98" s="1"/>
  <c r="U86" i="98"/>
  <c r="AC86" i="98" s="1"/>
  <c r="AF86" i="98"/>
  <c r="AQ86" i="98"/>
  <c r="BA86" i="98"/>
  <c r="AE87" i="98"/>
  <c r="AO87" i="98"/>
  <c r="AP87" i="98" s="1"/>
  <c r="AY87" i="98"/>
  <c r="AZ87" i="98" s="1"/>
  <c r="O87" i="98" s="1"/>
  <c r="AD88" i="98"/>
  <c r="X88" i="98" s="1"/>
  <c r="AN88" i="98"/>
  <c r="AX88" i="98"/>
  <c r="AB89" i="98"/>
  <c r="T89" i="98" s="1"/>
  <c r="AG62" i="98"/>
  <c r="AR62" i="98"/>
  <c r="AS62" i="98" s="1"/>
  <c r="U63" i="98"/>
  <c r="AC63" i="98" s="1"/>
  <c r="AF63" i="98"/>
  <c r="AQ63" i="98"/>
  <c r="BA63" i="98"/>
  <c r="AE64" i="98"/>
  <c r="AO64" i="98"/>
  <c r="AP64" i="98" s="1"/>
  <c r="AY64" i="98"/>
  <c r="AZ64" i="98" s="1"/>
  <c r="O64" i="98" s="1"/>
  <c r="AD65" i="98"/>
  <c r="X65" i="98" s="1"/>
  <c r="AN65" i="98"/>
  <c r="AX65" i="98"/>
  <c r="AB66" i="98"/>
  <c r="T66" i="98" s="1"/>
  <c r="AL66" i="98"/>
  <c r="AM66" i="98" s="1"/>
  <c r="AW66" i="98"/>
  <c r="AA67" i="98"/>
  <c r="AK67" i="98"/>
  <c r="AV67" i="98"/>
  <c r="Z68" i="98"/>
  <c r="AI68" i="98"/>
  <c r="AJ68" i="98" s="1"/>
  <c r="AU68" i="98"/>
  <c r="W69" i="98"/>
  <c r="AH69" i="98"/>
  <c r="AT69" i="98"/>
  <c r="V70" i="98"/>
  <c r="AG70" i="98"/>
  <c r="AR70" i="98"/>
  <c r="AS70" i="98" s="1"/>
  <c r="U71" i="98"/>
  <c r="AC71" i="98" s="1"/>
  <c r="AF71" i="98"/>
  <c r="AQ71" i="98"/>
  <c r="BA71" i="98"/>
  <c r="AE72" i="98"/>
  <c r="AO72" i="98"/>
  <c r="AP72" i="98" s="1"/>
  <c r="AY72" i="98"/>
  <c r="AZ72" i="98" s="1"/>
  <c r="O72" i="98" s="1"/>
  <c r="AD73" i="98"/>
  <c r="X73" i="98" s="1"/>
  <c r="AN73" i="98"/>
  <c r="AX73" i="98"/>
  <c r="AB74" i="98"/>
  <c r="T74" i="98" s="1"/>
  <c r="AL74" i="98"/>
  <c r="AM74" i="98" s="1"/>
  <c r="AW74" i="98"/>
  <c r="AA75" i="98"/>
  <c r="AK75" i="98"/>
  <c r="AV75" i="98"/>
  <c r="Z76" i="98"/>
  <c r="AI76" i="98"/>
  <c r="AJ76" i="98" s="1"/>
  <c r="AU76" i="98"/>
  <c r="W77" i="98"/>
  <c r="AH77" i="98"/>
  <c r="AT77" i="98"/>
  <c r="V78" i="98"/>
  <c r="AG78" i="98"/>
  <c r="AR78" i="98"/>
  <c r="AS78" i="98" s="1"/>
  <c r="U79" i="98"/>
  <c r="AC79" i="98" s="1"/>
  <c r="AF79" i="98"/>
  <c r="AQ79" i="98"/>
  <c r="BA79" i="98"/>
  <c r="AE80" i="98"/>
  <c r="AO80" i="98"/>
  <c r="AP80" i="98" s="1"/>
  <c r="AY80" i="98"/>
  <c r="AZ80" i="98" s="1"/>
  <c r="O80" i="98" s="1"/>
  <c r="AD81" i="98"/>
  <c r="X81" i="98" s="1"/>
  <c r="AN81" i="98"/>
  <c r="AX81" i="98"/>
  <c r="AB82" i="98"/>
  <c r="T82" i="98" s="1"/>
  <c r="AL82" i="98"/>
  <c r="AM82" i="98" s="1"/>
  <c r="AW82" i="98"/>
  <c r="AA83" i="98"/>
  <c r="AK83" i="98"/>
  <c r="AV83" i="98"/>
  <c r="Z84" i="98"/>
  <c r="AI84" i="98"/>
  <c r="AJ84" i="98" s="1"/>
  <c r="AU84" i="98"/>
  <c r="W85" i="98"/>
  <c r="AH85" i="98"/>
  <c r="AT85" i="98"/>
  <c r="V86" i="98"/>
  <c r="AG86" i="98"/>
  <c r="AR86" i="98"/>
  <c r="AS86" i="98" s="1"/>
  <c r="U87" i="98"/>
  <c r="AC87" i="98" s="1"/>
  <c r="AF87" i="98"/>
  <c r="AQ87" i="98"/>
  <c r="BA87" i="98"/>
  <c r="AE88" i="98"/>
  <c r="AO88" i="98"/>
  <c r="AP88" i="98" s="1"/>
  <c r="AH62" i="98"/>
  <c r="AT62" i="98"/>
  <c r="V63" i="98"/>
  <c r="AG63" i="98"/>
  <c r="AR63" i="98"/>
  <c r="AS63" i="98" s="1"/>
  <c r="U64" i="98"/>
  <c r="AC64" i="98" s="1"/>
  <c r="AF64" i="98"/>
  <c r="AQ64" i="98"/>
  <c r="BA64" i="98"/>
  <c r="AE65" i="98"/>
  <c r="AO65" i="98"/>
  <c r="AP65" i="98" s="1"/>
  <c r="AY65" i="98"/>
  <c r="AZ65" i="98" s="1"/>
  <c r="O65" i="98" s="1"/>
  <c r="AD66" i="98"/>
  <c r="X66" i="98" s="1"/>
  <c r="AN66" i="98"/>
  <c r="AX66" i="98"/>
  <c r="AB67" i="98"/>
  <c r="T67" i="98" s="1"/>
  <c r="AL67" i="98"/>
  <c r="AM67" i="98" s="1"/>
  <c r="AW67" i="98"/>
  <c r="AA68" i="98"/>
  <c r="AK68" i="98"/>
  <c r="AV68" i="98"/>
  <c r="Z69" i="98"/>
  <c r="AI69" i="98"/>
  <c r="AJ69" i="98" s="1"/>
  <c r="AU69" i="98"/>
  <c r="W70" i="98"/>
  <c r="AH70" i="98"/>
  <c r="AT70" i="98"/>
  <c r="V71" i="98"/>
  <c r="AG71" i="98"/>
  <c r="AR71" i="98"/>
  <c r="AS71" i="98" s="1"/>
  <c r="U72" i="98"/>
  <c r="AC72" i="98" s="1"/>
  <c r="AF72" i="98"/>
  <c r="AQ72" i="98"/>
  <c r="BA72" i="98"/>
  <c r="AE73" i="98"/>
  <c r="AO73" i="98"/>
  <c r="AP73" i="98" s="1"/>
  <c r="AY73" i="98"/>
  <c r="AZ73" i="98" s="1"/>
  <c r="O73" i="98" s="1"/>
  <c r="AD74" i="98"/>
  <c r="X74" i="98" s="1"/>
  <c r="AN74" i="98"/>
  <c r="AX74" i="98"/>
  <c r="AB75" i="98"/>
  <c r="T75" i="98" s="1"/>
  <c r="AL75" i="98"/>
  <c r="AM75" i="98" s="1"/>
  <c r="AW75" i="98"/>
  <c r="AA76" i="98"/>
  <c r="AK76" i="98"/>
  <c r="AV76" i="98"/>
  <c r="Z77" i="98"/>
  <c r="AI77" i="98"/>
  <c r="AJ77" i="98" s="1"/>
  <c r="AU77" i="98"/>
  <c r="W78" i="98"/>
  <c r="AH78" i="98"/>
  <c r="AT78" i="98"/>
  <c r="V79" i="98"/>
  <c r="AG79" i="98"/>
  <c r="AR79" i="98"/>
  <c r="AS79" i="98" s="1"/>
  <c r="U80" i="98"/>
  <c r="AC80" i="98" s="1"/>
  <c r="AF80" i="98"/>
  <c r="AQ80" i="98"/>
  <c r="BA80" i="98"/>
  <c r="AE81" i="98"/>
  <c r="AO81" i="98"/>
  <c r="AP81" i="98" s="1"/>
  <c r="AY81" i="98"/>
  <c r="AZ81" i="98" s="1"/>
  <c r="O81" i="98" s="1"/>
  <c r="AD82" i="98"/>
  <c r="X82" i="98" s="1"/>
  <c r="AN82" i="98"/>
  <c r="AX82" i="98"/>
  <c r="AB83" i="98"/>
  <c r="T83" i="98" s="1"/>
  <c r="AL83" i="98"/>
  <c r="AM83" i="98" s="1"/>
  <c r="AW83" i="98"/>
  <c r="AA84" i="98"/>
  <c r="AK84" i="98"/>
  <c r="AV84" i="98"/>
  <c r="Z85" i="98"/>
  <c r="AI85" i="98"/>
  <c r="AJ85" i="98" s="1"/>
  <c r="AU85" i="98"/>
  <c r="W86" i="98"/>
  <c r="AH86" i="98"/>
  <c r="AT86" i="98"/>
  <c r="V87" i="98"/>
  <c r="AG87" i="98"/>
  <c r="AR87" i="98"/>
  <c r="AS87" i="98" s="1"/>
  <c r="U88" i="98"/>
  <c r="AC88" i="98" s="1"/>
  <c r="AF88" i="98"/>
  <c r="AQ88" i="98"/>
  <c r="BA88" i="98"/>
  <c r="AI62" i="98"/>
  <c r="AJ62" i="98" s="1"/>
  <c r="AU62" i="98"/>
  <c r="W63" i="98"/>
  <c r="AH63" i="98"/>
  <c r="AT63" i="98"/>
  <c r="V64" i="98"/>
  <c r="AG64" i="98"/>
  <c r="AR64" i="98"/>
  <c r="AS64" i="98" s="1"/>
  <c r="U65" i="98"/>
  <c r="AC65" i="98" s="1"/>
  <c r="AF65" i="98"/>
  <c r="AQ65" i="98"/>
  <c r="BA65" i="98"/>
  <c r="AE66" i="98"/>
  <c r="AO66" i="98"/>
  <c r="AP66" i="98" s="1"/>
  <c r="AY66" i="98"/>
  <c r="AZ66" i="98" s="1"/>
  <c r="O66" i="98" s="1"/>
  <c r="AD67" i="98"/>
  <c r="X67" i="98" s="1"/>
  <c r="AN67" i="98"/>
  <c r="AX67" i="98"/>
  <c r="AB68" i="98"/>
  <c r="T68" i="98" s="1"/>
  <c r="AL68" i="98"/>
  <c r="AM68" i="98" s="1"/>
  <c r="AW68" i="98"/>
  <c r="AA69" i="98"/>
  <c r="AK69" i="98"/>
  <c r="AV69" i="98"/>
  <c r="Z70" i="98"/>
  <c r="AI70" i="98"/>
  <c r="AJ70" i="98" s="1"/>
  <c r="AU70" i="98"/>
  <c r="W71" i="98"/>
  <c r="AH71" i="98"/>
  <c r="AT71" i="98"/>
  <c r="V72" i="98"/>
  <c r="AG72" i="98"/>
  <c r="AR72" i="98"/>
  <c r="AS72" i="98" s="1"/>
  <c r="U73" i="98"/>
  <c r="AC73" i="98" s="1"/>
  <c r="AF73" i="98"/>
  <c r="AQ73" i="98"/>
  <c r="BA73" i="98"/>
  <c r="AE74" i="98"/>
  <c r="AO74" i="98"/>
  <c r="AP74" i="98" s="1"/>
  <c r="AY74" i="98"/>
  <c r="AZ74" i="98" s="1"/>
  <c r="O74" i="98" s="1"/>
  <c r="AD75" i="98"/>
  <c r="X75" i="98" s="1"/>
  <c r="AN75" i="98"/>
  <c r="AX75" i="98"/>
  <c r="AB76" i="98"/>
  <c r="T76" i="98" s="1"/>
  <c r="AL76" i="98"/>
  <c r="AM76" i="98" s="1"/>
  <c r="AW76" i="98"/>
  <c r="AA77" i="98"/>
  <c r="AK77" i="98"/>
  <c r="AV77" i="98"/>
  <c r="Z78" i="98"/>
  <c r="AI78" i="98"/>
  <c r="AJ78" i="98" s="1"/>
  <c r="AU78" i="98"/>
  <c r="W79" i="98"/>
  <c r="AH79" i="98"/>
  <c r="AT79" i="98"/>
  <c r="V80" i="98"/>
  <c r="AG80" i="98"/>
  <c r="AR80" i="98"/>
  <c r="AS80" i="98" s="1"/>
  <c r="U81" i="98"/>
  <c r="AC81" i="98" s="1"/>
  <c r="AF81" i="98"/>
  <c r="AQ81" i="98"/>
  <c r="BA81" i="98"/>
  <c r="AE82" i="98"/>
  <c r="AO82" i="98"/>
  <c r="AP82" i="98" s="1"/>
  <c r="AY82" i="98"/>
  <c r="AZ82" i="98" s="1"/>
  <c r="O82" i="98" s="1"/>
  <c r="AD83" i="98"/>
  <c r="X83" i="98" s="1"/>
  <c r="AN83" i="98"/>
  <c r="AX83" i="98"/>
  <c r="AB84" i="98"/>
  <c r="T84" i="98" s="1"/>
  <c r="AL84" i="98"/>
  <c r="AM84" i="98" s="1"/>
  <c r="AW84" i="98"/>
  <c r="AA85" i="98"/>
  <c r="AK85" i="98"/>
  <c r="AV85" i="98"/>
  <c r="Z86" i="98"/>
  <c r="AI86" i="98"/>
  <c r="AJ86" i="98" s="1"/>
  <c r="AU86" i="98"/>
  <c r="W87" i="98"/>
  <c r="AH87" i="98"/>
  <c r="AT87" i="98"/>
  <c r="V88" i="98"/>
  <c r="AG88" i="98"/>
  <c r="AR88" i="98"/>
  <c r="AS88" i="98" s="1"/>
  <c r="AY88" i="98"/>
  <c r="AZ88" i="98" s="1"/>
  <c r="O88" i="98" s="1"/>
  <c r="AK89" i="98"/>
  <c r="AV89" i="98"/>
  <c r="Z90" i="98"/>
  <c r="AI90" i="98"/>
  <c r="AJ90" i="98" s="1"/>
  <c r="AU90" i="98"/>
  <c r="W91" i="98"/>
  <c r="AH91" i="98"/>
  <c r="AT91" i="98"/>
  <c r="V92" i="98"/>
  <c r="AG92" i="98"/>
  <c r="AR92" i="98"/>
  <c r="AS92" i="98" s="1"/>
  <c r="U93" i="98"/>
  <c r="AC93" i="98" s="1"/>
  <c r="AF93" i="98"/>
  <c r="AQ93" i="98"/>
  <c r="BA93" i="98"/>
  <c r="AE94" i="98"/>
  <c r="AO94" i="98"/>
  <c r="AP94" i="98" s="1"/>
  <c r="AY94" i="98"/>
  <c r="AZ94" i="98" s="1"/>
  <c r="O94" i="98" s="1"/>
  <c r="AD95" i="98"/>
  <c r="X95" i="98" s="1"/>
  <c r="AN95" i="98"/>
  <c r="AX95" i="98"/>
  <c r="AB96" i="98"/>
  <c r="T96" i="98" s="1"/>
  <c r="AL96" i="98"/>
  <c r="AM96" i="98" s="1"/>
  <c r="AW96" i="98"/>
  <c r="AA97" i="98"/>
  <c r="AK97" i="98"/>
  <c r="AV97" i="98"/>
  <c r="Z98" i="98"/>
  <c r="AI98" i="98"/>
  <c r="AJ98" i="98" s="1"/>
  <c r="AU98" i="98"/>
  <c r="W99" i="98"/>
  <c r="AH99" i="98"/>
  <c r="AT99" i="98"/>
  <c r="V100" i="98"/>
  <c r="AG100" i="98"/>
  <c r="AR100" i="98"/>
  <c r="AS100" i="98" s="1"/>
  <c r="U101" i="98"/>
  <c r="AC101" i="98" s="1"/>
  <c r="AF101" i="98"/>
  <c r="AQ101" i="98"/>
  <c r="BA101" i="98"/>
  <c r="AE102" i="98"/>
  <c r="AO102" i="98"/>
  <c r="AP102" i="98" s="1"/>
  <c r="AY102" i="98"/>
  <c r="AZ102" i="98" s="1"/>
  <c r="O102" i="98" s="1"/>
  <c r="AD103" i="98"/>
  <c r="X103" i="98" s="1"/>
  <c r="AN103" i="98"/>
  <c r="AX103" i="98"/>
  <c r="AB104" i="98"/>
  <c r="T104" i="98" s="1"/>
  <c r="AL104" i="98"/>
  <c r="AM104" i="98" s="1"/>
  <c r="AW104" i="98"/>
  <c r="AA105" i="98"/>
  <c r="AK105" i="98"/>
  <c r="AV105" i="98"/>
  <c r="Z106" i="98"/>
  <c r="AI106" i="98"/>
  <c r="AJ106" i="98" s="1"/>
  <c r="AU106" i="98"/>
  <c r="W107" i="98"/>
  <c r="AH107" i="98"/>
  <c r="AT107" i="98"/>
  <c r="V108" i="98"/>
  <c r="AG108" i="98"/>
  <c r="AR108" i="98"/>
  <c r="AS108" i="98" s="1"/>
  <c r="U109" i="98"/>
  <c r="AC109" i="98" s="1"/>
  <c r="AF109" i="98"/>
  <c r="AQ109" i="98"/>
  <c r="BA109" i="98"/>
  <c r="AE110" i="98"/>
  <c r="AO110" i="98"/>
  <c r="AP110" i="98" s="1"/>
  <c r="AY110" i="98"/>
  <c r="AZ110" i="98" s="1"/>
  <c r="O110" i="98" s="1"/>
  <c r="AD111" i="98"/>
  <c r="X111" i="98" s="1"/>
  <c r="AN111" i="98"/>
  <c r="AX111" i="98"/>
  <c r="AB112" i="98"/>
  <c r="T112" i="98" s="1"/>
  <c r="AL112" i="98"/>
  <c r="AM112" i="98" s="1"/>
  <c r="AW112" i="98"/>
  <c r="AA113" i="98"/>
  <c r="AK113" i="98"/>
  <c r="AV113" i="98"/>
  <c r="Z114" i="98"/>
  <c r="AI114" i="98"/>
  <c r="AJ114" i="98" s="1"/>
  <c r="AU114" i="98"/>
  <c r="W115" i="98"/>
  <c r="AH115" i="98"/>
  <c r="AT115" i="98"/>
  <c r="V116" i="98"/>
  <c r="U89" i="98"/>
  <c r="AC89" i="98" s="1"/>
  <c r="AL89" i="98"/>
  <c r="AM89" i="98" s="1"/>
  <c r="AW89" i="98"/>
  <c r="AA90" i="98"/>
  <c r="AK90" i="98"/>
  <c r="AV90" i="98"/>
  <c r="Z91" i="98"/>
  <c r="AI91" i="98"/>
  <c r="AJ91" i="98" s="1"/>
  <c r="AU91" i="98"/>
  <c r="W92" i="98"/>
  <c r="AH92" i="98"/>
  <c r="AT92" i="98"/>
  <c r="V93" i="98"/>
  <c r="AG93" i="98"/>
  <c r="AR93" i="98"/>
  <c r="AS93" i="98" s="1"/>
  <c r="U94" i="98"/>
  <c r="AC94" i="98" s="1"/>
  <c r="AF94" i="98"/>
  <c r="AQ94" i="98"/>
  <c r="BA94" i="98"/>
  <c r="AE95" i="98"/>
  <c r="AO95" i="98"/>
  <c r="AP95" i="98" s="1"/>
  <c r="AY95" i="98"/>
  <c r="AZ95" i="98" s="1"/>
  <c r="O95" i="98" s="1"/>
  <c r="AD96" i="98"/>
  <c r="X96" i="98" s="1"/>
  <c r="AN96" i="98"/>
  <c r="AX96" i="98"/>
  <c r="AB97" i="98"/>
  <c r="T97" i="98" s="1"/>
  <c r="AL97" i="98"/>
  <c r="AM97" i="98" s="1"/>
  <c r="AW97" i="98"/>
  <c r="AA98" i="98"/>
  <c r="AK98" i="98"/>
  <c r="AV98" i="98"/>
  <c r="Z99" i="98"/>
  <c r="AI99" i="98"/>
  <c r="AJ99" i="98" s="1"/>
  <c r="AU99" i="98"/>
  <c r="W100" i="98"/>
  <c r="AH100" i="98"/>
  <c r="AT100" i="98"/>
  <c r="V101" i="98"/>
  <c r="AG101" i="98"/>
  <c r="AR101" i="98"/>
  <c r="AS101" i="98" s="1"/>
  <c r="U102" i="98"/>
  <c r="AC102" i="98" s="1"/>
  <c r="AF102" i="98"/>
  <c r="AQ102" i="98"/>
  <c r="BA102" i="98"/>
  <c r="AE103" i="98"/>
  <c r="AO103" i="98"/>
  <c r="AP103" i="98" s="1"/>
  <c r="AY103" i="98"/>
  <c r="AZ103" i="98" s="1"/>
  <c r="O103" i="98" s="1"/>
  <c r="AD104" i="98"/>
  <c r="X104" i="98" s="1"/>
  <c r="AN104" i="98"/>
  <c r="AX104" i="98"/>
  <c r="AB105" i="98"/>
  <c r="T105" i="98" s="1"/>
  <c r="AL105" i="98"/>
  <c r="AM105" i="98" s="1"/>
  <c r="AW105" i="98"/>
  <c r="AA106" i="98"/>
  <c r="AK106" i="98"/>
  <c r="AV106" i="98"/>
  <c r="Z107" i="98"/>
  <c r="AI107" i="98"/>
  <c r="AJ107" i="98" s="1"/>
  <c r="AU107" i="98"/>
  <c r="W108" i="98"/>
  <c r="AH108" i="98"/>
  <c r="AT108" i="98"/>
  <c r="V109" i="98"/>
  <c r="AG109" i="98"/>
  <c r="AR109" i="98"/>
  <c r="AS109" i="98" s="1"/>
  <c r="U110" i="98"/>
  <c r="AC110" i="98" s="1"/>
  <c r="AF110" i="98"/>
  <c r="AQ110" i="98"/>
  <c r="BA110" i="98"/>
  <c r="AE111" i="98"/>
  <c r="AO111" i="98"/>
  <c r="AP111" i="98" s="1"/>
  <c r="AY111" i="98"/>
  <c r="AZ111" i="98" s="1"/>
  <c r="O111" i="98" s="1"/>
  <c r="AD112" i="98"/>
  <c r="X112" i="98" s="1"/>
  <c r="AN112" i="98"/>
  <c r="AX112" i="98"/>
  <c r="AB113" i="98"/>
  <c r="T113" i="98" s="1"/>
  <c r="AL113" i="98"/>
  <c r="AM113" i="98" s="1"/>
  <c r="AW113" i="98"/>
  <c r="AA114" i="98"/>
  <c r="AK114" i="98"/>
  <c r="AV114" i="98"/>
  <c r="Z115" i="98"/>
  <c r="AI115" i="98"/>
  <c r="AJ115" i="98" s="1"/>
  <c r="AU115" i="98"/>
  <c r="W116" i="98"/>
  <c r="AD89" i="98"/>
  <c r="X89" i="98" s="1"/>
  <c r="AN89" i="98"/>
  <c r="AX89" i="98"/>
  <c r="AB90" i="98"/>
  <c r="T90" i="98" s="1"/>
  <c r="AL90" i="98"/>
  <c r="AM90" i="98" s="1"/>
  <c r="AW90" i="98"/>
  <c r="AA91" i="98"/>
  <c r="AK91" i="98"/>
  <c r="AV91" i="98"/>
  <c r="Z92" i="98"/>
  <c r="AI92" i="98"/>
  <c r="AJ92" i="98" s="1"/>
  <c r="AU92" i="98"/>
  <c r="W93" i="98"/>
  <c r="AH93" i="98"/>
  <c r="AT93" i="98"/>
  <c r="V94" i="98"/>
  <c r="AG94" i="98"/>
  <c r="AR94" i="98"/>
  <c r="AS94" i="98" s="1"/>
  <c r="U95" i="98"/>
  <c r="AC95" i="98" s="1"/>
  <c r="AF95" i="98"/>
  <c r="AQ95" i="98"/>
  <c r="BA95" i="98"/>
  <c r="AE96" i="98"/>
  <c r="AO96" i="98"/>
  <c r="AP96" i="98" s="1"/>
  <c r="AY96" i="98"/>
  <c r="AZ96" i="98" s="1"/>
  <c r="O96" i="98" s="1"/>
  <c r="AD97" i="98"/>
  <c r="X97" i="98" s="1"/>
  <c r="AN97" i="98"/>
  <c r="AX97" i="98"/>
  <c r="AB98" i="98"/>
  <c r="T98" i="98" s="1"/>
  <c r="AL98" i="98"/>
  <c r="AM98" i="98" s="1"/>
  <c r="AW98" i="98"/>
  <c r="AA99" i="98"/>
  <c r="AK99" i="98"/>
  <c r="AV99" i="98"/>
  <c r="Z100" i="98"/>
  <c r="AI100" i="98"/>
  <c r="AJ100" i="98" s="1"/>
  <c r="AU100" i="98"/>
  <c r="W101" i="98"/>
  <c r="AH101" i="98"/>
  <c r="AT101" i="98"/>
  <c r="V102" i="98"/>
  <c r="AG102" i="98"/>
  <c r="AR102" i="98"/>
  <c r="AS102" i="98" s="1"/>
  <c r="U103" i="98"/>
  <c r="AC103" i="98" s="1"/>
  <c r="AF103" i="98"/>
  <c r="AQ103" i="98"/>
  <c r="BA103" i="98"/>
  <c r="AE104" i="98"/>
  <c r="AO104" i="98"/>
  <c r="AP104" i="98" s="1"/>
  <c r="AY104" i="98"/>
  <c r="AZ104" i="98" s="1"/>
  <c r="O104" i="98" s="1"/>
  <c r="AD105" i="98"/>
  <c r="X105" i="98" s="1"/>
  <c r="AN105" i="98"/>
  <c r="AX105" i="98"/>
  <c r="AB106" i="98"/>
  <c r="T106" i="98" s="1"/>
  <c r="AL106" i="98"/>
  <c r="AM106" i="98" s="1"/>
  <c r="AW106" i="98"/>
  <c r="AA107" i="98"/>
  <c r="AK107" i="98"/>
  <c r="AV107" i="98"/>
  <c r="Z108" i="98"/>
  <c r="AI108" i="98"/>
  <c r="AJ108" i="98" s="1"/>
  <c r="AU108" i="98"/>
  <c r="W109" i="98"/>
  <c r="AH109" i="98"/>
  <c r="AT109" i="98"/>
  <c r="V110" i="98"/>
  <c r="AG110" i="98"/>
  <c r="AR110" i="98"/>
  <c r="AS110" i="98" s="1"/>
  <c r="U111" i="98"/>
  <c r="AC111" i="98" s="1"/>
  <c r="AF111" i="98"/>
  <c r="AQ111" i="98"/>
  <c r="BA111" i="98"/>
  <c r="AE112" i="98"/>
  <c r="AO112" i="98"/>
  <c r="AP112" i="98" s="1"/>
  <c r="AY112" i="98"/>
  <c r="AZ112" i="98" s="1"/>
  <c r="O112" i="98" s="1"/>
  <c r="AD113" i="98"/>
  <c r="X113" i="98" s="1"/>
  <c r="AN113" i="98"/>
  <c r="AX113" i="98"/>
  <c r="AB114" i="98"/>
  <c r="T114" i="98" s="1"/>
  <c r="AL114" i="98"/>
  <c r="AM114" i="98" s="1"/>
  <c r="AW114" i="98"/>
  <c r="AA115" i="98"/>
  <c r="AK115" i="98"/>
  <c r="AE89" i="98"/>
  <c r="AO89" i="98"/>
  <c r="AP89" i="98" s="1"/>
  <c r="AY89" i="98"/>
  <c r="AZ89" i="98" s="1"/>
  <c r="O89" i="98" s="1"/>
  <c r="AD90" i="98"/>
  <c r="X90" i="98" s="1"/>
  <c r="AN90" i="98"/>
  <c r="AX90" i="98"/>
  <c r="AB91" i="98"/>
  <c r="T91" i="98" s="1"/>
  <c r="AL91" i="98"/>
  <c r="AM91" i="98" s="1"/>
  <c r="AW91" i="98"/>
  <c r="AA92" i="98"/>
  <c r="AK92" i="98"/>
  <c r="AV92" i="98"/>
  <c r="Z93" i="98"/>
  <c r="AI93" i="98"/>
  <c r="AJ93" i="98" s="1"/>
  <c r="AU93" i="98"/>
  <c r="W94" i="98"/>
  <c r="AH94" i="98"/>
  <c r="AT94" i="98"/>
  <c r="V95" i="98"/>
  <c r="AG95" i="98"/>
  <c r="AR95" i="98"/>
  <c r="AS95" i="98" s="1"/>
  <c r="U96" i="98"/>
  <c r="AC96" i="98" s="1"/>
  <c r="AF96" i="98"/>
  <c r="AQ96" i="98"/>
  <c r="BA96" i="98"/>
  <c r="AE97" i="98"/>
  <c r="AO97" i="98"/>
  <c r="AP97" i="98" s="1"/>
  <c r="AY97" i="98"/>
  <c r="AZ97" i="98" s="1"/>
  <c r="O97" i="98" s="1"/>
  <c r="AD98" i="98"/>
  <c r="X98" i="98" s="1"/>
  <c r="AN98" i="98"/>
  <c r="AX98" i="98"/>
  <c r="AB99" i="98"/>
  <c r="T99" i="98" s="1"/>
  <c r="AL99" i="98"/>
  <c r="AM99" i="98" s="1"/>
  <c r="AW99" i="98"/>
  <c r="AA100" i="98"/>
  <c r="AK100" i="98"/>
  <c r="AV100" i="98"/>
  <c r="Z101" i="98"/>
  <c r="AI101" i="98"/>
  <c r="AJ101" i="98" s="1"/>
  <c r="AU101" i="98"/>
  <c r="W102" i="98"/>
  <c r="AH102" i="98"/>
  <c r="AT102" i="98"/>
  <c r="V103" i="98"/>
  <c r="AG103" i="98"/>
  <c r="AR103" i="98"/>
  <c r="AS103" i="98" s="1"/>
  <c r="U104" i="98"/>
  <c r="AC104" i="98" s="1"/>
  <c r="AF104" i="98"/>
  <c r="AQ104" i="98"/>
  <c r="BA104" i="98"/>
  <c r="AE105" i="98"/>
  <c r="AO105" i="98"/>
  <c r="AP105" i="98" s="1"/>
  <c r="AY105" i="98"/>
  <c r="AZ105" i="98" s="1"/>
  <c r="O105" i="98" s="1"/>
  <c r="AD106" i="98"/>
  <c r="X106" i="98" s="1"/>
  <c r="AN106" i="98"/>
  <c r="AX106" i="98"/>
  <c r="AB107" i="98"/>
  <c r="T107" i="98" s="1"/>
  <c r="AL107" i="98"/>
  <c r="AM107" i="98" s="1"/>
  <c r="AW107" i="98"/>
  <c r="AA108" i="98"/>
  <c r="AK108" i="98"/>
  <c r="AV108" i="98"/>
  <c r="Z109" i="98"/>
  <c r="AI109" i="98"/>
  <c r="AJ109" i="98" s="1"/>
  <c r="AU109" i="98"/>
  <c r="W110" i="98"/>
  <c r="AH110" i="98"/>
  <c r="AT110" i="98"/>
  <c r="V111" i="98"/>
  <c r="AG111" i="98"/>
  <c r="AR111" i="98"/>
  <c r="AS111" i="98" s="1"/>
  <c r="U112" i="98"/>
  <c r="AC112" i="98" s="1"/>
  <c r="AF112" i="98"/>
  <c r="AQ112" i="98"/>
  <c r="BA112" i="98"/>
  <c r="AE113" i="98"/>
  <c r="AO113" i="98"/>
  <c r="AP113" i="98" s="1"/>
  <c r="AY113" i="98"/>
  <c r="AZ113" i="98" s="1"/>
  <c r="O113" i="98" s="1"/>
  <c r="AD114" i="98"/>
  <c r="X114" i="98" s="1"/>
  <c r="AN114" i="98"/>
  <c r="AX114" i="98"/>
  <c r="AB115" i="98"/>
  <c r="T115" i="98" s="1"/>
  <c r="AL115" i="98"/>
  <c r="AM115" i="98" s="1"/>
  <c r="AF89" i="98"/>
  <c r="AQ89" i="98"/>
  <c r="BA89" i="98"/>
  <c r="AE90" i="98"/>
  <c r="AO90" i="98"/>
  <c r="AP90" i="98" s="1"/>
  <c r="AY90" i="98"/>
  <c r="AZ90" i="98" s="1"/>
  <c r="O90" i="98" s="1"/>
  <c r="AD91" i="98"/>
  <c r="X91" i="98" s="1"/>
  <c r="AN91" i="98"/>
  <c r="AX91" i="98"/>
  <c r="AB92" i="98"/>
  <c r="T92" i="98" s="1"/>
  <c r="AL92" i="98"/>
  <c r="AM92" i="98" s="1"/>
  <c r="AW92" i="98"/>
  <c r="AA93" i="98"/>
  <c r="AK93" i="98"/>
  <c r="AV93" i="98"/>
  <c r="Z94" i="98"/>
  <c r="AI94" i="98"/>
  <c r="AJ94" i="98" s="1"/>
  <c r="AU94" i="98"/>
  <c r="W95" i="98"/>
  <c r="AH95" i="98"/>
  <c r="AT95" i="98"/>
  <c r="V96" i="98"/>
  <c r="AG96" i="98"/>
  <c r="AR96" i="98"/>
  <c r="AS96" i="98" s="1"/>
  <c r="U97" i="98"/>
  <c r="AC97" i="98" s="1"/>
  <c r="AF97" i="98"/>
  <c r="AQ97" i="98"/>
  <c r="BA97" i="98"/>
  <c r="AE98" i="98"/>
  <c r="AO98" i="98"/>
  <c r="AP98" i="98" s="1"/>
  <c r="AY98" i="98"/>
  <c r="AZ98" i="98" s="1"/>
  <c r="O98" i="98" s="1"/>
  <c r="AD99" i="98"/>
  <c r="X99" i="98" s="1"/>
  <c r="AN99" i="98"/>
  <c r="AX99" i="98"/>
  <c r="AB100" i="98"/>
  <c r="T100" i="98" s="1"/>
  <c r="AL100" i="98"/>
  <c r="AM100" i="98" s="1"/>
  <c r="AW100" i="98"/>
  <c r="AA101" i="98"/>
  <c r="AK101" i="98"/>
  <c r="AV101" i="98"/>
  <c r="Z102" i="98"/>
  <c r="AI102" i="98"/>
  <c r="AJ102" i="98" s="1"/>
  <c r="AU102" i="98"/>
  <c r="W103" i="98"/>
  <c r="AH103" i="98"/>
  <c r="AT103" i="98"/>
  <c r="V104" i="98"/>
  <c r="AG104" i="98"/>
  <c r="AR104" i="98"/>
  <c r="AS104" i="98" s="1"/>
  <c r="U105" i="98"/>
  <c r="AC105" i="98" s="1"/>
  <c r="AF105" i="98"/>
  <c r="AQ105" i="98"/>
  <c r="BA105" i="98"/>
  <c r="AE106" i="98"/>
  <c r="AO106" i="98"/>
  <c r="AP106" i="98" s="1"/>
  <c r="AY106" i="98"/>
  <c r="AZ106" i="98" s="1"/>
  <c r="O106" i="98" s="1"/>
  <c r="AD107" i="98"/>
  <c r="X107" i="98" s="1"/>
  <c r="AN107" i="98"/>
  <c r="AX107" i="98"/>
  <c r="AB108" i="98"/>
  <c r="T108" i="98" s="1"/>
  <c r="AL108" i="98"/>
  <c r="AM108" i="98" s="1"/>
  <c r="AW108" i="98"/>
  <c r="AA109" i="98"/>
  <c r="AK109" i="98"/>
  <c r="AV109" i="98"/>
  <c r="Z110" i="98"/>
  <c r="AI110" i="98"/>
  <c r="AJ110" i="98" s="1"/>
  <c r="AU110" i="98"/>
  <c r="W111" i="98"/>
  <c r="AH111" i="98"/>
  <c r="AT111" i="98"/>
  <c r="V112" i="98"/>
  <c r="AG112" i="98"/>
  <c r="AR112" i="98"/>
  <c r="AS112" i="98" s="1"/>
  <c r="U113" i="98"/>
  <c r="AC113" i="98" s="1"/>
  <c r="AF113" i="98"/>
  <c r="AQ113" i="98"/>
  <c r="BA113" i="98"/>
  <c r="AE114" i="98"/>
  <c r="AO114" i="98"/>
  <c r="AP114" i="98" s="1"/>
  <c r="AY114" i="98"/>
  <c r="AZ114" i="98" s="1"/>
  <c r="O114" i="98" s="1"/>
  <c r="AD115" i="98"/>
  <c r="X115" i="98" s="1"/>
  <c r="AN115" i="98"/>
  <c r="AX115" i="98"/>
  <c r="AG89" i="98"/>
  <c r="AR89" i="98"/>
  <c r="AS89" i="98" s="1"/>
  <c r="U90" i="98"/>
  <c r="AC90" i="98" s="1"/>
  <c r="AF90" i="98"/>
  <c r="AQ90" i="98"/>
  <c r="BA90" i="98"/>
  <c r="AE91" i="98"/>
  <c r="AO91" i="98"/>
  <c r="AP91" i="98" s="1"/>
  <c r="AY91" i="98"/>
  <c r="AZ91" i="98" s="1"/>
  <c r="O91" i="98" s="1"/>
  <c r="AD92" i="98"/>
  <c r="X92" i="98" s="1"/>
  <c r="AN92" i="98"/>
  <c r="AX92" i="98"/>
  <c r="AB93" i="98"/>
  <c r="T93" i="98" s="1"/>
  <c r="AL93" i="98"/>
  <c r="AM93" i="98" s="1"/>
  <c r="AW93" i="98"/>
  <c r="AA94" i="98"/>
  <c r="AK94" i="98"/>
  <c r="AV94" i="98"/>
  <c r="Z95" i="98"/>
  <c r="AI95" i="98"/>
  <c r="AJ95" i="98" s="1"/>
  <c r="AU95" i="98"/>
  <c r="W96" i="98"/>
  <c r="AH96" i="98"/>
  <c r="AT96" i="98"/>
  <c r="V97" i="98"/>
  <c r="AG97" i="98"/>
  <c r="AR97" i="98"/>
  <c r="AS97" i="98" s="1"/>
  <c r="U98" i="98"/>
  <c r="AC98" i="98" s="1"/>
  <c r="AF98" i="98"/>
  <c r="AQ98" i="98"/>
  <c r="BA98" i="98"/>
  <c r="AE99" i="98"/>
  <c r="AO99" i="98"/>
  <c r="AP99" i="98" s="1"/>
  <c r="AY99" i="98"/>
  <c r="AZ99" i="98" s="1"/>
  <c r="O99" i="98" s="1"/>
  <c r="AD100" i="98"/>
  <c r="X100" i="98" s="1"/>
  <c r="AN100" i="98"/>
  <c r="AX100" i="98"/>
  <c r="AB101" i="98"/>
  <c r="T101" i="98" s="1"/>
  <c r="AL101" i="98"/>
  <c r="AM101" i="98" s="1"/>
  <c r="AW101" i="98"/>
  <c r="AA102" i="98"/>
  <c r="AK102" i="98"/>
  <c r="AV102" i="98"/>
  <c r="Z103" i="98"/>
  <c r="AI103" i="98"/>
  <c r="AJ103" i="98" s="1"/>
  <c r="AU103" i="98"/>
  <c r="W104" i="98"/>
  <c r="AH104" i="98"/>
  <c r="AT104" i="98"/>
  <c r="V105" i="98"/>
  <c r="AG105" i="98"/>
  <c r="AR105" i="98"/>
  <c r="AS105" i="98" s="1"/>
  <c r="U106" i="98"/>
  <c r="AC106" i="98" s="1"/>
  <c r="AF106" i="98"/>
  <c r="AQ106" i="98"/>
  <c r="BA106" i="98"/>
  <c r="AE107" i="98"/>
  <c r="AO107" i="98"/>
  <c r="AP107" i="98" s="1"/>
  <c r="AY107" i="98"/>
  <c r="AZ107" i="98" s="1"/>
  <c r="O107" i="98" s="1"/>
  <c r="AD108" i="98"/>
  <c r="X108" i="98" s="1"/>
  <c r="AN108" i="98"/>
  <c r="AX108" i="98"/>
  <c r="AB109" i="98"/>
  <c r="T109" i="98" s="1"/>
  <c r="AL109" i="98"/>
  <c r="AM109" i="98" s="1"/>
  <c r="AW109" i="98"/>
  <c r="AA110" i="98"/>
  <c r="AK110" i="98"/>
  <c r="AV110" i="98"/>
  <c r="Z111" i="98"/>
  <c r="AI111" i="98"/>
  <c r="AJ111" i="98" s="1"/>
  <c r="AU111" i="98"/>
  <c r="W112" i="98"/>
  <c r="AH112" i="98"/>
  <c r="AT112" i="98"/>
  <c r="V113" i="98"/>
  <c r="AG113" i="98"/>
  <c r="AR113" i="98"/>
  <c r="AS113" i="98" s="1"/>
  <c r="U114" i="98"/>
  <c r="AC114" i="98" s="1"/>
  <c r="AF114" i="98"/>
  <c r="AQ114" i="98"/>
  <c r="BA114" i="98"/>
  <c r="AE115" i="98"/>
  <c r="AO115" i="98"/>
  <c r="AP115" i="98" s="1"/>
  <c r="AH89" i="98"/>
  <c r="AT89" i="98"/>
  <c r="V90" i="98"/>
  <c r="AG90" i="98"/>
  <c r="AR90" i="98"/>
  <c r="AS90" i="98" s="1"/>
  <c r="U91" i="98"/>
  <c r="AC91" i="98" s="1"/>
  <c r="AF91" i="98"/>
  <c r="AQ91" i="98"/>
  <c r="BA91" i="98"/>
  <c r="AE92" i="98"/>
  <c r="AO92" i="98"/>
  <c r="AP92" i="98" s="1"/>
  <c r="AY92" i="98"/>
  <c r="AZ92" i="98" s="1"/>
  <c r="O92" i="98" s="1"/>
  <c r="AD93" i="98"/>
  <c r="X93" i="98" s="1"/>
  <c r="AN93" i="98"/>
  <c r="AX93" i="98"/>
  <c r="AB94" i="98"/>
  <c r="T94" i="98" s="1"/>
  <c r="AL94" i="98"/>
  <c r="AM94" i="98" s="1"/>
  <c r="AW94" i="98"/>
  <c r="AA95" i="98"/>
  <c r="AK95" i="98"/>
  <c r="AV95" i="98"/>
  <c r="Z96" i="98"/>
  <c r="AI96" i="98"/>
  <c r="AJ96" i="98" s="1"/>
  <c r="AU96" i="98"/>
  <c r="W97" i="98"/>
  <c r="AH97" i="98"/>
  <c r="AT97" i="98"/>
  <c r="V98" i="98"/>
  <c r="AG98" i="98"/>
  <c r="AR98" i="98"/>
  <c r="AS98" i="98" s="1"/>
  <c r="U99" i="98"/>
  <c r="AC99" i="98" s="1"/>
  <c r="AF99" i="98"/>
  <c r="AQ99" i="98"/>
  <c r="BA99" i="98"/>
  <c r="AE100" i="98"/>
  <c r="AO100" i="98"/>
  <c r="AP100" i="98" s="1"/>
  <c r="AY100" i="98"/>
  <c r="AZ100" i="98" s="1"/>
  <c r="O100" i="98" s="1"/>
  <c r="AD101" i="98"/>
  <c r="X101" i="98" s="1"/>
  <c r="AN101" i="98"/>
  <c r="AX101" i="98"/>
  <c r="AB102" i="98"/>
  <c r="T102" i="98" s="1"/>
  <c r="AL102" i="98"/>
  <c r="AM102" i="98" s="1"/>
  <c r="AW102" i="98"/>
  <c r="AA103" i="98"/>
  <c r="AK103" i="98"/>
  <c r="AV103" i="98"/>
  <c r="Z104" i="98"/>
  <c r="AI104" i="98"/>
  <c r="AJ104" i="98" s="1"/>
  <c r="AU104" i="98"/>
  <c r="W105" i="98"/>
  <c r="AH105" i="98"/>
  <c r="AT105" i="98"/>
  <c r="V106" i="98"/>
  <c r="AG106" i="98"/>
  <c r="AR106" i="98"/>
  <c r="AS106" i="98" s="1"/>
  <c r="U107" i="98"/>
  <c r="AC107" i="98" s="1"/>
  <c r="AF107" i="98"/>
  <c r="AQ107" i="98"/>
  <c r="BA107" i="98"/>
  <c r="AE108" i="98"/>
  <c r="AO108" i="98"/>
  <c r="AP108" i="98" s="1"/>
  <c r="AY108" i="98"/>
  <c r="AZ108" i="98" s="1"/>
  <c r="O108" i="98" s="1"/>
  <c r="AD109" i="98"/>
  <c r="X109" i="98" s="1"/>
  <c r="AN109" i="98"/>
  <c r="AX109" i="98"/>
  <c r="AB110" i="98"/>
  <c r="T110" i="98" s="1"/>
  <c r="AL110" i="98"/>
  <c r="AM110" i="98" s="1"/>
  <c r="AW110" i="98"/>
  <c r="AA111" i="98"/>
  <c r="AK111" i="98"/>
  <c r="AV111" i="98"/>
  <c r="Z112" i="98"/>
  <c r="AI112" i="98"/>
  <c r="AJ112" i="98" s="1"/>
  <c r="AU112" i="98"/>
  <c r="W113" i="98"/>
  <c r="AH113" i="98"/>
  <c r="AT113" i="98"/>
  <c r="V114" i="98"/>
  <c r="AG114" i="98"/>
  <c r="AR114" i="98"/>
  <c r="AS114" i="98" s="1"/>
  <c r="U115" i="98"/>
  <c r="AC115" i="98" s="1"/>
  <c r="AF115" i="98"/>
  <c r="AQ115" i="98"/>
  <c r="BA115" i="98"/>
  <c r="AE116" i="98"/>
  <c r="AI89" i="98"/>
  <c r="AJ89" i="98" s="1"/>
  <c r="AU89" i="98"/>
  <c r="W90" i="98"/>
  <c r="AH90" i="98"/>
  <c r="AT90" i="98"/>
  <c r="V91" i="98"/>
  <c r="AG91" i="98"/>
  <c r="AR91" i="98"/>
  <c r="AS91" i="98" s="1"/>
  <c r="U92" i="98"/>
  <c r="AC92" i="98" s="1"/>
  <c r="AF92" i="98"/>
  <c r="AQ92" i="98"/>
  <c r="BA92" i="98"/>
  <c r="AE93" i="98"/>
  <c r="AO93" i="98"/>
  <c r="AP93" i="98" s="1"/>
  <c r="AY93" i="98"/>
  <c r="AZ93" i="98" s="1"/>
  <c r="O93" i="98" s="1"/>
  <c r="AD94" i="98"/>
  <c r="X94" i="98" s="1"/>
  <c r="AN94" i="98"/>
  <c r="AX94" i="98"/>
  <c r="AB95" i="98"/>
  <c r="T95" i="98" s="1"/>
  <c r="AL95" i="98"/>
  <c r="AM95" i="98" s="1"/>
  <c r="AW95" i="98"/>
  <c r="AA96" i="98"/>
  <c r="AK96" i="98"/>
  <c r="AV96" i="98"/>
  <c r="Z97" i="98"/>
  <c r="AI97" i="98"/>
  <c r="AJ97" i="98" s="1"/>
  <c r="AU97" i="98"/>
  <c r="W98" i="98"/>
  <c r="AH98" i="98"/>
  <c r="AT98" i="98"/>
  <c r="V99" i="98"/>
  <c r="AG99" i="98"/>
  <c r="AR99" i="98"/>
  <c r="AS99" i="98" s="1"/>
  <c r="U100" i="98"/>
  <c r="AC100" i="98" s="1"/>
  <c r="AF100" i="98"/>
  <c r="AQ100" i="98"/>
  <c r="BA100" i="98"/>
  <c r="AE101" i="98"/>
  <c r="AO101" i="98"/>
  <c r="AP101" i="98" s="1"/>
  <c r="AY101" i="98"/>
  <c r="AZ101" i="98" s="1"/>
  <c r="O101" i="98" s="1"/>
  <c r="AD102" i="98"/>
  <c r="X102" i="98" s="1"/>
  <c r="AN102" i="98"/>
  <c r="AX102" i="98"/>
  <c r="AB103" i="98"/>
  <c r="T103" i="98" s="1"/>
  <c r="AL103" i="98"/>
  <c r="AM103" i="98" s="1"/>
  <c r="AW103" i="98"/>
  <c r="AA104" i="98"/>
  <c r="AK104" i="98"/>
  <c r="AV104" i="98"/>
  <c r="Z105" i="98"/>
  <c r="AI105" i="98"/>
  <c r="AJ105" i="98" s="1"/>
  <c r="AU105" i="98"/>
  <c r="W106" i="98"/>
  <c r="AH106" i="98"/>
  <c r="AT106" i="98"/>
  <c r="V107" i="98"/>
  <c r="AG107" i="98"/>
  <c r="AR107" i="98"/>
  <c r="AS107" i="98" s="1"/>
  <c r="U108" i="98"/>
  <c r="AC108" i="98" s="1"/>
  <c r="AF108" i="98"/>
  <c r="AQ108" i="98"/>
  <c r="BA108" i="98"/>
  <c r="AE109" i="98"/>
  <c r="AO109" i="98"/>
  <c r="AP109" i="98" s="1"/>
  <c r="AY109" i="98"/>
  <c r="AZ109" i="98" s="1"/>
  <c r="O109" i="98" s="1"/>
  <c r="AD110" i="98"/>
  <c r="X110" i="98" s="1"/>
  <c r="AN110" i="98"/>
  <c r="AX110" i="98"/>
  <c r="AB111" i="98"/>
  <c r="T111" i="98" s="1"/>
  <c r="AL111" i="98"/>
  <c r="AM111" i="98" s="1"/>
  <c r="AW111" i="98"/>
  <c r="AA112" i="98"/>
  <c r="AK112" i="98"/>
  <c r="AV112" i="98"/>
  <c r="Z113" i="98"/>
  <c r="AI113" i="98"/>
  <c r="AJ113" i="98" s="1"/>
  <c r="AU113" i="98"/>
  <c r="W114" i="98"/>
  <c r="AH114" i="98"/>
  <c r="AT114" i="98"/>
  <c r="V115" i="98"/>
  <c r="AG115" i="98"/>
  <c r="AR115" i="98"/>
  <c r="AS115" i="98" s="1"/>
  <c r="AV115" i="98"/>
  <c r="AF116" i="98"/>
  <c r="AQ116" i="98"/>
  <c r="BA116" i="98"/>
  <c r="AE117" i="98"/>
  <c r="AO117" i="98"/>
  <c r="AP117" i="98" s="1"/>
  <c r="AY117" i="98"/>
  <c r="AZ117" i="98" s="1"/>
  <c r="O117" i="98" s="1"/>
  <c r="AD118" i="98"/>
  <c r="X118" i="98" s="1"/>
  <c r="AN118" i="98"/>
  <c r="AX118" i="98"/>
  <c r="AB119" i="98"/>
  <c r="T119" i="98" s="1"/>
  <c r="AL119" i="98"/>
  <c r="AM119" i="98" s="1"/>
  <c r="AW119" i="98"/>
  <c r="AA120" i="98"/>
  <c r="AK120" i="98"/>
  <c r="AV120" i="98"/>
  <c r="Z121" i="98"/>
  <c r="AI121" i="98"/>
  <c r="AJ121" i="98" s="1"/>
  <c r="AU121" i="98"/>
  <c r="W122" i="98"/>
  <c r="AH122" i="98"/>
  <c r="AT122" i="98"/>
  <c r="V123" i="98"/>
  <c r="AG123" i="98"/>
  <c r="AR123" i="98"/>
  <c r="AS123" i="98" s="1"/>
  <c r="U124" i="98"/>
  <c r="AC124" i="98" s="1"/>
  <c r="AF124" i="98"/>
  <c r="AQ124" i="98"/>
  <c r="BA124" i="98"/>
  <c r="AE125" i="98"/>
  <c r="AO125" i="98"/>
  <c r="AP125" i="98" s="1"/>
  <c r="AY125" i="98"/>
  <c r="AZ125" i="98" s="1"/>
  <c r="O125" i="98" s="1"/>
  <c r="AD126" i="98"/>
  <c r="X126" i="98" s="1"/>
  <c r="AN126" i="98"/>
  <c r="AX126" i="98"/>
  <c r="AB127" i="98"/>
  <c r="T127" i="98" s="1"/>
  <c r="AL127" i="98"/>
  <c r="AM127" i="98" s="1"/>
  <c r="AW127" i="98"/>
  <c r="AA128" i="98"/>
  <c r="AK128" i="98"/>
  <c r="AV128" i="98"/>
  <c r="Z129" i="98"/>
  <c r="AI129" i="98"/>
  <c r="AJ129" i="98" s="1"/>
  <c r="AU129" i="98"/>
  <c r="W130" i="98"/>
  <c r="AH130" i="98"/>
  <c r="AT130" i="98"/>
  <c r="V131" i="98"/>
  <c r="AG131" i="98"/>
  <c r="AR131" i="98"/>
  <c r="AS131" i="98" s="1"/>
  <c r="U132" i="98"/>
  <c r="AC132" i="98" s="1"/>
  <c r="AF132" i="98"/>
  <c r="AQ132" i="98"/>
  <c r="BA132" i="98"/>
  <c r="AE133" i="98"/>
  <c r="AO133" i="98"/>
  <c r="AP133" i="98" s="1"/>
  <c r="AY133" i="98"/>
  <c r="AZ133" i="98" s="1"/>
  <c r="O133" i="98" s="1"/>
  <c r="AD134" i="98"/>
  <c r="X134" i="98" s="1"/>
  <c r="AN134" i="98"/>
  <c r="AX134" i="98"/>
  <c r="AB135" i="98"/>
  <c r="T135" i="98" s="1"/>
  <c r="AL135" i="98"/>
  <c r="AM135" i="98" s="1"/>
  <c r="AW135" i="98"/>
  <c r="AA136" i="98"/>
  <c r="AK136" i="98"/>
  <c r="AV136" i="98"/>
  <c r="Z137" i="98"/>
  <c r="AI137" i="98"/>
  <c r="AJ137" i="98" s="1"/>
  <c r="AU137" i="98"/>
  <c r="BA15" i="98"/>
  <c r="BA23" i="98"/>
  <c r="BA31" i="98"/>
  <c r="AT17" i="98"/>
  <c r="AT25" i="98"/>
  <c r="AT33" i="98"/>
  <c r="AQ19" i="98"/>
  <c r="AQ27" i="98"/>
  <c r="AN21" i="98"/>
  <c r="AW115" i="98"/>
  <c r="AG116" i="98"/>
  <c r="AR116" i="98"/>
  <c r="AS116" i="98" s="1"/>
  <c r="U117" i="98"/>
  <c r="AC117" i="98" s="1"/>
  <c r="AF117" i="98"/>
  <c r="AQ117" i="98"/>
  <c r="BA117" i="98"/>
  <c r="AE118" i="98"/>
  <c r="AO118" i="98"/>
  <c r="AP118" i="98" s="1"/>
  <c r="AY118" i="98"/>
  <c r="AZ118" i="98" s="1"/>
  <c r="O118" i="98" s="1"/>
  <c r="AD119" i="98"/>
  <c r="X119" i="98" s="1"/>
  <c r="AN119" i="98"/>
  <c r="AX119" i="98"/>
  <c r="AB120" i="98"/>
  <c r="T120" i="98" s="1"/>
  <c r="AL120" i="98"/>
  <c r="AM120" i="98" s="1"/>
  <c r="AW120" i="98"/>
  <c r="AA121" i="98"/>
  <c r="AK121" i="98"/>
  <c r="AV121" i="98"/>
  <c r="Z122" i="98"/>
  <c r="AI122" i="98"/>
  <c r="AJ122" i="98" s="1"/>
  <c r="AU122" i="98"/>
  <c r="W123" i="98"/>
  <c r="AH123" i="98"/>
  <c r="AT123" i="98"/>
  <c r="V124" i="98"/>
  <c r="AG124" i="98"/>
  <c r="AR124" i="98"/>
  <c r="AS124" i="98" s="1"/>
  <c r="U125" i="98"/>
  <c r="AC125" i="98" s="1"/>
  <c r="AF125" i="98"/>
  <c r="AQ125" i="98"/>
  <c r="BA125" i="98"/>
  <c r="AE126" i="98"/>
  <c r="AO126" i="98"/>
  <c r="AP126" i="98" s="1"/>
  <c r="AY126" i="98"/>
  <c r="AZ126" i="98" s="1"/>
  <c r="O126" i="98" s="1"/>
  <c r="AD127" i="98"/>
  <c r="X127" i="98" s="1"/>
  <c r="AN127" i="98"/>
  <c r="AX127" i="98"/>
  <c r="AB128" i="98"/>
  <c r="T128" i="98" s="1"/>
  <c r="AL128" i="98"/>
  <c r="AM128" i="98" s="1"/>
  <c r="AW128" i="98"/>
  <c r="AA129" i="98"/>
  <c r="AK129" i="98"/>
  <c r="AV129" i="98"/>
  <c r="Z130" i="98"/>
  <c r="AI130" i="98"/>
  <c r="AJ130" i="98" s="1"/>
  <c r="AU130" i="98"/>
  <c r="W131" i="98"/>
  <c r="AH131" i="98"/>
  <c r="AT131" i="98"/>
  <c r="V132" i="98"/>
  <c r="AG132" i="98"/>
  <c r="AR132" i="98"/>
  <c r="AS132" i="98" s="1"/>
  <c r="U133" i="98"/>
  <c r="AC133" i="98" s="1"/>
  <c r="AF133" i="98"/>
  <c r="AQ133" i="98"/>
  <c r="BA133" i="98"/>
  <c r="AE134" i="98"/>
  <c r="AO134" i="98"/>
  <c r="AP134" i="98" s="1"/>
  <c r="AY134" i="98"/>
  <c r="AZ134" i="98" s="1"/>
  <c r="O134" i="98" s="1"/>
  <c r="AD135" i="98"/>
  <c r="X135" i="98" s="1"/>
  <c r="AN135" i="98"/>
  <c r="AX135" i="98"/>
  <c r="AB136" i="98"/>
  <c r="T136" i="98" s="1"/>
  <c r="AL136" i="98"/>
  <c r="AM136" i="98" s="1"/>
  <c r="AW136" i="98"/>
  <c r="AA137" i="98"/>
  <c r="AK137" i="98"/>
  <c r="AV137" i="98"/>
  <c r="BA16" i="98"/>
  <c r="BA24" i="98"/>
  <c r="BA32" i="98"/>
  <c r="AT18" i="98"/>
  <c r="AT26" i="98"/>
  <c r="AT34" i="98"/>
  <c r="AQ20" i="98"/>
  <c r="AQ28" i="98"/>
  <c r="AN22" i="98"/>
  <c r="AN30" i="98"/>
  <c r="AY115" i="98"/>
  <c r="AZ115" i="98" s="1"/>
  <c r="O115" i="98" s="1"/>
  <c r="AH116" i="98"/>
  <c r="AT116" i="98"/>
  <c r="V117" i="98"/>
  <c r="AG117" i="98"/>
  <c r="AR117" i="98"/>
  <c r="AS117" i="98" s="1"/>
  <c r="U118" i="98"/>
  <c r="AC118" i="98" s="1"/>
  <c r="AF118" i="98"/>
  <c r="AQ118" i="98"/>
  <c r="BA118" i="98"/>
  <c r="AE119" i="98"/>
  <c r="AO119" i="98"/>
  <c r="AP119" i="98" s="1"/>
  <c r="AY119" i="98"/>
  <c r="AZ119" i="98" s="1"/>
  <c r="O119" i="98" s="1"/>
  <c r="AD120" i="98"/>
  <c r="X120" i="98" s="1"/>
  <c r="AN120" i="98"/>
  <c r="AX120" i="98"/>
  <c r="AB121" i="98"/>
  <c r="T121" i="98" s="1"/>
  <c r="AL121" i="98"/>
  <c r="AM121" i="98" s="1"/>
  <c r="AW121" i="98"/>
  <c r="AA122" i="98"/>
  <c r="AK122" i="98"/>
  <c r="AV122" i="98"/>
  <c r="Z123" i="98"/>
  <c r="AI123" i="98"/>
  <c r="AJ123" i="98" s="1"/>
  <c r="AU123" i="98"/>
  <c r="W124" i="98"/>
  <c r="AH124" i="98"/>
  <c r="AT124" i="98"/>
  <c r="V125" i="98"/>
  <c r="AG125" i="98"/>
  <c r="AR125" i="98"/>
  <c r="AS125" i="98" s="1"/>
  <c r="U126" i="98"/>
  <c r="AC126" i="98" s="1"/>
  <c r="AF126" i="98"/>
  <c r="AQ126" i="98"/>
  <c r="BA126" i="98"/>
  <c r="AE127" i="98"/>
  <c r="AO127" i="98"/>
  <c r="AP127" i="98" s="1"/>
  <c r="AY127" i="98"/>
  <c r="AZ127" i="98" s="1"/>
  <c r="O127" i="98" s="1"/>
  <c r="AD128" i="98"/>
  <c r="X128" i="98" s="1"/>
  <c r="AN128" i="98"/>
  <c r="AX128" i="98"/>
  <c r="AB129" i="98"/>
  <c r="T129" i="98" s="1"/>
  <c r="AL129" i="98"/>
  <c r="AM129" i="98" s="1"/>
  <c r="AW129" i="98"/>
  <c r="AA130" i="98"/>
  <c r="AK130" i="98"/>
  <c r="AV130" i="98"/>
  <c r="Z131" i="98"/>
  <c r="AI131" i="98"/>
  <c r="AJ131" i="98" s="1"/>
  <c r="AU131" i="98"/>
  <c r="W132" i="98"/>
  <c r="AH132" i="98"/>
  <c r="AT132" i="98"/>
  <c r="V133" i="98"/>
  <c r="AG133" i="98"/>
  <c r="AR133" i="98"/>
  <c r="AS133" i="98" s="1"/>
  <c r="U134" i="98"/>
  <c r="AC134" i="98" s="1"/>
  <c r="AF134" i="98"/>
  <c r="AQ134" i="98"/>
  <c r="BA134" i="98"/>
  <c r="AE135" i="98"/>
  <c r="AO135" i="98"/>
  <c r="AP135" i="98" s="1"/>
  <c r="AY135" i="98"/>
  <c r="AZ135" i="98" s="1"/>
  <c r="O135" i="98" s="1"/>
  <c r="AD136" i="98"/>
  <c r="X136" i="98" s="1"/>
  <c r="AN136" i="98"/>
  <c r="AX136" i="98"/>
  <c r="AB137" i="98"/>
  <c r="T137" i="98" s="1"/>
  <c r="AL137" i="98"/>
  <c r="AM137" i="98" s="1"/>
  <c r="AW137" i="98"/>
  <c r="BA17" i="98"/>
  <c r="BA25" i="98"/>
  <c r="BA33" i="98"/>
  <c r="AT19" i="98"/>
  <c r="AT27" i="98"/>
  <c r="AQ21" i="98"/>
  <c r="AQ29" i="98"/>
  <c r="AN15" i="98"/>
  <c r="AN23" i="98"/>
  <c r="AN31" i="98"/>
  <c r="U116" i="98"/>
  <c r="AC116" i="98" s="1"/>
  <c r="AI116" i="98"/>
  <c r="AJ116" i="98" s="1"/>
  <c r="AU116" i="98"/>
  <c r="W117" i="98"/>
  <c r="AH117" i="98"/>
  <c r="AT117" i="98"/>
  <c r="V118" i="98"/>
  <c r="AG118" i="98"/>
  <c r="AR118" i="98"/>
  <c r="AS118" i="98" s="1"/>
  <c r="U119" i="98"/>
  <c r="AC119" i="98" s="1"/>
  <c r="AF119" i="98"/>
  <c r="AQ119" i="98"/>
  <c r="BA119" i="98"/>
  <c r="AE120" i="98"/>
  <c r="AO120" i="98"/>
  <c r="AP120" i="98" s="1"/>
  <c r="AY120" i="98"/>
  <c r="AZ120" i="98" s="1"/>
  <c r="O120" i="98" s="1"/>
  <c r="AD121" i="98"/>
  <c r="X121" i="98" s="1"/>
  <c r="AN121" i="98"/>
  <c r="AX121" i="98"/>
  <c r="AB122" i="98"/>
  <c r="T122" i="98" s="1"/>
  <c r="AL122" i="98"/>
  <c r="AM122" i="98" s="1"/>
  <c r="AW122" i="98"/>
  <c r="AA123" i="98"/>
  <c r="AK123" i="98"/>
  <c r="AV123" i="98"/>
  <c r="Z124" i="98"/>
  <c r="AI124" i="98"/>
  <c r="AJ124" i="98" s="1"/>
  <c r="AU124" i="98"/>
  <c r="W125" i="98"/>
  <c r="AH125" i="98"/>
  <c r="AT125" i="98"/>
  <c r="V126" i="98"/>
  <c r="AG126" i="98"/>
  <c r="AR126" i="98"/>
  <c r="AS126" i="98" s="1"/>
  <c r="U127" i="98"/>
  <c r="AC127" i="98" s="1"/>
  <c r="AF127" i="98"/>
  <c r="AQ127" i="98"/>
  <c r="BA127" i="98"/>
  <c r="AE128" i="98"/>
  <c r="AO128" i="98"/>
  <c r="AP128" i="98" s="1"/>
  <c r="AY128" i="98"/>
  <c r="AZ128" i="98" s="1"/>
  <c r="O128" i="98" s="1"/>
  <c r="AD129" i="98"/>
  <c r="X129" i="98" s="1"/>
  <c r="AN129" i="98"/>
  <c r="AX129" i="98"/>
  <c r="AB130" i="98"/>
  <c r="T130" i="98" s="1"/>
  <c r="AL130" i="98"/>
  <c r="AM130" i="98" s="1"/>
  <c r="AW130" i="98"/>
  <c r="AA131" i="98"/>
  <c r="AK131" i="98"/>
  <c r="AV131" i="98"/>
  <c r="Z132" i="98"/>
  <c r="AI132" i="98"/>
  <c r="AJ132" i="98" s="1"/>
  <c r="AU132" i="98"/>
  <c r="W133" i="98"/>
  <c r="AH133" i="98"/>
  <c r="AT133" i="98"/>
  <c r="V134" i="98"/>
  <c r="AG134" i="98"/>
  <c r="AR134" i="98"/>
  <c r="AS134" i="98" s="1"/>
  <c r="U135" i="98"/>
  <c r="AC135" i="98" s="1"/>
  <c r="AF135" i="98"/>
  <c r="AQ135" i="98"/>
  <c r="BA135" i="98"/>
  <c r="AE136" i="98"/>
  <c r="AO136" i="98"/>
  <c r="AP136" i="98" s="1"/>
  <c r="AY136" i="98"/>
  <c r="AZ136" i="98" s="1"/>
  <c r="O136" i="98" s="1"/>
  <c r="AD137" i="98"/>
  <c r="X137" i="98" s="1"/>
  <c r="AN137" i="98"/>
  <c r="AX137" i="98"/>
  <c r="BA18" i="98"/>
  <c r="BA26" i="98"/>
  <c r="BA34" i="98"/>
  <c r="AT20" i="98"/>
  <c r="AT28" i="98"/>
  <c r="AQ22" i="98"/>
  <c r="AQ30" i="98"/>
  <c r="AN16" i="98"/>
  <c r="AN24" i="98"/>
  <c r="AN32" i="98"/>
  <c r="Z116" i="98"/>
  <c r="AK116" i="98"/>
  <c r="AV116" i="98"/>
  <c r="Z117" i="98"/>
  <c r="AI117" i="98"/>
  <c r="AJ117" i="98" s="1"/>
  <c r="AU117" i="98"/>
  <c r="W118" i="98"/>
  <c r="AH118" i="98"/>
  <c r="AT118" i="98"/>
  <c r="V119" i="98"/>
  <c r="AG119" i="98"/>
  <c r="AR119" i="98"/>
  <c r="AS119" i="98" s="1"/>
  <c r="U120" i="98"/>
  <c r="AC120" i="98" s="1"/>
  <c r="AF120" i="98"/>
  <c r="AQ120" i="98"/>
  <c r="BA120" i="98"/>
  <c r="AE121" i="98"/>
  <c r="AO121" i="98"/>
  <c r="AP121" i="98" s="1"/>
  <c r="AY121" i="98"/>
  <c r="AZ121" i="98" s="1"/>
  <c r="O121" i="98" s="1"/>
  <c r="AD122" i="98"/>
  <c r="X122" i="98" s="1"/>
  <c r="AN122" i="98"/>
  <c r="AX122" i="98"/>
  <c r="AB123" i="98"/>
  <c r="T123" i="98" s="1"/>
  <c r="AL123" i="98"/>
  <c r="AM123" i="98" s="1"/>
  <c r="AW123" i="98"/>
  <c r="AA124" i="98"/>
  <c r="AK124" i="98"/>
  <c r="AV124" i="98"/>
  <c r="Z125" i="98"/>
  <c r="AI125" i="98"/>
  <c r="AJ125" i="98" s="1"/>
  <c r="AU125" i="98"/>
  <c r="W126" i="98"/>
  <c r="AH126" i="98"/>
  <c r="AT126" i="98"/>
  <c r="V127" i="98"/>
  <c r="AG127" i="98"/>
  <c r="AR127" i="98"/>
  <c r="AS127" i="98" s="1"/>
  <c r="U128" i="98"/>
  <c r="AC128" i="98" s="1"/>
  <c r="AF128" i="98"/>
  <c r="AQ128" i="98"/>
  <c r="BA128" i="98"/>
  <c r="AE129" i="98"/>
  <c r="AO129" i="98"/>
  <c r="AP129" i="98" s="1"/>
  <c r="AY129" i="98"/>
  <c r="AZ129" i="98" s="1"/>
  <c r="O129" i="98" s="1"/>
  <c r="AD130" i="98"/>
  <c r="X130" i="98" s="1"/>
  <c r="AN130" i="98"/>
  <c r="AX130" i="98"/>
  <c r="AB131" i="98"/>
  <c r="T131" i="98" s="1"/>
  <c r="AL131" i="98"/>
  <c r="AM131" i="98" s="1"/>
  <c r="AW131" i="98"/>
  <c r="AA132" i="98"/>
  <c r="AK132" i="98"/>
  <c r="AV132" i="98"/>
  <c r="Z133" i="98"/>
  <c r="AI133" i="98"/>
  <c r="AJ133" i="98" s="1"/>
  <c r="AU133" i="98"/>
  <c r="W134" i="98"/>
  <c r="AH134" i="98"/>
  <c r="AT134" i="98"/>
  <c r="V135" i="98"/>
  <c r="AG135" i="98"/>
  <c r="AR135" i="98"/>
  <c r="AS135" i="98" s="1"/>
  <c r="U136" i="98"/>
  <c r="AC136" i="98" s="1"/>
  <c r="AF136" i="98"/>
  <c r="AQ136" i="98"/>
  <c r="BA136" i="98"/>
  <c r="AE137" i="98"/>
  <c r="AO137" i="98"/>
  <c r="AP137" i="98" s="1"/>
  <c r="AY137" i="98"/>
  <c r="AZ137" i="98" s="1"/>
  <c r="O137" i="98" s="1"/>
  <c r="BA19" i="98"/>
  <c r="BA27" i="98"/>
  <c r="AT21" i="98"/>
  <c r="AT29" i="98"/>
  <c r="AQ15" i="98"/>
  <c r="AQ23" i="98"/>
  <c r="AQ31" i="98"/>
  <c r="AN17" i="98"/>
  <c r="AN25" i="98"/>
  <c r="AN33" i="98"/>
  <c r="AA116" i="98"/>
  <c r="AL116" i="98"/>
  <c r="AM116" i="98" s="1"/>
  <c r="AW116" i="98"/>
  <c r="AA117" i="98"/>
  <c r="AK117" i="98"/>
  <c r="AV117" i="98"/>
  <c r="Z118" i="98"/>
  <c r="AI118" i="98"/>
  <c r="AJ118" i="98" s="1"/>
  <c r="AU118" i="98"/>
  <c r="W119" i="98"/>
  <c r="AH119" i="98"/>
  <c r="AT119" i="98"/>
  <c r="V120" i="98"/>
  <c r="AG120" i="98"/>
  <c r="AR120" i="98"/>
  <c r="AS120" i="98" s="1"/>
  <c r="U121" i="98"/>
  <c r="AC121" i="98" s="1"/>
  <c r="AF121" i="98"/>
  <c r="AQ121" i="98"/>
  <c r="BA121" i="98"/>
  <c r="AE122" i="98"/>
  <c r="AO122" i="98"/>
  <c r="AP122" i="98" s="1"/>
  <c r="AY122" i="98"/>
  <c r="AZ122" i="98" s="1"/>
  <c r="O122" i="98" s="1"/>
  <c r="AD123" i="98"/>
  <c r="X123" i="98" s="1"/>
  <c r="AN123" i="98"/>
  <c r="AX123" i="98"/>
  <c r="AB124" i="98"/>
  <c r="T124" i="98" s="1"/>
  <c r="AL124" i="98"/>
  <c r="AM124" i="98" s="1"/>
  <c r="AW124" i="98"/>
  <c r="AA125" i="98"/>
  <c r="AK125" i="98"/>
  <c r="AV125" i="98"/>
  <c r="Z126" i="98"/>
  <c r="AI126" i="98"/>
  <c r="AJ126" i="98" s="1"/>
  <c r="AU126" i="98"/>
  <c r="W127" i="98"/>
  <c r="AH127" i="98"/>
  <c r="AT127" i="98"/>
  <c r="V128" i="98"/>
  <c r="AG128" i="98"/>
  <c r="AR128" i="98"/>
  <c r="AS128" i="98" s="1"/>
  <c r="U129" i="98"/>
  <c r="AC129" i="98" s="1"/>
  <c r="AF129" i="98"/>
  <c r="AQ129" i="98"/>
  <c r="BA129" i="98"/>
  <c r="AE130" i="98"/>
  <c r="AO130" i="98"/>
  <c r="AP130" i="98" s="1"/>
  <c r="AY130" i="98"/>
  <c r="AZ130" i="98" s="1"/>
  <c r="O130" i="98" s="1"/>
  <c r="AD131" i="98"/>
  <c r="X131" i="98" s="1"/>
  <c r="AN131" i="98"/>
  <c r="AX131" i="98"/>
  <c r="AB132" i="98"/>
  <c r="T132" i="98" s="1"/>
  <c r="AL132" i="98"/>
  <c r="AM132" i="98" s="1"/>
  <c r="AW132" i="98"/>
  <c r="AA133" i="98"/>
  <c r="AK133" i="98"/>
  <c r="AV133" i="98"/>
  <c r="Z134" i="98"/>
  <c r="AI134" i="98"/>
  <c r="AJ134" i="98" s="1"/>
  <c r="AU134" i="98"/>
  <c r="W135" i="98"/>
  <c r="AH135" i="98"/>
  <c r="AT135" i="98"/>
  <c r="V136" i="98"/>
  <c r="AG136" i="98"/>
  <c r="AR136" i="98"/>
  <c r="AS136" i="98" s="1"/>
  <c r="U137" i="98"/>
  <c r="AC137" i="98" s="1"/>
  <c r="AF137" i="98"/>
  <c r="AQ137" i="98"/>
  <c r="BA137" i="98"/>
  <c r="BA20" i="98"/>
  <c r="BA28" i="98"/>
  <c r="AT22" i="98"/>
  <c r="AT30" i="98"/>
  <c r="AQ16" i="98"/>
  <c r="AQ24" i="98"/>
  <c r="AQ32" i="98"/>
  <c r="AN18" i="98"/>
  <c r="AN26" i="98"/>
  <c r="AN34" i="98"/>
  <c r="AB116" i="98"/>
  <c r="T116" i="98" s="1"/>
  <c r="AN116" i="98"/>
  <c r="AX116" i="98"/>
  <c r="AB117" i="98"/>
  <c r="T117" i="98" s="1"/>
  <c r="AL117" i="98"/>
  <c r="AM117" i="98" s="1"/>
  <c r="AW117" i="98"/>
  <c r="AA118" i="98"/>
  <c r="AK118" i="98"/>
  <c r="AV118" i="98"/>
  <c r="Z119" i="98"/>
  <c r="AI119" i="98"/>
  <c r="AJ119" i="98" s="1"/>
  <c r="AU119" i="98"/>
  <c r="W120" i="98"/>
  <c r="AH120" i="98"/>
  <c r="AT120" i="98"/>
  <c r="V121" i="98"/>
  <c r="AG121" i="98"/>
  <c r="AR121" i="98"/>
  <c r="AS121" i="98" s="1"/>
  <c r="U122" i="98"/>
  <c r="AC122" i="98" s="1"/>
  <c r="AF122" i="98"/>
  <c r="AQ122" i="98"/>
  <c r="BA122" i="98"/>
  <c r="AE123" i="98"/>
  <c r="AO123" i="98"/>
  <c r="AP123" i="98" s="1"/>
  <c r="AY123" i="98"/>
  <c r="AZ123" i="98" s="1"/>
  <c r="O123" i="98" s="1"/>
  <c r="AD124" i="98"/>
  <c r="X124" i="98" s="1"/>
  <c r="AN124" i="98"/>
  <c r="AX124" i="98"/>
  <c r="AB125" i="98"/>
  <c r="T125" i="98" s="1"/>
  <c r="AL125" i="98"/>
  <c r="AM125" i="98" s="1"/>
  <c r="AW125" i="98"/>
  <c r="AA126" i="98"/>
  <c r="AK126" i="98"/>
  <c r="AV126" i="98"/>
  <c r="Z127" i="98"/>
  <c r="AI127" i="98"/>
  <c r="AJ127" i="98" s="1"/>
  <c r="AU127" i="98"/>
  <c r="W128" i="98"/>
  <c r="AH128" i="98"/>
  <c r="AT128" i="98"/>
  <c r="V129" i="98"/>
  <c r="AG129" i="98"/>
  <c r="AR129" i="98"/>
  <c r="AS129" i="98" s="1"/>
  <c r="U130" i="98"/>
  <c r="AC130" i="98" s="1"/>
  <c r="AF130" i="98"/>
  <c r="AQ130" i="98"/>
  <c r="BA130" i="98"/>
  <c r="AE131" i="98"/>
  <c r="AO131" i="98"/>
  <c r="AP131" i="98" s="1"/>
  <c r="AY131" i="98"/>
  <c r="AZ131" i="98" s="1"/>
  <c r="O131" i="98" s="1"/>
  <c r="AD132" i="98"/>
  <c r="X132" i="98" s="1"/>
  <c r="AN132" i="98"/>
  <c r="AX132" i="98"/>
  <c r="AB133" i="98"/>
  <c r="T133" i="98" s="1"/>
  <c r="AL133" i="98"/>
  <c r="AM133" i="98" s="1"/>
  <c r="AW133" i="98"/>
  <c r="AA134" i="98"/>
  <c r="AK134" i="98"/>
  <c r="AV134" i="98"/>
  <c r="Z135" i="98"/>
  <c r="AI135" i="98"/>
  <c r="AJ135" i="98" s="1"/>
  <c r="AU135" i="98"/>
  <c r="W136" i="98"/>
  <c r="AH136" i="98"/>
  <c r="AT136" i="98"/>
  <c r="V137" i="98"/>
  <c r="AG137" i="98"/>
  <c r="AR137" i="98"/>
  <c r="AS137" i="98" s="1"/>
  <c r="BA21" i="98"/>
  <c r="BA29" i="98"/>
  <c r="AT15" i="98"/>
  <c r="AT23" i="98"/>
  <c r="AT31" i="98"/>
  <c r="AQ17" i="98"/>
  <c r="AQ25" i="98"/>
  <c r="AQ33" i="98"/>
  <c r="AN19" i="98"/>
  <c r="AN27" i="98"/>
  <c r="AK15" i="98"/>
  <c r="AD116" i="98"/>
  <c r="X116" i="98" s="1"/>
  <c r="AO116" i="98"/>
  <c r="AP116" i="98" s="1"/>
  <c r="AY116" i="98"/>
  <c r="AZ116" i="98" s="1"/>
  <c r="O116" i="98" s="1"/>
  <c r="AD117" i="98"/>
  <c r="X117" i="98" s="1"/>
  <c r="AN117" i="98"/>
  <c r="AX117" i="98"/>
  <c r="AB118" i="98"/>
  <c r="T118" i="98" s="1"/>
  <c r="AL118" i="98"/>
  <c r="AM118" i="98" s="1"/>
  <c r="AW118" i="98"/>
  <c r="AA119" i="98"/>
  <c r="AK119" i="98"/>
  <c r="AV119" i="98"/>
  <c r="Z120" i="98"/>
  <c r="AI120" i="98"/>
  <c r="AJ120" i="98" s="1"/>
  <c r="AU120" i="98"/>
  <c r="W121" i="98"/>
  <c r="AH121" i="98"/>
  <c r="AT121" i="98"/>
  <c r="V122" i="98"/>
  <c r="AG122" i="98"/>
  <c r="AR122" i="98"/>
  <c r="AS122" i="98" s="1"/>
  <c r="U123" i="98"/>
  <c r="AC123" i="98" s="1"/>
  <c r="AF123" i="98"/>
  <c r="AQ123" i="98"/>
  <c r="BA123" i="98"/>
  <c r="AE124" i="98"/>
  <c r="AO124" i="98"/>
  <c r="AP124" i="98" s="1"/>
  <c r="AY124" i="98"/>
  <c r="AZ124" i="98" s="1"/>
  <c r="O124" i="98" s="1"/>
  <c r="AD125" i="98"/>
  <c r="X125" i="98" s="1"/>
  <c r="AN125" i="98"/>
  <c r="AX125" i="98"/>
  <c r="AB126" i="98"/>
  <c r="T126" i="98" s="1"/>
  <c r="AL126" i="98"/>
  <c r="AM126" i="98" s="1"/>
  <c r="AW126" i="98"/>
  <c r="AA127" i="98"/>
  <c r="AK127" i="98"/>
  <c r="AV127" i="98"/>
  <c r="Z128" i="98"/>
  <c r="AI128" i="98"/>
  <c r="AJ128" i="98" s="1"/>
  <c r="AU128" i="98"/>
  <c r="W129" i="98"/>
  <c r="AH129" i="98"/>
  <c r="AT129" i="98"/>
  <c r="V130" i="98"/>
  <c r="AG130" i="98"/>
  <c r="AR130" i="98"/>
  <c r="AS130" i="98" s="1"/>
  <c r="U131" i="98"/>
  <c r="AC131" i="98" s="1"/>
  <c r="AF131" i="98"/>
  <c r="AQ131" i="98"/>
  <c r="BA131" i="98"/>
  <c r="AE132" i="98"/>
  <c r="AO132" i="98"/>
  <c r="AP132" i="98" s="1"/>
  <c r="AY132" i="98"/>
  <c r="AZ132" i="98" s="1"/>
  <c r="O132" i="98" s="1"/>
  <c r="AD133" i="98"/>
  <c r="X133" i="98" s="1"/>
  <c r="AN133" i="98"/>
  <c r="AX133" i="98"/>
  <c r="AB134" i="98"/>
  <c r="T134" i="98" s="1"/>
  <c r="AL134" i="98"/>
  <c r="AM134" i="98" s="1"/>
  <c r="AW134" i="98"/>
  <c r="AA135" i="98"/>
  <c r="AK135" i="98"/>
  <c r="AV135" i="98"/>
  <c r="Z136" i="98"/>
  <c r="AI136" i="98"/>
  <c r="AJ136" i="98" s="1"/>
  <c r="AU136" i="98"/>
  <c r="W137" i="98"/>
  <c r="AH137" i="98"/>
  <c r="AT137" i="98"/>
  <c r="BA22" i="98"/>
  <c r="BA30" i="98"/>
  <c r="AT16" i="98"/>
  <c r="AT24" i="98"/>
  <c r="AT32" i="98"/>
  <c r="AQ18" i="98"/>
  <c r="AQ26" i="98"/>
  <c r="AQ34" i="98"/>
  <c r="AN20" i="98"/>
  <c r="AN28" i="98"/>
  <c r="AN29" i="98"/>
  <c r="U8" i="98"/>
  <c r="AC8" i="98" s="1"/>
  <c r="AF8" i="98"/>
  <c r="AY8" i="98"/>
  <c r="AZ8" i="98" s="1"/>
  <c r="O8" i="98" s="1"/>
  <c r="V8" i="98"/>
  <c r="AG8" i="98"/>
  <c r="AR8" i="98"/>
  <c r="AS8" i="98" s="1"/>
  <c r="AO8" i="98"/>
  <c r="AP8" i="98" s="1"/>
  <c r="W8" i="98"/>
  <c r="AH8" i="98"/>
  <c r="AW8" i="98"/>
  <c r="Z8" i="98"/>
  <c r="AI8" i="98"/>
  <c r="AJ8" i="98" s="1"/>
  <c r="AU8" i="98"/>
  <c r="AL8" i="98"/>
  <c r="AM8" i="98" s="1"/>
  <c r="AA8" i="98"/>
  <c r="AV8" i="98"/>
  <c r="AB8" i="98"/>
  <c r="T8" i="98" s="1"/>
  <c r="AD8" i="98"/>
  <c r="X8" i="98" s="1"/>
  <c r="AX8" i="98"/>
  <c r="AE8" i="98"/>
  <c r="U7" i="98"/>
  <c r="AC7" i="98" s="1"/>
  <c r="AF7" i="98"/>
  <c r="V7" i="98"/>
  <c r="AG7" i="98"/>
  <c r="AR7" i="98"/>
  <c r="AS7" i="98" s="1"/>
  <c r="W7" i="98"/>
  <c r="AH7" i="98"/>
  <c r="AY7" i="98"/>
  <c r="AZ7" i="98" s="1"/>
  <c r="O7" i="98" s="1"/>
  <c r="Z7" i="98"/>
  <c r="AI7" i="98"/>
  <c r="AJ7" i="98" s="1"/>
  <c r="AU7" i="98"/>
  <c r="AA7" i="98"/>
  <c r="AV7" i="98"/>
  <c r="AB7" i="98"/>
  <c r="T7" i="98" s="1"/>
  <c r="AL7" i="98"/>
  <c r="AM7" i="98" s="1"/>
  <c r="AW7" i="98"/>
  <c r="AE7" i="98"/>
  <c r="AD7" i="98"/>
  <c r="X7" i="98" s="1"/>
  <c r="AX7" i="98"/>
  <c r="AO7" i="98"/>
  <c r="AP7" i="98" s="1"/>
  <c r="U6" i="98"/>
  <c r="AC6" i="98" s="1"/>
  <c r="V6" i="98"/>
  <c r="AG6" i="98"/>
  <c r="AR6" i="98"/>
  <c r="AS6" i="98" s="1"/>
  <c r="W6" i="98"/>
  <c r="AH6" i="98"/>
  <c r="Z6" i="98"/>
  <c r="AI6" i="98"/>
  <c r="AJ6" i="98" s="1"/>
  <c r="AU6" i="98"/>
  <c r="AA6" i="98"/>
  <c r="AV6" i="98"/>
  <c r="AF6" i="98"/>
  <c r="AB6" i="98"/>
  <c r="T6" i="98" s="1"/>
  <c r="AL6" i="98"/>
  <c r="AM6" i="98" s="1"/>
  <c r="AW6" i="98"/>
  <c r="AD6" i="98"/>
  <c r="X6" i="98" s="1"/>
  <c r="AX6" i="98"/>
  <c r="AE6" i="98"/>
  <c r="AO6" i="98"/>
  <c r="AP6" i="98" s="1"/>
  <c r="AY6" i="98"/>
  <c r="AZ6" i="98" s="1"/>
  <c r="O6" i="98" s="1"/>
  <c r="Z9" i="98"/>
  <c r="AI9" i="98"/>
  <c r="AJ9" i="98" s="1"/>
  <c r="AU9" i="98"/>
  <c r="W10" i="98"/>
  <c r="AH10" i="98"/>
  <c r="V11" i="98"/>
  <c r="AG11" i="98"/>
  <c r="AR11" i="98"/>
  <c r="AS11" i="98" s="1"/>
  <c r="U12" i="98"/>
  <c r="AC12" i="98" s="1"/>
  <c r="AF12" i="98"/>
  <c r="AE13" i="98"/>
  <c r="AO13" i="98"/>
  <c r="AP13" i="98" s="1"/>
  <c r="AY13" i="98"/>
  <c r="AZ13" i="98" s="1"/>
  <c r="O13" i="98" s="1"/>
  <c r="AD14" i="98"/>
  <c r="X14" i="98" s="1"/>
  <c r="AX14" i="98"/>
  <c r="AB15" i="98"/>
  <c r="T15" i="98" s="1"/>
  <c r="AL15" i="98"/>
  <c r="AM15" i="98" s="1"/>
  <c r="AW15" i="98"/>
  <c r="AA16" i="98"/>
  <c r="AK16" i="98"/>
  <c r="AV16" i="98"/>
  <c r="Z17" i="98"/>
  <c r="AI17" i="98"/>
  <c r="AJ17" i="98" s="1"/>
  <c r="AU17" i="98"/>
  <c r="W18" i="98"/>
  <c r="AH18" i="98"/>
  <c r="V19" i="98"/>
  <c r="AG19" i="98"/>
  <c r="AR19" i="98"/>
  <c r="AS19" i="98" s="1"/>
  <c r="U20" i="98"/>
  <c r="AC20" i="98" s="1"/>
  <c r="AF20" i="98"/>
  <c r="AE21" i="98"/>
  <c r="AO21" i="98"/>
  <c r="AP21" i="98" s="1"/>
  <c r="AY21" i="98"/>
  <c r="AZ21" i="98" s="1"/>
  <c r="O21" i="98" s="1"/>
  <c r="AD22" i="98"/>
  <c r="X22" i="98" s="1"/>
  <c r="AX22" i="98"/>
  <c r="AB23" i="98"/>
  <c r="T23" i="98" s="1"/>
  <c r="AL23" i="98"/>
  <c r="AM23" i="98" s="1"/>
  <c r="AW23" i="98"/>
  <c r="AA24" i="98"/>
  <c r="AK24" i="98"/>
  <c r="AV24" i="98"/>
  <c r="Z25" i="98"/>
  <c r="AI25" i="98"/>
  <c r="AJ25" i="98" s="1"/>
  <c r="AU25" i="98"/>
  <c r="W26" i="98"/>
  <c r="AH26" i="98"/>
  <c r="V27" i="98"/>
  <c r="AG27" i="98"/>
  <c r="AR27" i="98"/>
  <c r="AS27" i="98" s="1"/>
  <c r="U28" i="98"/>
  <c r="AC28" i="98" s="1"/>
  <c r="AF28" i="98"/>
  <c r="AE29" i="98"/>
  <c r="AO29" i="98"/>
  <c r="AP29" i="98" s="1"/>
  <c r="AY29" i="98"/>
  <c r="AZ29" i="98" s="1"/>
  <c r="O29" i="98" s="1"/>
  <c r="AD30" i="98"/>
  <c r="X30" i="98" s="1"/>
  <c r="AX30" i="98"/>
  <c r="AB31" i="98"/>
  <c r="T31" i="98" s="1"/>
  <c r="AL31" i="98"/>
  <c r="AM31" i="98" s="1"/>
  <c r="AW31" i="98"/>
  <c r="AA32" i="98"/>
  <c r="AK32" i="98"/>
  <c r="AV32" i="98"/>
  <c r="Z33" i="98"/>
  <c r="AI33" i="98"/>
  <c r="AJ33" i="98" s="1"/>
  <c r="AU33" i="98"/>
  <c r="W34" i="98"/>
  <c r="AH34" i="98"/>
  <c r="AY5" i="98"/>
  <c r="AZ5" i="98" s="1"/>
  <c r="O5" i="98" s="1"/>
  <c r="AO5" i="98"/>
  <c r="AP5" i="98" s="1"/>
  <c r="AE5" i="98"/>
  <c r="AA9" i="98"/>
  <c r="AV9" i="98"/>
  <c r="Z10" i="98"/>
  <c r="AI10" i="98"/>
  <c r="AJ10" i="98" s="1"/>
  <c r="AU10" i="98"/>
  <c r="W11" i="98"/>
  <c r="AH11" i="98"/>
  <c r="V12" i="98"/>
  <c r="AG12" i="98"/>
  <c r="AR12" i="98"/>
  <c r="AS12" i="98" s="1"/>
  <c r="U13" i="98"/>
  <c r="AC13" i="98" s="1"/>
  <c r="AF13" i="98"/>
  <c r="AE14" i="98"/>
  <c r="AO14" i="98"/>
  <c r="AP14" i="98" s="1"/>
  <c r="AY14" i="98"/>
  <c r="AZ14" i="98" s="1"/>
  <c r="O14" i="98" s="1"/>
  <c r="AD15" i="98"/>
  <c r="X15" i="98" s="1"/>
  <c r="AX15" i="98"/>
  <c r="AB16" i="98"/>
  <c r="T16" i="98" s="1"/>
  <c r="AL16" i="98"/>
  <c r="AM16" i="98" s="1"/>
  <c r="AW16" i="98"/>
  <c r="AA17" i="98"/>
  <c r="AK17" i="98"/>
  <c r="AV17" i="98"/>
  <c r="Z18" i="98"/>
  <c r="AI18" i="98"/>
  <c r="AJ18" i="98" s="1"/>
  <c r="AU18" i="98"/>
  <c r="W19" i="98"/>
  <c r="AH19" i="98"/>
  <c r="V20" i="98"/>
  <c r="AG20" i="98"/>
  <c r="AR20" i="98"/>
  <c r="AS20" i="98" s="1"/>
  <c r="U21" i="98"/>
  <c r="AC21" i="98" s="1"/>
  <c r="AF21" i="98"/>
  <c r="AE22" i="98"/>
  <c r="AO22" i="98"/>
  <c r="AP22" i="98" s="1"/>
  <c r="AY22" i="98"/>
  <c r="AZ22" i="98" s="1"/>
  <c r="O22" i="98" s="1"/>
  <c r="AD23" i="98"/>
  <c r="X23" i="98" s="1"/>
  <c r="AX23" i="98"/>
  <c r="AB24" i="98"/>
  <c r="T24" i="98" s="1"/>
  <c r="AL24" i="98"/>
  <c r="AM24" i="98" s="1"/>
  <c r="AW24" i="98"/>
  <c r="AA25" i="98"/>
  <c r="AK25" i="98"/>
  <c r="AV25" i="98"/>
  <c r="Z26" i="98"/>
  <c r="AI26" i="98"/>
  <c r="AJ26" i="98" s="1"/>
  <c r="AU26" i="98"/>
  <c r="W27" i="98"/>
  <c r="AH27" i="98"/>
  <c r="V28" i="98"/>
  <c r="AG28" i="98"/>
  <c r="AR28" i="98"/>
  <c r="AS28" i="98" s="1"/>
  <c r="U29" i="98"/>
  <c r="AC29" i="98" s="1"/>
  <c r="AF29" i="98"/>
  <c r="AE30" i="98"/>
  <c r="AO30" i="98"/>
  <c r="AP30" i="98" s="1"/>
  <c r="AY30" i="98"/>
  <c r="AZ30" i="98" s="1"/>
  <c r="O30" i="98" s="1"/>
  <c r="AD31" i="98"/>
  <c r="X31" i="98" s="1"/>
  <c r="AX31" i="98"/>
  <c r="AB32" i="98"/>
  <c r="T32" i="98" s="1"/>
  <c r="AL32" i="98"/>
  <c r="AM32" i="98" s="1"/>
  <c r="AW32" i="98"/>
  <c r="AA33" i="98"/>
  <c r="AK33" i="98"/>
  <c r="AV33" i="98"/>
  <c r="Z34" i="98"/>
  <c r="AI34" i="98"/>
  <c r="AJ34" i="98" s="1"/>
  <c r="AU34" i="98"/>
  <c r="AX5" i="98"/>
  <c r="AD5" i="98"/>
  <c r="X5" i="98" s="1"/>
  <c r="AD32" i="98"/>
  <c r="X32" i="98" s="1"/>
  <c r="AB9" i="98"/>
  <c r="T9" i="98" s="1"/>
  <c r="AL9" i="98"/>
  <c r="AM9" i="98" s="1"/>
  <c r="AW9" i="98"/>
  <c r="AA10" i="98"/>
  <c r="AV10" i="98"/>
  <c r="Z11" i="98"/>
  <c r="AI11" i="98"/>
  <c r="AJ11" i="98" s="1"/>
  <c r="AU11" i="98"/>
  <c r="W12" i="98"/>
  <c r="AH12" i="98"/>
  <c r="V13" i="98"/>
  <c r="AG13" i="98"/>
  <c r="AR13" i="98"/>
  <c r="AS13" i="98" s="1"/>
  <c r="U14" i="98"/>
  <c r="AC14" i="98" s="1"/>
  <c r="AF14" i="98"/>
  <c r="AE15" i="98"/>
  <c r="AO15" i="98"/>
  <c r="AP15" i="98" s="1"/>
  <c r="AY15" i="98"/>
  <c r="AZ15" i="98" s="1"/>
  <c r="O15" i="98" s="1"/>
  <c r="AD16" i="98"/>
  <c r="X16" i="98" s="1"/>
  <c r="AX16" i="98"/>
  <c r="AB17" i="98"/>
  <c r="T17" i="98" s="1"/>
  <c r="AL17" i="98"/>
  <c r="AM17" i="98" s="1"/>
  <c r="AW17" i="98"/>
  <c r="AA18" i="98"/>
  <c r="AK18" i="98"/>
  <c r="AV18" i="98"/>
  <c r="Z19" i="98"/>
  <c r="AI19" i="98"/>
  <c r="AJ19" i="98" s="1"/>
  <c r="AU19" i="98"/>
  <c r="W20" i="98"/>
  <c r="AH20" i="98"/>
  <c r="V21" i="98"/>
  <c r="AG21" i="98"/>
  <c r="AR21" i="98"/>
  <c r="AS21" i="98" s="1"/>
  <c r="U22" i="98"/>
  <c r="AC22" i="98" s="1"/>
  <c r="AF22" i="98"/>
  <c r="AE23" i="98"/>
  <c r="AO23" i="98"/>
  <c r="AP23" i="98" s="1"/>
  <c r="AY23" i="98"/>
  <c r="AZ23" i="98" s="1"/>
  <c r="O23" i="98" s="1"/>
  <c r="AD24" i="98"/>
  <c r="X24" i="98" s="1"/>
  <c r="AX24" i="98"/>
  <c r="AB25" i="98"/>
  <c r="T25" i="98" s="1"/>
  <c r="AL25" i="98"/>
  <c r="AM25" i="98" s="1"/>
  <c r="AW25" i="98"/>
  <c r="AA26" i="98"/>
  <c r="AK26" i="98"/>
  <c r="AV26" i="98"/>
  <c r="Z27" i="98"/>
  <c r="AI27" i="98"/>
  <c r="AJ27" i="98" s="1"/>
  <c r="AU27" i="98"/>
  <c r="W28" i="98"/>
  <c r="AH28" i="98"/>
  <c r="V29" i="98"/>
  <c r="AG29" i="98"/>
  <c r="AR29" i="98"/>
  <c r="AS29" i="98" s="1"/>
  <c r="U30" i="98"/>
  <c r="AC30" i="98" s="1"/>
  <c r="AF30" i="98"/>
  <c r="AE31" i="98"/>
  <c r="AO31" i="98"/>
  <c r="AP31" i="98" s="1"/>
  <c r="AY31" i="98"/>
  <c r="AZ31" i="98" s="1"/>
  <c r="O31" i="98" s="1"/>
  <c r="AD9" i="98"/>
  <c r="X9" i="98" s="1"/>
  <c r="AX9" i="98"/>
  <c r="AB10" i="98"/>
  <c r="T10" i="98" s="1"/>
  <c r="AL10" i="98"/>
  <c r="AM10" i="98" s="1"/>
  <c r="AW10" i="98"/>
  <c r="AA11" i="98"/>
  <c r="AV11" i="98"/>
  <c r="Z12" i="98"/>
  <c r="AI12" i="98"/>
  <c r="AJ12" i="98" s="1"/>
  <c r="AU12" i="98"/>
  <c r="W13" i="98"/>
  <c r="AH13" i="98"/>
  <c r="V14" i="98"/>
  <c r="AG14" i="98"/>
  <c r="AR14" i="98"/>
  <c r="AS14" i="98" s="1"/>
  <c r="U15" i="98"/>
  <c r="AC15" i="98" s="1"/>
  <c r="AF15" i="98"/>
  <c r="AE16" i="98"/>
  <c r="AO16" i="98"/>
  <c r="AP16" i="98" s="1"/>
  <c r="AY16" i="98"/>
  <c r="AZ16" i="98" s="1"/>
  <c r="O16" i="98" s="1"/>
  <c r="AD17" i="98"/>
  <c r="X17" i="98" s="1"/>
  <c r="AX17" i="98"/>
  <c r="AB18" i="98"/>
  <c r="T18" i="98" s="1"/>
  <c r="AL18" i="98"/>
  <c r="AM18" i="98" s="1"/>
  <c r="AW18" i="98"/>
  <c r="AA19" i="98"/>
  <c r="AK19" i="98"/>
  <c r="AV19" i="98"/>
  <c r="Z20" i="98"/>
  <c r="AI20" i="98"/>
  <c r="AJ20" i="98" s="1"/>
  <c r="AU20" i="98"/>
  <c r="W21" i="98"/>
  <c r="AH21" i="98"/>
  <c r="V22" i="98"/>
  <c r="AG22" i="98"/>
  <c r="AR22" i="98"/>
  <c r="AS22" i="98" s="1"/>
  <c r="U23" i="98"/>
  <c r="AC23" i="98" s="1"/>
  <c r="AF23" i="98"/>
  <c r="AE24" i="98"/>
  <c r="AO24" i="98"/>
  <c r="AP24" i="98" s="1"/>
  <c r="AY24" i="98"/>
  <c r="AZ24" i="98" s="1"/>
  <c r="O24" i="98" s="1"/>
  <c r="AD25" i="98"/>
  <c r="X25" i="98" s="1"/>
  <c r="AX25" i="98"/>
  <c r="AB26" i="98"/>
  <c r="T26" i="98" s="1"/>
  <c r="AL26" i="98"/>
  <c r="AM26" i="98" s="1"/>
  <c r="AW26" i="98"/>
  <c r="AA27" i="98"/>
  <c r="AK27" i="98"/>
  <c r="AV27" i="98"/>
  <c r="Z28" i="98"/>
  <c r="AI28" i="98"/>
  <c r="AJ28" i="98" s="1"/>
  <c r="AU28" i="98"/>
  <c r="W29" i="98"/>
  <c r="AH29" i="98"/>
  <c r="V30" i="98"/>
  <c r="AG30" i="98"/>
  <c r="AR30" i="98"/>
  <c r="AS30" i="98" s="1"/>
  <c r="U31" i="98"/>
  <c r="AC31" i="98" s="1"/>
  <c r="AF31" i="98"/>
  <c r="AE32" i="98"/>
  <c r="AO32" i="98"/>
  <c r="AP32" i="98" s="1"/>
  <c r="AY32" i="98"/>
  <c r="AZ32" i="98" s="1"/>
  <c r="O32" i="98" s="1"/>
  <c r="AD33" i="98"/>
  <c r="X33" i="98" s="1"/>
  <c r="AX33" i="98"/>
  <c r="AB34" i="98"/>
  <c r="T34" i="98" s="1"/>
  <c r="AL34" i="98"/>
  <c r="AM34" i="98" s="1"/>
  <c r="AW34" i="98"/>
  <c r="AV5" i="98"/>
  <c r="AA5" i="98"/>
  <c r="AE9" i="98"/>
  <c r="AO9" i="98"/>
  <c r="AP9" i="98" s="1"/>
  <c r="AY9" i="98"/>
  <c r="AZ9" i="98" s="1"/>
  <c r="O9" i="98" s="1"/>
  <c r="AD10" i="98"/>
  <c r="X10" i="98" s="1"/>
  <c r="AX10" i="98"/>
  <c r="AB11" i="98"/>
  <c r="T11" i="98" s="1"/>
  <c r="AL11" i="98"/>
  <c r="AM11" i="98" s="1"/>
  <c r="AW11" i="98"/>
  <c r="AA12" i="98"/>
  <c r="AV12" i="98"/>
  <c r="Z13" i="98"/>
  <c r="AI13" i="98"/>
  <c r="AJ13" i="98" s="1"/>
  <c r="AU13" i="98"/>
  <c r="W14" i="98"/>
  <c r="AH14" i="98"/>
  <c r="V15" i="98"/>
  <c r="AG15" i="98"/>
  <c r="AR15" i="98"/>
  <c r="AS15" i="98" s="1"/>
  <c r="U16" i="98"/>
  <c r="AC16" i="98" s="1"/>
  <c r="AF16" i="98"/>
  <c r="AE17" i="98"/>
  <c r="AO17" i="98"/>
  <c r="AP17" i="98" s="1"/>
  <c r="AY17" i="98"/>
  <c r="AZ17" i="98" s="1"/>
  <c r="O17" i="98" s="1"/>
  <c r="AD18" i="98"/>
  <c r="X18" i="98" s="1"/>
  <c r="AX18" i="98"/>
  <c r="AB19" i="98"/>
  <c r="T19" i="98" s="1"/>
  <c r="AL19" i="98"/>
  <c r="AM19" i="98" s="1"/>
  <c r="AW19" i="98"/>
  <c r="AA20" i="98"/>
  <c r="AK20" i="98"/>
  <c r="AV20" i="98"/>
  <c r="Z21" i="98"/>
  <c r="AI21" i="98"/>
  <c r="AJ21" i="98" s="1"/>
  <c r="AU21" i="98"/>
  <c r="W22" i="98"/>
  <c r="AH22" i="98"/>
  <c r="V23" i="98"/>
  <c r="AG23" i="98"/>
  <c r="AR23" i="98"/>
  <c r="AS23" i="98" s="1"/>
  <c r="U24" i="98"/>
  <c r="AC24" i="98" s="1"/>
  <c r="AF24" i="98"/>
  <c r="AE25" i="98"/>
  <c r="AO25" i="98"/>
  <c r="AP25" i="98" s="1"/>
  <c r="AY25" i="98"/>
  <c r="AZ25" i="98" s="1"/>
  <c r="O25" i="98" s="1"/>
  <c r="AD26" i="98"/>
  <c r="X26" i="98" s="1"/>
  <c r="AX26" i="98"/>
  <c r="AB27" i="98"/>
  <c r="T27" i="98" s="1"/>
  <c r="AL27" i="98"/>
  <c r="AM27" i="98" s="1"/>
  <c r="AW27" i="98"/>
  <c r="AA28" i="98"/>
  <c r="AK28" i="98"/>
  <c r="AV28" i="98"/>
  <c r="Z29" i="98"/>
  <c r="AI29" i="98"/>
  <c r="AJ29" i="98" s="1"/>
  <c r="AU29" i="98"/>
  <c r="W30" i="98"/>
  <c r="AH30" i="98"/>
  <c r="V31" i="98"/>
  <c r="AG31" i="98"/>
  <c r="AR31" i="98"/>
  <c r="AS31" i="98" s="1"/>
  <c r="U32" i="98"/>
  <c r="AC32" i="98" s="1"/>
  <c r="AF32" i="98"/>
  <c r="AE33" i="98"/>
  <c r="AO33" i="98"/>
  <c r="AP33" i="98" s="1"/>
  <c r="AY33" i="98"/>
  <c r="AZ33" i="98" s="1"/>
  <c r="O33" i="98" s="1"/>
  <c r="AD34" i="98"/>
  <c r="X34" i="98" s="1"/>
  <c r="AX34" i="98"/>
  <c r="AU5" i="98"/>
  <c r="AI5" i="98"/>
  <c r="AJ5" i="98" s="1"/>
  <c r="Z5" i="98"/>
  <c r="W5" i="98"/>
  <c r="U9" i="98"/>
  <c r="AC9" i="98" s="1"/>
  <c r="AF9" i="98"/>
  <c r="AE10" i="98"/>
  <c r="AO10" i="98"/>
  <c r="AP10" i="98" s="1"/>
  <c r="AY10" i="98"/>
  <c r="AZ10" i="98" s="1"/>
  <c r="O10" i="98" s="1"/>
  <c r="AD11" i="98"/>
  <c r="X11" i="98" s="1"/>
  <c r="AX11" i="98"/>
  <c r="AB12" i="98"/>
  <c r="T12" i="98" s="1"/>
  <c r="AL12" i="98"/>
  <c r="AM12" i="98" s="1"/>
  <c r="AW12" i="98"/>
  <c r="AA13" i="98"/>
  <c r="AV13" i="98"/>
  <c r="Z14" i="98"/>
  <c r="AI14" i="98"/>
  <c r="AJ14" i="98" s="1"/>
  <c r="AU14" i="98"/>
  <c r="W15" i="98"/>
  <c r="AH15" i="98"/>
  <c r="V16" i="98"/>
  <c r="AG16" i="98"/>
  <c r="AR16" i="98"/>
  <c r="AS16" i="98" s="1"/>
  <c r="U17" i="98"/>
  <c r="AC17" i="98" s="1"/>
  <c r="AF17" i="98"/>
  <c r="AE18" i="98"/>
  <c r="AO18" i="98"/>
  <c r="AP18" i="98" s="1"/>
  <c r="AY18" i="98"/>
  <c r="AZ18" i="98" s="1"/>
  <c r="O18" i="98" s="1"/>
  <c r="AD19" i="98"/>
  <c r="X19" i="98" s="1"/>
  <c r="AX19" i="98"/>
  <c r="AB20" i="98"/>
  <c r="T20" i="98" s="1"/>
  <c r="AL20" i="98"/>
  <c r="AM20" i="98" s="1"/>
  <c r="AW20" i="98"/>
  <c r="AA21" i="98"/>
  <c r="AK21" i="98"/>
  <c r="AV21" i="98"/>
  <c r="Z22" i="98"/>
  <c r="AI22" i="98"/>
  <c r="AJ22" i="98" s="1"/>
  <c r="AU22" i="98"/>
  <c r="W23" i="98"/>
  <c r="AH23" i="98"/>
  <c r="V24" i="98"/>
  <c r="AG24" i="98"/>
  <c r="AR24" i="98"/>
  <c r="AS24" i="98" s="1"/>
  <c r="U25" i="98"/>
  <c r="AC25" i="98" s="1"/>
  <c r="AF25" i="98"/>
  <c r="AE26" i="98"/>
  <c r="AO26" i="98"/>
  <c r="AP26" i="98" s="1"/>
  <c r="AY26" i="98"/>
  <c r="AZ26" i="98" s="1"/>
  <c r="O26" i="98" s="1"/>
  <c r="AD27" i="98"/>
  <c r="X27" i="98" s="1"/>
  <c r="AX27" i="98"/>
  <c r="AB28" i="98"/>
  <c r="T28" i="98" s="1"/>
  <c r="AL28" i="98"/>
  <c r="AM28" i="98" s="1"/>
  <c r="AW28" i="98"/>
  <c r="AA29" i="98"/>
  <c r="AK29" i="98"/>
  <c r="AV29" i="98"/>
  <c r="Z30" i="98"/>
  <c r="AI30" i="98"/>
  <c r="AJ30" i="98" s="1"/>
  <c r="AU30" i="98"/>
  <c r="W31" i="98"/>
  <c r="AH31" i="98"/>
  <c r="V32" i="98"/>
  <c r="AG32" i="98"/>
  <c r="AR32" i="98"/>
  <c r="AS32" i="98" s="1"/>
  <c r="U33" i="98"/>
  <c r="AC33" i="98" s="1"/>
  <c r="AF33" i="98"/>
  <c r="AE34" i="98"/>
  <c r="AO34" i="98"/>
  <c r="AP34" i="98" s="1"/>
  <c r="AY34" i="98"/>
  <c r="AZ34" i="98" s="1"/>
  <c r="O34" i="98" s="1"/>
  <c r="AH5" i="98"/>
  <c r="V5" i="98"/>
  <c r="V9" i="98"/>
  <c r="AG9" i="98"/>
  <c r="AR9" i="98"/>
  <c r="AS9" i="98" s="1"/>
  <c r="U10" i="98"/>
  <c r="AC10" i="98" s="1"/>
  <c r="AF10" i="98"/>
  <c r="AE11" i="98"/>
  <c r="AO11" i="98"/>
  <c r="AP11" i="98" s="1"/>
  <c r="AY11" i="98"/>
  <c r="AZ11" i="98" s="1"/>
  <c r="O11" i="98" s="1"/>
  <c r="AD12" i="98"/>
  <c r="X12" i="98" s="1"/>
  <c r="AX12" i="98"/>
  <c r="AB13" i="98"/>
  <c r="T13" i="98" s="1"/>
  <c r="AL13" i="98"/>
  <c r="AM13" i="98" s="1"/>
  <c r="AW13" i="98"/>
  <c r="AA14" i="98"/>
  <c r="AV14" i="98"/>
  <c r="Z15" i="98"/>
  <c r="AI15" i="98"/>
  <c r="AJ15" i="98" s="1"/>
  <c r="AU15" i="98"/>
  <c r="W16" i="98"/>
  <c r="AH16" i="98"/>
  <c r="V17" i="98"/>
  <c r="AG17" i="98"/>
  <c r="AR17" i="98"/>
  <c r="AS17" i="98" s="1"/>
  <c r="U18" i="98"/>
  <c r="AC18" i="98" s="1"/>
  <c r="AF18" i="98"/>
  <c r="AE19" i="98"/>
  <c r="AO19" i="98"/>
  <c r="AP19" i="98" s="1"/>
  <c r="AY19" i="98"/>
  <c r="AZ19" i="98" s="1"/>
  <c r="O19" i="98" s="1"/>
  <c r="AD20" i="98"/>
  <c r="X20" i="98" s="1"/>
  <c r="AX20" i="98"/>
  <c r="AB21" i="98"/>
  <c r="T21" i="98" s="1"/>
  <c r="AL21" i="98"/>
  <c r="AM21" i="98" s="1"/>
  <c r="AW21" i="98"/>
  <c r="AA22" i="98"/>
  <c r="AK22" i="98"/>
  <c r="AV22" i="98"/>
  <c r="Z23" i="98"/>
  <c r="AI23" i="98"/>
  <c r="AJ23" i="98" s="1"/>
  <c r="AU23" i="98"/>
  <c r="W24" i="98"/>
  <c r="AH24" i="98"/>
  <c r="V25" i="98"/>
  <c r="AG25" i="98"/>
  <c r="AR25" i="98"/>
  <c r="AS25" i="98" s="1"/>
  <c r="U26" i="98"/>
  <c r="AC26" i="98" s="1"/>
  <c r="AF26" i="98"/>
  <c r="AE27" i="98"/>
  <c r="AO27" i="98"/>
  <c r="AP27" i="98" s="1"/>
  <c r="AY27" i="98"/>
  <c r="AZ27" i="98" s="1"/>
  <c r="O27" i="98" s="1"/>
  <c r="AD28" i="98"/>
  <c r="X28" i="98" s="1"/>
  <c r="AX28" i="98"/>
  <c r="AB29" i="98"/>
  <c r="T29" i="98" s="1"/>
  <c r="AL29" i="98"/>
  <c r="AM29" i="98" s="1"/>
  <c r="AW29" i="98"/>
  <c r="AA30" i="98"/>
  <c r="AK30" i="98"/>
  <c r="AV30" i="98"/>
  <c r="Z31" i="98"/>
  <c r="AI31" i="98"/>
  <c r="AJ31" i="98" s="1"/>
  <c r="AU31" i="98"/>
  <c r="W32" i="98"/>
  <c r="AH32" i="98"/>
  <c r="V33" i="98"/>
  <c r="AG33" i="98"/>
  <c r="AR33" i="98"/>
  <c r="AS33" i="98" s="1"/>
  <c r="U34" i="98"/>
  <c r="AC34" i="98" s="1"/>
  <c r="AF34" i="98"/>
  <c r="AR5" i="98"/>
  <c r="AS5" i="98" s="1"/>
  <c r="AG5" i="98"/>
  <c r="V10" i="98"/>
  <c r="AO12" i="98"/>
  <c r="AP12" i="98" s="1"/>
  <c r="AA15" i="98"/>
  <c r="AE20" i="98"/>
  <c r="AW22" i="98"/>
  <c r="AH25" i="98"/>
  <c r="AL30" i="98"/>
  <c r="AM30" i="98" s="1"/>
  <c r="AX32" i="98"/>
  <c r="AA34" i="98"/>
  <c r="AL5" i="98"/>
  <c r="AM5" i="98" s="1"/>
  <c r="AB5" i="98"/>
  <c r="T5" i="98" s="1"/>
  <c r="AH17" i="98"/>
  <c r="AB30" i="98"/>
  <c r="T30" i="98" s="1"/>
  <c r="AG10" i="98"/>
  <c r="AY12" i="98"/>
  <c r="AZ12" i="98" s="1"/>
  <c r="O12" i="98" s="1"/>
  <c r="V18" i="98"/>
  <c r="AO20" i="98"/>
  <c r="AP20" i="98" s="1"/>
  <c r="AA23" i="98"/>
  <c r="AE28" i="98"/>
  <c r="AW30" i="98"/>
  <c r="W33" i="98"/>
  <c r="AG34" i="98"/>
  <c r="AF5" i="98"/>
  <c r="AK34" i="98"/>
  <c r="AW14" i="98"/>
  <c r="AR10" i="98"/>
  <c r="AS10" i="98" s="1"/>
  <c r="AD13" i="98"/>
  <c r="X13" i="98" s="1"/>
  <c r="AV15" i="98"/>
  <c r="AG18" i="98"/>
  <c r="AY20" i="98"/>
  <c r="AZ20" i="98" s="1"/>
  <c r="O20" i="98" s="1"/>
  <c r="AK23" i="98"/>
  <c r="V26" i="98"/>
  <c r="AO28" i="98"/>
  <c r="AP28" i="98" s="1"/>
  <c r="AA31" i="98"/>
  <c r="AB33" i="98"/>
  <c r="T33" i="98" s="1"/>
  <c r="U11" i="98"/>
  <c r="AC11" i="98" s="1"/>
  <c r="Z16" i="98"/>
  <c r="AR18" i="98"/>
  <c r="AS18" i="98" s="1"/>
  <c r="AD21" i="98"/>
  <c r="X21" i="98" s="1"/>
  <c r="AV23" i="98"/>
  <c r="AG26" i="98"/>
  <c r="AY28" i="98"/>
  <c r="AZ28" i="98" s="1"/>
  <c r="O28" i="98" s="1"/>
  <c r="AK31" i="98"/>
  <c r="AH33" i="98"/>
  <c r="AR34" i="98"/>
  <c r="AS34" i="98" s="1"/>
  <c r="U5" i="98"/>
  <c r="AC5" i="98" s="1"/>
  <c r="AU32" i="98"/>
  <c r="AF11" i="98"/>
  <c r="AX13" i="98"/>
  <c r="AI16" i="98"/>
  <c r="AJ16" i="98" s="1"/>
  <c r="U19" i="98"/>
  <c r="AC19" i="98" s="1"/>
  <c r="Z24" i="98"/>
  <c r="AR26" i="98"/>
  <c r="AS26" i="98" s="1"/>
  <c r="AD29" i="98"/>
  <c r="X29" i="98" s="1"/>
  <c r="AV31" i="98"/>
  <c r="AL33" i="98"/>
  <c r="AM33" i="98" s="1"/>
  <c r="AV34" i="98"/>
  <c r="AL22" i="98"/>
  <c r="AM22" i="98" s="1"/>
  <c r="V34" i="98"/>
  <c r="W9" i="98"/>
  <c r="AB14" i="98"/>
  <c r="T14" i="98" s="1"/>
  <c r="AU16" i="98"/>
  <c r="AF19" i="98"/>
  <c r="AX21" i="98"/>
  <c r="AI24" i="98"/>
  <c r="AJ24" i="98" s="1"/>
  <c r="U27" i="98"/>
  <c r="AC27" i="98" s="1"/>
  <c r="Z32" i="98"/>
  <c r="AE12" i="98"/>
  <c r="AH9" i="98"/>
  <c r="AL14" i="98"/>
  <c r="AM14" i="98" s="1"/>
  <c r="W17" i="98"/>
  <c r="AB22" i="98"/>
  <c r="T22" i="98" s="1"/>
  <c r="AU24" i="98"/>
  <c r="AF27" i="98"/>
  <c r="AX29" i="98"/>
  <c r="AI32" i="98"/>
  <c r="AJ32" i="98" s="1"/>
  <c r="AW33" i="98"/>
  <c r="AW5" i="98"/>
  <c r="W25" i="98"/>
  <c r="H4" i="89"/>
  <c r="AW7" i="88"/>
  <c r="AY7" i="88" l="1"/>
  <c r="AX7" i="88"/>
  <c r="P62" i="99"/>
  <c r="BB7" i="88" l="1"/>
  <c r="BC7" i="88" s="1"/>
  <c r="BC234" i="88" l="1"/>
  <c r="BB234" i="88"/>
  <c r="B68" i="87"/>
  <c r="C68" i="87"/>
  <c r="D68" i="87"/>
  <c r="E68" i="87"/>
  <c r="F68" i="87"/>
  <c r="G68" i="87"/>
  <c r="H68" i="87"/>
  <c r="I68" i="87"/>
  <c r="J68" i="87"/>
  <c r="K68" i="87"/>
  <c r="L68" i="87"/>
  <c r="M68" i="87"/>
  <c r="N68" i="87"/>
  <c r="O68" i="87"/>
  <c r="P68" i="87"/>
  <c r="Q68" i="87"/>
  <c r="R68" i="87"/>
  <c r="A68" i="87"/>
  <c r="P41" i="99" l="1"/>
  <c r="P32" i="99"/>
  <c r="P25" i="99"/>
  <c r="Q8" i="99"/>
  <c r="AP5" i="88"/>
  <c r="AQ5" i="88"/>
  <c r="AR5" i="88"/>
  <c r="AS5" i="88"/>
  <c r="AT5" i="88"/>
  <c r="AO5" i="88"/>
  <c r="O24" i="99"/>
  <c r="F18" i="99"/>
  <c r="G18" i="99"/>
  <c r="K18" i="99" s="1"/>
  <c r="G17" i="99"/>
  <c r="K17" i="99" s="1"/>
  <c r="D8" i="99"/>
  <c r="H8" i="99" s="1"/>
  <c r="E8" i="99"/>
  <c r="I8" i="99" s="1"/>
  <c r="F8" i="99"/>
  <c r="J8" i="99" s="1"/>
  <c r="D9" i="99"/>
  <c r="H9" i="99" s="1"/>
  <c r="E9" i="99"/>
  <c r="I9" i="99" s="1"/>
  <c r="F9" i="99"/>
  <c r="J9" i="99" s="1"/>
  <c r="D10" i="99"/>
  <c r="H10" i="99" s="1"/>
  <c r="E10" i="99"/>
  <c r="I10" i="99" s="1"/>
  <c r="F10" i="99"/>
  <c r="J10" i="99" s="1"/>
  <c r="D11" i="99"/>
  <c r="H11" i="99" s="1"/>
  <c r="E11" i="99"/>
  <c r="F11" i="99"/>
  <c r="J11" i="99" s="1"/>
  <c r="D12" i="99"/>
  <c r="H12" i="99" s="1"/>
  <c r="E12" i="99"/>
  <c r="I12" i="99" s="1"/>
  <c r="F12" i="99"/>
  <c r="D13" i="99"/>
  <c r="H13" i="99" s="1"/>
  <c r="E13" i="99"/>
  <c r="I13" i="99" s="1"/>
  <c r="F13" i="99"/>
  <c r="J13" i="99" s="1"/>
  <c r="D14" i="99"/>
  <c r="E14" i="99"/>
  <c r="F14" i="99"/>
  <c r="J14" i="99" s="1"/>
  <c r="D15" i="99"/>
  <c r="H15" i="99" s="1"/>
  <c r="E15" i="99"/>
  <c r="I15" i="99" s="1"/>
  <c r="F15" i="99"/>
  <c r="D16" i="99"/>
  <c r="H16" i="99" s="1"/>
  <c r="E16" i="99"/>
  <c r="I16" i="99" s="1"/>
  <c r="F16" i="99"/>
  <c r="D17" i="99"/>
  <c r="E17" i="99"/>
  <c r="F17" i="99"/>
  <c r="D18" i="99"/>
  <c r="E18" i="99"/>
  <c r="E7" i="99"/>
  <c r="I7" i="99" s="1"/>
  <c r="F7" i="99"/>
  <c r="J7" i="99" s="1"/>
  <c r="D7" i="99"/>
  <c r="H7" i="99" s="1"/>
  <c r="AN10" i="88" l="1"/>
  <c r="AM10" i="88" s="1"/>
  <c r="AN11" i="88"/>
  <c r="AM11" i="88" s="1"/>
  <c r="AN8" i="88"/>
  <c r="AM8" i="88" s="1"/>
  <c r="AN12" i="88"/>
  <c r="AM12" i="88" s="1"/>
  <c r="AN16" i="88"/>
  <c r="AM16" i="88" s="1"/>
  <c r="AN20" i="88"/>
  <c r="AM20" i="88" s="1"/>
  <c r="AN24" i="88"/>
  <c r="AM24" i="88" s="1"/>
  <c r="AN28" i="88"/>
  <c r="AM28" i="88" s="1"/>
  <c r="AN32" i="88"/>
  <c r="AM32" i="88" s="1"/>
  <c r="AN36" i="88"/>
  <c r="AM36" i="88" s="1"/>
  <c r="AN40" i="88"/>
  <c r="AM40" i="88" s="1"/>
  <c r="AN44" i="88"/>
  <c r="AM44" i="88" s="1"/>
  <c r="AN48" i="88"/>
  <c r="AM48" i="88" s="1"/>
  <c r="AN52" i="88"/>
  <c r="AM52" i="88" s="1"/>
  <c r="AN57" i="88"/>
  <c r="AM57" i="88" s="1"/>
  <c r="AN61" i="88"/>
  <c r="AM61" i="88" s="1"/>
  <c r="AN65" i="88"/>
  <c r="AM65" i="88" s="1"/>
  <c r="AN69" i="88"/>
  <c r="AM69" i="88" s="1"/>
  <c r="AN73" i="88"/>
  <c r="AM73" i="88" s="1"/>
  <c r="AN77" i="88"/>
  <c r="AM77" i="88" s="1"/>
  <c r="AN81" i="88"/>
  <c r="AM81" i="88" s="1"/>
  <c r="AN85" i="88"/>
  <c r="AM85" i="88" s="1"/>
  <c r="AN89" i="88"/>
  <c r="AM89" i="88" s="1"/>
  <c r="AN93" i="88"/>
  <c r="AM93" i="88" s="1"/>
  <c r="AN97" i="88"/>
  <c r="AM97" i="88" s="1"/>
  <c r="AN102" i="88"/>
  <c r="AM102" i="88" s="1"/>
  <c r="AN106" i="88"/>
  <c r="AM106" i="88" s="1"/>
  <c r="AN110" i="88"/>
  <c r="AM110" i="88" s="1"/>
  <c r="AN114" i="88"/>
  <c r="AM114" i="88" s="1"/>
  <c r="AN119" i="88"/>
  <c r="AM119" i="88" s="1"/>
  <c r="AN123" i="88"/>
  <c r="AM123" i="88" s="1"/>
  <c r="AN127" i="88"/>
  <c r="AM127" i="88" s="1"/>
  <c r="AN132" i="88"/>
  <c r="AM132" i="88" s="1"/>
  <c r="AN136" i="88"/>
  <c r="AM136" i="88" s="1"/>
  <c r="AN140" i="88"/>
  <c r="AM140" i="88" s="1"/>
  <c r="AN145" i="88"/>
  <c r="AM145" i="88" s="1"/>
  <c r="AN150" i="88"/>
  <c r="AM150" i="88" s="1"/>
  <c r="AN154" i="88"/>
  <c r="AM154" i="88" s="1"/>
  <c r="AN159" i="88"/>
  <c r="AM159" i="88" s="1"/>
  <c r="AN163" i="88"/>
  <c r="AM163" i="88" s="1"/>
  <c r="AN167" i="88"/>
  <c r="AM167" i="88" s="1"/>
  <c r="AN171" i="88"/>
  <c r="AM171" i="88" s="1"/>
  <c r="AN175" i="88"/>
  <c r="AM175" i="88" s="1"/>
  <c r="AN179" i="88"/>
  <c r="AM179" i="88" s="1"/>
  <c r="AN183" i="88"/>
  <c r="AM183" i="88" s="1"/>
  <c r="AN187" i="88"/>
  <c r="AM187" i="88" s="1"/>
  <c r="AN191" i="88"/>
  <c r="AM191" i="88" s="1"/>
  <c r="AN195" i="88"/>
  <c r="AM195" i="88" s="1"/>
  <c r="AN199" i="88"/>
  <c r="AM199" i="88" s="1"/>
  <c r="AN203" i="88"/>
  <c r="AM203" i="88" s="1"/>
  <c r="AN207" i="88"/>
  <c r="AM207" i="88" s="1"/>
  <c r="AN211" i="88"/>
  <c r="AM211" i="88" s="1"/>
  <c r="AN216" i="88"/>
  <c r="AM216" i="88" s="1"/>
  <c r="AN221" i="88"/>
  <c r="AM221" i="88" s="1"/>
  <c r="AN226" i="88"/>
  <c r="AM226" i="88" s="1"/>
  <c r="AN231" i="88"/>
  <c r="AM231" i="88" s="1"/>
  <c r="AN13" i="88"/>
  <c r="AM13" i="88" s="1"/>
  <c r="AN17" i="88"/>
  <c r="AM17" i="88" s="1"/>
  <c r="AN21" i="88"/>
  <c r="AM21" i="88" s="1"/>
  <c r="AN25" i="88"/>
  <c r="AM25" i="88" s="1"/>
  <c r="AN29" i="88"/>
  <c r="AM29" i="88" s="1"/>
  <c r="AN33" i="88"/>
  <c r="AM33" i="88" s="1"/>
  <c r="AN37" i="88"/>
  <c r="AM37" i="88" s="1"/>
  <c r="AN41" i="88"/>
  <c r="AM41" i="88" s="1"/>
  <c r="AN45" i="88"/>
  <c r="AM45" i="88" s="1"/>
  <c r="AN49" i="88"/>
  <c r="AM49" i="88" s="1"/>
  <c r="AN53" i="88"/>
  <c r="AM53" i="88" s="1"/>
  <c r="AN58" i="88"/>
  <c r="AM58" i="88" s="1"/>
  <c r="AN62" i="88"/>
  <c r="AM62" i="88" s="1"/>
  <c r="AN66" i="88"/>
  <c r="AM66" i="88" s="1"/>
  <c r="AN70" i="88"/>
  <c r="AM70" i="88" s="1"/>
  <c r="AN74" i="88"/>
  <c r="AM74" i="88" s="1"/>
  <c r="AN78" i="88"/>
  <c r="AM78" i="88" s="1"/>
  <c r="AN82" i="88"/>
  <c r="AM82" i="88" s="1"/>
  <c r="AN86" i="88"/>
  <c r="AM86" i="88" s="1"/>
  <c r="AN90" i="88"/>
  <c r="AM90" i="88" s="1"/>
  <c r="AN94" i="88"/>
  <c r="AM94" i="88" s="1"/>
  <c r="AN98" i="88"/>
  <c r="AM98" i="88" s="1"/>
  <c r="AN103" i="88"/>
  <c r="AM103" i="88" s="1"/>
  <c r="AN107" i="88"/>
  <c r="AM107" i="88" s="1"/>
  <c r="AN111" i="88"/>
  <c r="AM111" i="88" s="1"/>
  <c r="AN116" i="88"/>
  <c r="AM116" i="88" s="1"/>
  <c r="AN120" i="88"/>
  <c r="AM120" i="88" s="1"/>
  <c r="AN124" i="88"/>
  <c r="AM124" i="88" s="1"/>
  <c r="AN129" i="88"/>
  <c r="AM129" i="88" s="1"/>
  <c r="AN133" i="88"/>
  <c r="AM133" i="88" s="1"/>
  <c r="AN137" i="88"/>
  <c r="AM137" i="88" s="1"/>
  <c r="AN9" i="88"/>
  <c r="AM9" i="88" s="1"/>
  <c r="AN18" i="88"/>
  <c r="AM18" i="88" s="1"/>
  <c r="AN26" i="88"/>
  <c r="AM26" i="88" s="1"/>
  <c r="AN34" i="88"/>
  <c r="AM34" i="88" s="1"/>
  <c r="AN42" i="88"/>
  <c r="AM42" i="88" s="1"/>
  <c r="AN50" i="88"/>
  <c r="AM50" i="88" s="1"/>
  <c r="AN59" i="88"/>
  <c r="AM59" i="88" s="1"/>
  <c r="AN67" i="88"/>
  <c r="AM67" i="88" s="1"/>
  <c r="AN75" i="88"/>
  <c r="AM75" i="88" s="1"/>
  <c r="AN83" i="88"/>
  <c r="AM83" i="88" s="1"/>
  <c r="AN91" i="88"/>
  <c r="AM91" i="88" s="1"/>
  <c r="AN99" i="88"/>
  <c r="AM99" i="88" s="1"/>
  <c r="AN108" i="88"/>
  <c r="AM108" i="88" s="1"/>
  <c r="AN117" i="88"/>
  <c r="AM117" i="88" s="1"/>
  <c r="AN125" i="88"/>
  <c r="AM125" i="88" s="1"/>
  <c r="AN134" i="88"/>
  <c r="AM134" i="88" s="1"/>
  <c r="AN142" i="88"/>
  <c r="AM142" i="88" s="1"/>
  <c r="AN148" i="88"/>
  <c r="AM148" i="88" s="1"/>
  <c r="AN153" i="88"/>
  <c r="AM153" i="88" s="1"/>
  <c r="AN160" i="88"/>
  <c r="AM160" i="88" s="1"/>
  <c r="AN165" i="88"/>
  <c r="AM165" i="88" s="1"/>
  <c r="AN170" i="88"/>
  <c r="AM170" i="88" s="1"/>
  <c r="AN176" i="88"/>
  <c r="AM176" i="88" s="1"/>
  <c r="AN181" i="88"/>
  <c r="AM181" i="88" s="1"/>
  <c r="AN186" i="88"/>
  <c r="AM186" i="88" s="1"/>
  <c r="AN192" i="88"/>
  <c r="AM192" i="88" s="1"/>
  <c r="AN197" i="88"/>
  <c r="AM197" i="88" s="1"/>
  <c r="AN202" i="88"/>
  <c r="AM202" i="88" s="1"/>
  <c r="AN208" i="88"/>
  <c r="AM208" i="88" s="1"/>
  <c r="AN213" i="88"/>
  <c r="AM213" i="88" s="1"/>
  <c r="AN220" i="88"/>
  <c r="AM220" i="88" s="1"/>
  <c r="AN227" i="88"/>
  <c r="AM227" i="88" s="1"/>
  <c r="AN113" i="88"/>
  <c r="AM113" i="88" s="1"/>
  <c r="AN147" i="88"/>
  <c r="AM147" i="88" s="1"/>
  <c r="AN169" i="88"/>
  <c r="AM169" i="88" s="1"/>
  <c r="AN185" i="88"/>
  <c r="AM185" i="88" s="1"/>
  <c r="AN201" i="88"/>
  <c r="AM201" i="88" s="1"/>
  <c r="AN224" i="88"/>
  <c r="AM224" i="88" s="1"/>
  <c r="AN19" i="88"/>
  <c r="AM19" i="88" s="1"/>
  <c r="AN27" i="88"/>
  <c r="AM27" i="88" s="1"/>
  <c r="AN35" i="88"/>
  <c r="AM35" i="88" s="1"/>
  <c r="AN43" i="88"/>
  <c r="AM43" i="88" s="1"/>
  <c r="AN51" i="88"/>
  <c r="AM51" i="88" s="1"/>
  <c r="AN60" i="88"/>
  <c r="AM60" i="88" s="1"/>
  <c r="AN68" i="88"/>
  <c r="AM68" i="88" s="1"/>
  <c r="AN76" i="88"/>
  <c r="AM76" i="88" s="1"/>
  <c r="AN84" i="88"/>
  <c r="AM84" i="88" s="1"/>
  <c r="AN92" i="88"/>
  <c r="AM92" i="88" s="1"/>
  <c r="AN100" i="88"/>
  <c r="AM100" i="88" s="1"/>
  <c r="AN109" i="88"/>
  <c r="AM109" i="88" s="1"/>
  <c r="AN118" i="88"/>
  <c r="AM118" i="88" s="1"/>
  <c r="AN126" i="88"/>
  <c r="AM126" i="88" s="1"/>
  <c r="AN135" i="88"/>
  <c r="AM135" i="88" s="1"/>
  <c r="AN143" i="88"/>
  <c r="AM143" i="88" s="1"/>
  <c r="AN149" i="88"/>
  <c r="AM149" i="88" s="1"/>
  <c r="AN155" i="88"/>
  <c r="AM155" i="88" s="1"/>
  <c r="AN161" i="88"/>
  <c r="AM161" i="88" s="1"/>
  <c r="AN166" i="88"/>
  <c r="AM166" i="88" s="1"/>
  <c r="AN172" i="88"/>
  <c r="AM172" i="88" s="1"/>
  <c r="AN177" i="88"/>
  <c r="AM177" i="88" s="1"/>
  <c r="AN182" i="88"/>
  <c r="AM182" i="88" s="1"/>
  <c r="AN188" i="88"/>
  <c r="AM188" i="88" s="1"/>
  <c r="AN193" i="88"/>
  <c r="AM193" i="88" s="1"/>
  <c r="AN198" i="88"/>
  <c r="AM198" i="88" s="1"/>
  <c r="AN204" i="88"/>
  <c r="AM204" i="88" s="1"/>
  <c r="AN209" i="88"/>
  <c r="AM209" i="88" s="1"/>
  <c r="AN214" i="88"/>
  <c r="AM214" i="88" s="1"/>
  <c r="AN222" i="88"/>
  <c r="AM222" i="88" s="1"/>
  <c r="AN228" i="88"/>
  <c r="AM228" i="88" s="1"/>
  <c r="AN15" i="88"/>
  <c r="AM15" i="88" s="1"/>
  <c r="AN31" i="88"/>
  <c r="AM31" i="88" s="1"/>
  <c r="AN47" i="88"/>
  <c r="AM47" i="88" s="1"/>
  <c r="AN64" i="88"/>
  <c r="AM64" i="88" s="1"/>
  <c r="AN80" i="88"/>
  <c r="AM80" i="88" s="1"/>
  <c r="AN96" i="88"/>
  <c r="AM96" i="88" s="1"/>
  <c r="AN122" i="88"/>
  <c r="AM122" i="88" s="1"/>
  <c r="AN139" i="88"/>
  <c r="AM139" i="88" s="1"/>
  <c r="AN157" i="88"/>
  <c r="AM157" i="88" s="1"/>
  <c r="AN180" i="88"/>
  <c r="AM180" i="88" s="1"/>
  <c r="AN196" i="88"/>
  <c r="AM196" i="88" s="1"/>
  <c r="AN212" i="88"/>
  <c r="AM212" i="88" s="1"/>
  <c r="AN232" i="88"/>
  <c r="AM232" i="88" s="1"/>
  <c r="AN14" i="88"/>
  <c r="AM14" i="88" s="1"/>
  <c r="AN22" i="88"/>
  <c r="AM22" i="88" s="1"/>
  <c r="AN30" i="88"/>
  <c r="AM30" i="88" s="1"/>
  <c r="AN38" i="88"/>
  <c r="AM38" i="88" s="1"/>
  <c r="AN46" i="88"/>
  <c r="AM46" i="88" s="1"/>
  <c r="AN55" i="88"/>
  <c r="AM55" i="88" s="1"/>
  <c r="AN63" i="88"/>
  <c r="AM63" i="88" s="1"/>
  <c r="AN71" i="88"/>
  <c r="AM71" i="88" s="1"/>
  <c r="AN79" i="88"/>
  <c r="AM79" i="88" s="1"/>
  <c r="AN87" i="88"/>
  <c r="AM87" i="88" s="1"/>
  <c r="AN95" i="88"/>
  <c r="AM95" i="88" s="1"/>
  <c r="AN104" i="88"/>
  <c r="AM104" i="88" s="1"/>
  <c r="AN112" i="88"/>
  <c r="AM112" i="88" s="1"/>
  <c r="AN121" i="88"/>
  <c r="AM121" i="88" s="1"/>
  <c r="AN130" i="88"/>
  <c r="AM130" i="88" s="1"/>
  <c r="AN138" i="88"/>
  <c r="AM138" i="88" s="1"/>
  <c r="AN144" i="88"/>
  <c r="AM144" i="88" s="1"/>
  <c r="AN151" i="88"/>
  <c r="AM151" i="88" s="1"/>
  <c r="AN156" i="88"/>
  <c r="AM156" i="88" s="1"/>
  <c r="AN162" i="88"/>
  <c r="AM162" i="88" s="1"/>
  <c r="AN168" i="88"/>
  <c r="AM168" i="88" s="1"/>
  <c r="AN173" i="88"/>
  <c r="AM173" i="88" s="1"/>
  <c r="AN178" i="88"/>
  <c r="AM178" i="88" s="1"/>
  <c r="AN184" i="88"/>
  <c r="AM184" i="88" s="1"/>
  <c r="AN189" i="88"/>
  <c r="AM189" i="88" s="1"/>
  <c r="AN194" i="88"/>
  <c r="AM194" i="88" s="1"/>
  <c r="AN200" i="88"/>
  <c r="AM200" i="88" s="1"/>
  <c r="AN205" i="88"/>
  <c r="AM205" i="88" s="1"/>
  <c r="AN210" i="88"/>
  <c r="AM210" i="88" s="1"/>
  <c r="AN217" i="88"/>
  <c r="AM217" i="88" s="1"/>
  <c r="AN223" i="88"/>
  <c r="AM223" i="88" s="1"/>
  <c r="AN230" i="88"/>
  <c r="AM230" i="88" s="1"/>
  <c r="AN23" i="88"/>
  <c r="AM23" i="88" s="1"/>
  <c r="AN39" i="88"/>
  <c r="AM39" i="88" s="1"/>
  <c r="AN56" i="88"/>
  <c r="AM56" i="88" s="1"/>
  <c r="AN72" i="88"/>
  <c r="AM72" i="88" s="1"/>
  <c r="AN88" i="88"/>
  <c r="AM88" i="88" s="1"/>
  <c r="AN105" i="88"/>
  <c r="AM105" i="88" s="1"/>
  <c r="AN131" i="88"/>
  <c r="AM131" i="88" s="1"/>
  <c r="AN152" i="88"/>
  <c r="AM152" i="88" s="1"/>
  <c r="AN164" i="88"/>
  <c r="AM164" i="88" s="1"/>
  <c r="AN174" i="88"/>
  <c r="AM174" i="88" s="1"/>
  <c r="AN190" i="88"/>
  <c r="AM190" i="88" s="1"/>
  <c r="AN206" i="88"/>
  <c r="AM206" i="88" s="1"/>
  <c r="AN218" i="88"/>
  <c r="AM218" i="88" s="1"/>
  <c r="B37" i="87"/>
  <c r="C33" i="87"/>
  <c r="E36" i="87"/>
  <c r="B34" i="87"/>
  <c r="B38" i="87"/>
  <c r="BT103" i="88"/>
  <c r="BT75" i="88"/>
  <c r="BT73" i="88"/>
  <c r="BT221" i="88"/>
  <c r="BT194" i="88"/>
  <c r="BT230" i="88"/>
  <c r="BT192" i="88"/>
  <c r="BT217" i="88"/>
  <c r="BT188" i="88"/>
  <c r="BT211" i="88"/>
  <c r="BT174" i="88"/>
  <c r="BT180" i="88"/>
  <c r="BT185" i="88"/>
  <c r="BT191" i="88"/>
  <c r="BT205" i="88"/>
  <c r="BT164" i="88"/>
  <c r="BT187" i="88"/>
  <c r="BT166" i="88"/>
  <c r="BT138" i="88"/>
  <c r="BT139" i="88"/>
  <c r="BT153" i="88"/>
  <c r="BT124" i="88"/>
  <c r="BT127" i="88"/>
  <c r="BT142" i="88"/>
  <c r="BT123" i="88"/>
  <c r="BT129" i="88"/>
  <c r="BT95" i="88"/>
  <c r="BT111" i="88"/>
  <c r="BT88" i="88"/>
  <c r="BT162" i="88"/>
  <c r="BT112" i="88"/>
  <c r="BT119" i="88"/>
  <c r="BT76" i="88"/>
  <c r="BT65" i="88"/>
  <c r="BT67" i="88"/>
  <c r="BT85" i="88"/>
  <c r="BT56" i="88"/>
  <c r="BT232" i="88"/>
  <c r="BT223" i="88"/>
  <c r="BT186" i="88"/>
  <c r="BT231" i="88"/>
  <c r="BT206" i="88"/>
  <c r="BT212" i="88"/>
  <c r="BT184" i="88"/>
  <c r="BT203" i="88"/>
  <c r="BT214" i="88"/>
  <c r="BT213" i="88"/>
  <c r="BT177" i="88"/>
  <c r="BT183" i="88"/>
  <c r="BT189" i="88"/>
  <c r="BT224" i="88"/>
  <c r="BT179" i="88"/>
  <c r="BT155" i="88"/>
  <c r="BT131" i="88"/>
  <c r="BT170" i="88"/>
  <c r="BT148" i="88"/>
  <c r="BT154" i="88"/>
  <c r="BT157" i="88"/>
  <c r="BT134" i="88"/>
  <c r="BT156" i="88"/>
  <c r="BT113" i="88"/>
  <c r="BT118" i="88"/>
  <c r="BT104" i="88"/>
  <c r="BT108" i="88"/>
  <c r="BT130" i="88"/>
  <c r="BT99" i="88"/>
  <c r="BT132" i="88"/>
  <c r="BT116" i="88"/>
  <c r="BT100" i="88"/>
  <c r="BT80" i="88"/>
  <c r="BT72" i="88"/>
  <c r="BT86" i="88"/>
  <c r="BT70" i="88"/>
  <c r="BT49" i="88"/>
  <c r="BT78" i="88"/>
  <c r="BT57" i="88"/>
  <c r="BT8" i="88"/>
  <c r="BT59" i="88"/>
  <c r="BT38" i="88"/>
  <c r="BT17" i="88"/>
  <c r="BT63" i="88"/>
  <c r="BT14" i="88"/>
  <c r="BT33" i="88"/>
  <c r="BT20" i="88"/>
  <c r="BT55" i="88"/>
  <c r="BT31" i="88"/>
  <c r="BT29" i="88"/>
  <c r="BT94" i="88"/>
  <c r="BT89" i="88"/>
  <c r="BT41" i="88"/>
  <c r="BT52" i="88"/>
  <c r="BT228" i="88"/>
  <c r="BT26" i="88"/>
  <c r="BT210" i="88"/>
  <c r="BT50" i="88"/>
  <c r="BT208" i="88"/>
  <c r="BT198" i="88"/>
  <c r="BT204" i="88"/>
  <c r="BT176" i="88"/>
  <c r="BT195" i="88"/>
  <c r="BT207" i="88"/>
  <c r="BT197" i="88"/>
  <c r="BT167" i="88"/>
  <c r="BT181" i="88"/>
  <c r="BT216" i="88"/>
  <c r="BT143" i="88"/>
  <c r="BT149" i="88"/>
  <c r="BT135" i="88"/>
  <c r="BT150" i="88"/>
  <c r="BT102" i="88"/>
  <c r="BT122" i="88"/>
  <c r="BT125" i="88"/>
  <c r="BT169" i="88"/>
  <c r="BT114" i="88"/>
  <c r="BT43" i="88"/>
  <c r="BT87" i="88"/>
  <c r="BT175" i="88"/>
  <c r="BT171" i="88"/>
  <c r="BT144" i="88"/>
  <c r="BT152" i="88"/>
  <c r="BT151" i="88"/>
  <c r="BT133" i="88"/>
  <c r="BT120" i="88"/>
  <c r="BT121" i="88"/>
  <c r="BT109" i="88"/>
  <c r="BT60" i="88"/>
  <c r="BT10" i="88"/>
  <c r="BT218" i="88"/>
  <c r="BT182" i="88"/>
  <c r="BT209" i="88"/>
  <c r="BT160" i="88"/>
  <c r="BT136" i="88"/>
  <c r="BT137" i="88"/>
  <c r="BT140" i="88"/>
  <c r="BT96" i="88"/>
  <c r="BT58" i="88"/>
  <c r="BT77" i="88"/>
  <c r="BT61" i="88"/>
  <c r="BT64" i="88"/>
  <c r="BT25" i="88"/>
  <c r="BT42" i="88"/>
  <c r="BT12" i="88"/>
  <c r="BT16" i="88"/>
  <c r="BT24" i="88"/>
  <c r="BT79" i="88"/>
  <c r="BT74" i="88"/>
  <c r="BT98" i="88"/>
  <c r="BT40" i="88"/>
  <c r="BT47" i="88"/>
  <c r="BT161" i="88"/>
  <c r="BT117" i="88"/>
  <c r="BT45" i="88"/>
  <c r="BT11" i="88"/>
  <c r="BT15" i="88"/>
  <c r="BT82" i="88"/>
  <c r="BT200" i="88"/>
  <c r="BT178" i="88"/>
  <c r="BT165" i="88"/>
  <c r="BT145" i="88"/>
  <c r="BT163" i="88"/>
  <c r="BT107" i="88"/>
  <c r="BT110" i="88"/>
  <c r="BT93" i="88"/>
  <c r="BT91" i="88"/>
  <c r="BT83" i="88"/>
  <c r="BT39" i="88"/>
  <c r="BT66" i="88"/>
  <c r="BT30" i="88"/>
  <c r="BT84" i="88"/>
  <c r="BT27" i="88"/>
  <c r="BT37" i="88"/>
  <c r="BT13" i="88"/>
  <c r="BT97" i="88"/>
  <c r="BT90" i="88"/>
  <c r="BT106" i="88"/>
  <c r="BT92" i="88"/>
  <c r="BT35" i="88"/>
  <c r="BT51" i="88"/>
  <c r="BT81" i="88"/>
  <c r="BT46" i="88"/>
  <c r="BT227" i="88"/>
  <c r="BT190" i="88"/>
  <c r="BT199" i="88"/>
  <c r="BT173" i="88"/>
  <c r="BT172" i="88"/>
  <c r="BT147" i="88"/>
  <c r="BT126" i="88"/>
  <c r="BT105" i="88"/>
  <c r="BT69" i="88"/>
  <c r="BT53" i="88"/>
  <c r="BT28" i="88"/>
  <c r="BT71" i="88"/>
  <c r="BT36" i="88"/>
  <c r="BT32" i="88"/>
  <c r="BT21" i="88"/>
  <c r="BT48" i="88"/>
  <c r="BT19" i="88"/>
  <c r="BT9" i="88"/>
  <c r="BT23" i="88"/>
  <c r="BT220" i="88"/>
  <c r="BT68" i="88"/>
  <c r="BT222" i="88"/>
  <c r="BT18" i="88"/>
  <c r="BT202" i="88"/>
  <c r="BT196" i="88"/>
  <c r="BT193" i="88"/>
  <c r="BT201" i="88"/>
  <c r="BT159" i="88"/>
  <c r="BT168" i="88"/>
  <c r="BT62" i="88"/>
  <c r="BT22" i="88"/>
  <c r="BT44" i="88"/>
  <c r="BT226" i="88"/>
  <c r="BT34" i="88"/>
  <c r="AN7" i="88"/>
  <c r="AM7" i="88" s="1"/>
  <c r="J26" i="87"/>
  <c r="B36" i="99"/>
  <c r="BI103" i="88" s="1"/>
  <c r="L17" i="99"/>
  <c r="L16" i="99"/>
  <c r="L9" i="99"/>
  <c r="O25" i="99"/>
  <c r="C14" i="84" s="1"/>
  <c r="B32" i="99"/>
  <c r="BE103" i="88" s="1"/>
  <c r="B34" i="99"/>
  <c r="BG103" i="88" s="1"/>
  <c r="B31" i="99"/>
  <c r="BD103" i="88" s="1"/>
  <c r="B35" i="99"/>
  <c r="BH103" i="88" s="1"/>
  <c r="B33" i="99"/>
  <c r="BF103" i="88" s="1"/>
  <c r="L13" i="99"/>
  <c r="L18" i="99"/>
  <c r="B36" i="87" l="1"/>
  <c r="B31" i="87"/>
  <c r="D29" i="87"/>
  <c r="B32" i="87"/>
  <c r="C35" i="87"/>
  <c r="B33" i="87"/>
  <c r="D30" i="87"/>
  <c r="C29" i="87"/>
  <c r="C36" i="87"/>
  <c r="B30" i="87"/>
  <c r="D36" i="87"/>
  <c r="B35" i="87"/>
  <c r="C32" i="87"/>
  <c r="C30" i="87"/>
  <c r="B29" i="87"/>
  <c r="BD67" i="88"/>
  <c r="BD82" i="88"/>
  <c r="BD232" i="88"/>
  <c r="BD217" i="88"/>
  <c r="BD194" i="88"/>
  <c r="BD190" i="88"/>
  <c r="BD204" i="88"/>
  <c r="BD184" i="88"/>
  <c r="BD174" i="88"/>
  <c r="BD213" i="88"/>
  <c r="BD182" i="88"/>
  <c r="BD211" i="88"/>
  <c r="BD199" i="88"/>
  <c r="BD205" i="88"/>
  <c r="BD177" i="88"/>
  <c r="BD165" i="88"/>
  <c r="BD216" i="88"/>
  <c r="BD180" i="88"/>
  <c r="BD187" i="88"/>
  <c r="BD148" i="88"/>
  <c r="BD75" i="88"/>
  <c r="BD73" i="88"/>
  <c r="BD84" i="88"/>
  <c r="BD221" i="88"/>
  <c r="BD186" i="88"/>
  <c r="BD208" i="88"/>
  <c r="BD196" i="88"/>
  <c r="BD176" i="88"/>
  <c r="BD203" i="88"/>
  <c r="BD167" i="88"/>
  <c r="BD201" i="88"/>
  <c r="BD191" i="88"/>
  <c r="BD189" i="88"/>
  <c r="BD173" i="88"/>
  <c r="BD179" i="88"/>
  <c r="BD149" i="88"/>
  <c r="BD139" i="88"/>
  <c r="BD228" i="88"/>
  <c r="BD212" i="88"/>
  <c r="BD48" i="88"/>
  <c r="BD227" i="88"/>
  <c r="BD218" i="88"/>
  <c r="BD210" i="88"/>
  <c r="BD10" i="88"/>
  <c r="BD62" i="88"/>
  <c r="BD50" i="88"/>
  <c r="BD223" i="88"/>
  <c r="BD202" i="88"/>
  <c r="BD192" i="88"/>
  <c r="BD198" i="88"/>
  <c r="BD230" i="88"/>
  <c r="BD178" i="88"/>
  <c r="BD207" i="88"/>
  <c r="BD185" i="88"/>
  <c r="BD175" i="88"/>
  <c r="BD197" i="88"/>
  <c r="BD164" i="88"/>
  <c r="BD209" i="88"/>
  <c r="BD172" i="88"/>
  <c r="BD143" i="88"/>
  <c r="BD160" i="88"/>
  <c r="BD145" i="88"/>
  <c r="BD138" i="88"/>
  <c r="BD131" i="88"/>
  <c r="BD171" i="88"/>
  <c r="BD200" i="88"/>
  <c r="BD231" i="88"/>
  <c r="BD188" i="88"/>
  <c r="BD159" i="88"/>
  <c r="BD124" i="88"/>
  <c r="BD154" i="88"/>
  <c r="BD156" i="88"/>
  <c r="BD129" i="88"/>
  <c r="BD113" i="88"/>
  <c r="BD107" i="88"/>
  <c r="BD122" i="88"/>
  <c r="BD110" i="88"/>
  <c r="BD121" i="88"/>
  <c r="BD162" i="88"/>
  <c r="BD96" i="88"/>
  <c r="BD76" i="88"/>
  <c r="BD43" i="88"/>
  <c r="BD206" i="88"/>
  <c r="BD195" i="88"/>
  <c r="BD193" i="88"/>
  <c r="BD224" i="88"/>
  <c r="BD166" i="88"/>
  <c r="BD144" i="88"/>
  <c r="BD152" i="88"/>
  <c r="BD161" i="88"/>
  <c r="BD123" i="88"/>
  <c r="BD137" i="88"/>
  <c r="BD102" i="88"/>
  <c r="BD140" i="88"/>
  <c r="BD133" i="88"/>
  <c r="BD104" i="88"/>
  <c r="BD106" i="88"/>
  <c r="BD88" i="88"/>
  <c r="BD108" i="88"/>
  <c r="BD130" i="88"/>
  <c r="BD125" i="88"/>
  <c r="BD105" i="88"/>
  <c r="BD151" i="88"/>
  <c r="BD116" i="88"/>
  <c r="BD114" i="88"/>
  <c r="BD64" i="88"/>
  <c r="BD60" i="88"/>
  <c r="BD72" i="88"/>
  <c r="BD78" i="88"/>
  <c r="BD155" i="88"/>
  <c r="BD153" i="88"/>
  <c r="BD136" i="88"/>
  <c r="BD142" i="88"/>
  <c r="BD150" i="88"/>
  <c r="BD168" i="88"/>
  <c r="BD169" i="88"/>
  <c r="BD111" i="88"/>
  <c r="BD120" i="88"/>
  <c r="BD132" i="88"/>
  <c r="BD109" i="88"/>
  <c r="BD119" i="88"/>
  <c r="BD65" i="88"/>
  <c r="BD181" i="88"/>
  <c r="BD127" i="88"/>
  <c r="BD100" i="88"/>
  <c r="BD112" i="88"/>
  <c r="BD91" i="88"/>
  <c r="BD83" i="88"/>
  <c r="BD40" i="88"/>
  <c r="BD36" i="88"/>
  <c r="BD19" i="88"/>
  <c r="BD81" i="88"/>
  <c r="BD79" i="88"/>
  <c r="BD94" i="88"/>
  <c r="BD23" i="88"/>
  <c r="BD183" i="88"/>
  <c r="BD157" i="88"/>
  <c r="BD134" i="88"/>
  <c r="BD118" i="88"/>
  <c r="BD99" i="88"/>
  <c r="BD69" i="88"/>
  <c r="BD53" i="88"/>
  <c r="BD93" i="88"/>
  <c r="BD77" i="88"/>
  <c r="BD66" i="88"/>
  <c r="BD33" i="88"/>
  <c r="BD8" i="88"/>
  <c r="BD61" i="88"/>
  <c r="BD30" i="88"/>
  <c r="BD51" i="88"/>
  <c r="BD42" i="88"/>
  <c r="BD27" i="88"/>
  <c r="BD12" i="88"/>
  <c r="BD59" i="88"/>
  <c r="BD44" i="88"/>
  <c r="BD25" i="88"/>
  <c r="BD22" i="88"/>
  <c r="BD16" i="88"/>
  <c r="BD9" i="88"/>
  <c r="BD29" i="88"/>
  <c r="BD226" i="88"/>
  <c r="BD31" i="88"/>
  <c r="BD220" i="88"/>
  <c r="BD163" i="88"/>
  <c r="BD126" i="88"/>
  <c r="BD71" i="88"/>
  <c r="BD87" i="88"/>
  <c r="BD56" i="88"/>
  <c r="BD49" i="88"/>
  <c r="BD86" i="88"/>
  <c r="BD32" i="88"/>
  <c r="BD38" i="88"/>
  <c r="BD28" i="88"/>
  <c r="BD24" i="88"/>
  <c r="BD17" i="88"/>
  <c r="BD58" i="88"/>
  <c r="BD21" i="88"/>
  <c r="BD11" i="88"/>
  <c r="BD45" i="88"/>
  <c r="BD13" i="88"/>
  <c r="BD15" i="88"/>
  <c r="BD34" i="88"/>
  <c r="BD98" i="88"/>
  <c r="BD89" i="88"/>
  <c r="BD20" i="88"/>
  <c r="BD68" i="88"/>
  <c r="BD90" i="88"/>
  <c r="BD214" i="88"/>
  <c r="BD70" i="88"/>
  <c r="BD39" i="88"/>
  <c r="BD52" i="88"/>
  <c r="BD18" i="88"/>
  <c r="BD41" i="88"/>
  <c r="BD46" i="88"/>
  <c r="BD74" i="88"/>
  <c r="BD55" i="88"/>
  <c r="BD117" i="88"/>
  <c r="BD57" i="88"/>
  <c r="BD26" i="88"/>
  <c r="BD14" i="88"/>
  <c r="BD47" i="88"/>
  <c r="BD85" i="88"/>
  <c r="BD92" i="88"/>
  <c r="BD35" i="88"/>
  <c r="BD37" i="88"/>
  <c r="BD222" i="88"/>
  <c r="BD170" i="88"/>
  <c r="BD135" i="88"/>
  <c r="BD95" i="88"/>
  <c r="BD80" i="88"/>
  <c r="BD147" i="88"/>
  <c r="BD63" i="88"/>
  <c r="BD97" i="88"/>
  <c r="BH73" i="88"/>
  <c r="BH230" i="88"/>
  <c r="BH228" i="88"/>
  <c r="BH212" i="88"/>
  <c r="BH202" i="88"/>
  <c r="BH221" i="88"/>
  <c r="BH208" i="88"/>
  <c r="BH190" i="88"/>
  <c r="BH197" i="88"/>
  <c r="BH224" i="88"/>
  <c r="BH216" i="88"/>
  <c r="BH172" i="88"/>
  <c r="BH182" i="88"/>
  <c r="BH185" i="88"/>
  <c r="BH199" i="88"/>
  <c r="BH183" i="88"/>
  <c r="BH211" i="88"/>
  <c r="BH162" i="88"/>
  <c r="BH166" i="88"/>
  <c r="BH155" i="88"/>
  <c r="BH22" i="88"/>
  <c r="BH50" i="88"/>
  <c r="BH218" i="88"/>
  <c r="BH232" i="88"/>
  <c r="BH204" i="88"/>
  <c r="BH217" i="88"/>
  <c r="BH194" i="88"/>
  <c r="BH200" i="88"/>
  <c r="BH174" i="88"/>
  <c r="BH180" i="88"/>
  <c r="BH209" i="88"/>
  <c r="BH207" i="88"/>
  <c r="BH187" i="88"/>
  <c r="BH177" i="88"/>
  <c r="BH175" i="88"/>
  <c r="BH195" i="88"/>
  <c r="BH156" i="88"/>
  <c r="BH140" i="88"/>
  <c r="BH143" i="88"/>
  <c r="BH160" i="88"/>
  <c r="BH145" i="88"/>
  <c r="BH138" i="88"/>
  <c r="BH131" i="88"/>
  <c r="BH171" i="88"/>
  <c r="BH223" i="88"/>
  <c r="BH14" i="88"/>
  <c r="BH196" i="88"/>
  <c r="BH67" i="88"/>
  <c r="BH231" i="88"/>
  <c r="BH188" i="88"/>
  <c r="BH227" i="88"/>
  <c r="BH210" i="88"/>
  <c r="BH198" i="88"/>
  <c r="BH178" i="88"/>
  <c r="BH176" i="88"/>
  <c r="BH205" i="88"/>
  <c r="BH186" i="88"/>
  <c r="BH193" i="88"/>
  <c r="BH191" i="88"/>
  <c r="BH181" i="88"/>
  <c r="BH150" i="88"/>
  <c r="BH151" i="88"/>
  <c r="BH167" i="88"/>
  <c r="BH123" i="88"/>
  <c r="BH170" i="88"/>
  <c r="BH153" i="88"/>
  <c r="BH144" i="88"/>
  <c r="BH124" i="88"/>
  <c r="BH169" i="88"/>
  <c r="BH164" i="88"/>
  <c r="BH147" i="88"/>
  <c r="BH96" i="88"/>
  <c r="BH129" i="88"/>
  <c r="BH113" i="88"/>
  <c r="BH107" i="88"/>
  <c r="BH126" i="88"/>
  <c r="BH110" i="88"/>
  <c r="BH121" i="88"/>
  <c r="BH83" i="88"/>
  <c r="BH75" i="88"/>
  <c r="BH76" i="88"/>
  <c r="BH206" i="88"/>
  <c r="BH214" i="88"/>
  <c r="BH184" i="88"/>
  <c r="BH201" i="88"/>
  <c r="BH132" i="88"/>
  <c r="BH149" i="88"/>
  <c r="BH159" i="88"/>
  <c r="BH136" i="88"/>
  <c r="BH173" i="88"/>
  <c r="BH134" i="88"/>
  <c r="BH116" i="88"/>
  <c r="BH137" i="88"/>
  <c r="BH102" i="88"/>
  <c r="BH152" i="88"/>
  <c r="BH122" i="88"/>
  <c r="BH100" i="88"/>
  <c r="BH142" i="88"/>
  <c r="BH130" i="88"/>
  <c r="BH125" i="88"/>
  <c r="BH105" i="88"/>
  <c r="BH92" i="88"/>
  <c r="BH77" i="88"/>
  <c r="BH66" i="88"/>
  <c r="BH65" i="88"/>
  <c r="BH60" i="88"/>
  <c r="BH58" i="88"/>
  <c r="BH179" i="88"/>
  <c r="BH148" i="88"/>
  <c r="BH154" i="88"/>
  <c r="BH109" i="88"/>
  <c r="BH119" i="88"/>
  <c r="BH168" i="88"/>
  <c r="BH133" i="88"/>
  <c r="BH104" i="88"/>
  <c r="BH106" i="88"/>
  <c r="BH88" i="88"/>
  <c r="BH108" i="88"/>
  <c r="BH117" i="88"/>
  <c r="BH93" i="88"/>
  <c r="BH86" i="88"/>
  <c r="BH69" i="88"/>
  <c r="BH84" i="88"/>
  <c r="BH71" i="88"/>
  <c r="BH192" i="88"/>
  <c r="BH213" i="88"/>
  <c r="BH165" i="88"/>
  <c r="BH189" i="88"/>
  <c r="BH161" i="88"/>
  <c r="BH163" i="88"/>
  <c r="BH118" i="88"/>
  <c r="BH63" i="88"/>
  <c r="BH64" i="88"/>
  <c r="BH59" i="88"/>
  <c r="BH114" i="88"/>
  <c r="BH78" i="88"/>
  <c r="BH87" i="88"/>
  <c r="BH85" i="88"/>
  <c r="BH80" i="88"/>
  <c r="BH48" i="88"/>
  <c r="BH13" i="88"/>
  <c r="BH62" i="88"/>
  <c r="BH28" i="88"/>
  <c r="BH33" i="88"/>
  <c r="BH8" i="88"/>
  <c r="BH57" i="88"/>
  <c r="BH38" i="88"/>
  <c r="BH36" i="88"/>
  <c r="BH11" i="88"/>
  <c r="BH10" i="88"/>
  <c r="BH81" i="88"/>
  <c r="BH112" i="88"/>
  <c r="BH99" i="88"/>
  <c r="BH72" i="88"/>
  <c r="BH91" i="88"/>
  <c r="BH53" i="88"/>
  <c r="BH37" i="88"/>
  <c r="BH52" i="88"/>
  <c r="BH32" i="88"/>
  <c r="BH39" i="88"/>
  <c r="BH61" i="88"/>
  <c r="BH40" i="88"/>
  <c r="BH82" i="88"/>
  <c r="BH51" i="88"/>
  <c r="BH42" i="88"/>
  <c r="BH74" i="88"/>
  <c r="BH89" i="88"/>
  <c r="BH222" i="88"/>
  <c r="BH20" i="88"/>
  <c r="BH34" i="88"/>
  <c r="BH139" i="88"/>
  <c r="BH135" i="88"/>
  <c r="BH127" i="88"/>
  <c r="BH157" i="88"/>
  <c r="BH95" i="88"/>
  <c r="BH111" i="88"/>
  <c r="BH120" i="88"/>
  <c r="BH43" i="88"/>
  <c r="BH49" i="88"/>
  <c r="BH44" i="88"/>
  <c r="BH26" i="88"/>
  <c r="BH21" i="88"/>
  <c r="BH9" i="88"/>
  <c r="BH16" i="88"/>
  <c r="BH226" i="88"/>
  <c r="BH90" i="88"/>
  <c r="BH98" i="88"/>
  <c r="BH15" i="88"/>
  <c r="BH55" i="88"/>
  <c r="BH18" i="88"/>
  <c r="BH97" i="88"/>
  <c r="BH12" i="88"/>
  <c r="BH70" i="88"/>
  <c r="BH30" i="88"/>
  <c r="BH25" i="88"/>
  <c r="BH23" i="88"/>
  <c r="BH68" i="88"/>
  <c r="BH29" i="88"/>
  <c r="BH17" i="88"/>
  <c r="BH94" i="88"/>
  <c r="BH24" i="88"/>
  <c r="BH35" i="88"/>
  <c r="BH19" i="88"/>
  <c r="BH56" i="88"/>
  <c r="BH45" i="88"/>
  <c r="BH41" i="88"/>
  <c r="BH47" i="88"/>
  <c r="BH79" i="88"/>
  <c r="BH31" i="88"/>
  <c r="BH220" i="88"/>
  <c r="BH46" i="88"/>
  <c r="BH203" i="88"/>
  <c r="BH27" i="88"/>
  <c r="BG25" i="88"/>
  <c r="BG227" i="88"/>
  <c r="BG221" i="88"/>
  <c r="BG186" i="88"/>
  <c r="BG217" i="88"/>
  <c r="BG208" i="88"/>
  <c r="BG196" i="88"/>
  <c r="BG176" i="88"/>
  <c r="BG197" i="88"/>
  <c r="BG187" i="88"/>
  <c r="BG209" i="88"/>
  <c r="BG195" i="88"/>
  <c r="BG189" i="88"/>
  <c r="BG175" i="88"/>
  <c r="BG123" i="88"/>
  <c r="BG149" i="88"/>
  <c r="BG140" i="88"/>
  <c r="BG139" i="88"/>
  <c r="BG228" i="88"/>
  <c r="BG212" i="88"/>
  <c r="BG9" i="88"/>
  <c r="BG57" i="88"/>
  <c r="BG210" i="88"/>
  <c r="BG200" i="88"/>
  <c r="BG206" i="88"/>
  <c r="BG188" i="88"/>
  <c r="BG214" i="88"/>
  <c r="BG193" i="88"/>
  <c r="BG179" i="88"/>
  <c r="BG167" i="88"/>
  <c r="BG207" i="88"/>
  <c r="BG181" i="88"/>
  <c r="BG166" i="88"/>
  <c r="BG132" i="88"/>
  <c r="BG170" i="88"/>
  <c r="BG153" i="88"/>
  <c r="BG124" i="88"/>
  <c r="BG169" i="88"/>
  <c r="BG154" i="88"/>
  <c r="BG61" i="88"/>
  <c r="BG224" i="88"/>
  <c r="BG27" i="88"/>
  <c r="BG230" i="88"/>
  <c r="BG218" i="88"/>
  <c r="BG231" i="88"/>
  <c r="BG202" i="88"/>
  <c r="BG17" i="88"/>
  <c r="BG194" i="88"/>
  <c r="BG232" i="88"/>
  <c r="BG190" i="88"/>
  <c r="BG204" i="88"/>
  <c r="BG184" i="88"/>
  <c r="BG213" i="88"/>
  <c r="BG182" i="88"/>
  <c r="BG199" i="88"/>
  <c r="BG177" i="88"/>
  <c r="BG211" i="88"/>
  <c r="BG165" i="88"/>
  <c r="BG183" i="88"/>
  <c r="BG201" i="88"/>
  <c r="BG223" i="88"/>
  <c r="BG178" i="88"/>
  <c r="BG180" i="88"/>
  <c r="BG205" i="88"/>
  <c r="BG164" i="88"/>
  <c r="BG143" i="88"/>
  <c r="BG160" i="88"/>
  <c r="BG145" i="88"/>
  <c r="BG171" i="88"/>
  <c r="BG159" i="88"/>
  <c r="BG152" i="88"/>
  <c r="BG136" i="88"/>
  <c r="BG161" i="88"/>
  <c r="BG137" i="88"/>
  <c r="BG133" i="88"/>
  <c r="BG106" i="88"/>
  <c r="BG95" i="88"/>
  <c r="BG108" i="88"/>
  <c r="BG130" i="88"/>
  <c r="BG125" i="88"/>
  <c r="BG116" i="88"/>
  <c r="BG104" i="88"/>
  <c r="BG99" i="88"/>
  <c r="BG105" i="88"/>
  <c r="BG114" i="88"/>
  <c r="BG70" i="88"/>
  <c r="BG72" i="88"/>
  <c r="BG100" i="88"/>
  <c r="BG192" i="88"/>
  <c r="BG174" i="88"/>
  <c r="BG203" i="88"/>
  <c r="BG138" i="88"/>
  <c r="BG155" i="88"/>
  <c r="BG142" i="88"/>
  <c r="BG150" i="88"/>
  <c r="BG109" i="88"/>
  <c r="BG168" i="88"/>
  <c r="BG111" i="88"/>
  <c r="BG120" i="88"/>
  <c r="BG147" i="88"/>
  <c r="BG119" i="88"/>
  <c r="BG117" i="88"/>
  <c r="BG80" i="88"/>
  <c r="BG86" i="88"/>
  <c r="BG52" i="88"/>
  <c r="BG198" i="88"/>
  <c r="BG185" i="88"/>
  <c r="BG191" i="88"/>
  <c r="BG131" i="88"/>
  <c r="BG135" i="88"/>
  <c r="BG127" i="88"/>
  <c r="BG157" i="88"/>
  <c r="BG134" i="88"/>
  <c r="BG172" i="88"/>
  <c r="BG163" i="88"/>
  <c r="BG96" i="88"/>
  <c r="BG118" i="88"/>
  <c r="BG102" i="88"/>
  <c r="BG112" i="88"/>
  <c r="BG92" i="88"/>
  <c r="BG75" i="88"/>
  <c r="BG58" i="88"/>
  <c r="BG144" i="88"/>
  <c r="BG162" i="88"/>
  <c r="BG83" i="88"/>
  <c r="BG62" i="88"/>
  <c r="BG77" i="88"/>
  <c r="BG82" i="88"/>
  <c r="BG8" i="88"/>
  <c r="BG53" i="88"/>
  <c r="BG56" i="88"/>
  <c r="BG44" i="88"/>
  <c r="BG42" i="88"/>
  <c r="BG13" i="88"/>
  <c r="BG12" i="88"/>
  <c r="BG66" i="88"/>
  <c r="BG10" i="88"/>
  <c r="BG89" i="88"/>
  <c r="BG216" i="88"/>
  <c r="BG173" i="88"/>
  <c r="BG122" i="88"/>
  <c r="BG126" i="88"/>
  <c r="BG93" i="88"/>
  <c r="BG67" i="88"/>
  <c r="BG59" i="88"/>
  <c r="BG85" i="88"/>
  <c r="BG50" i="88"/>
  <c r="BG32" i="88"/>
  <c r="BG40" i="88"/>
  <c r="BG45" i="88"/>
  <c r="BG38" i="88"/>
  <c r="BG19" i="88"/>
  <c r="BG43" i="88"/>
  <c r="BG11" i="88"/>
  <c r="BG24" i="88"/>
  <c r="BG14" i="88"/>
  <c r="BG16" i="88"/>
  <c r="BG94" i="88"/>
  <c r="BG31" i="88"/>
  <c r="BG47" i="88"/>
  <c r="BG41" i="88"/>
  <c r="BG97" i="88"/>
  <c r="BG68" i="88"/>
  <c r="BG74" i="88"/>
  <c r="BG90" i="88"/>
  <c r="BG151" i="88"/>
  <c r="BG129" i="88"/>
  <c r="BG107" i="88"/>
  <c r="BG88" i="88"/>
  <c r="BG76" i="88"/>
  <c r="BG78" i="88"/>
  <c r="BG69" i="88"/>
  <c r="BG49" i="88"/>
  <c r="BG91" i="88"/>
  <c r="BG39" i="88"/>
  <c r="BG35" i="88"/>
  <c r="BG30" i="88"/>
  <c r="BG84" i="88"/>
  <c r="BG48" i="88"/>
  <c r="BG22" i="88"/>
  <c r="BG21" i="88"/>
  <c r="BG55" i="88"/>
  <c r="BG79" i="88"/>
  <c r="BG23" i="88"/>
  <c r="BG81" i="88"/>
  <c r="BG220" i="88"/>
  <c r="BG148" i="88"/>
  <c r="BG156" i="88"/>
  <c r="BG113" i="88"/>
  <c r="BG121" i="88"/>
  <c r="BG33" i="88"/>
  <c r="BG36" i="88"/>
  <c r="BG37" i="88"/>
  <c r="BG15" i="88"/>
  <c r="BG29" i="88"/>
  <c r="BG98" i="88"/>
  <c r="BG222" i="88"/>
  <c r="BG51" i="88"/>
  <c r="BG71" i="88"/>
  <c r="BG18" i="88"/>
  <c r="BG63" i="88"/>
  <c r="BG46" i="88"/>
  <c r="BG64" i="88"/>
  <c r="BG87" i="88"/>
  <c r="BG226" i="88"/>
  <c r="BG34" i="88"/>
  <c r="BG65" i="88"/>
  <c r="BG60" i="88"/>
  <c r="BG28" i="88"/>
  <c r="BG26" i="88"/>
  <c r="BG20" i="88"/>
  <c r="BG110" i="88"/>
  <c r="BG73" i="88"/>
  <c r="BF228" i="88"/>
  <c r="BF212" i="88"/>
  <c r="BF42" i="88"/>
  <c r="BF73" i="88"/>
  <c r="BF200" i="88"/>
  <c r="BF206" i="88"/>
  <c r="BF188" i="88"/>
  <c r="BF186" i="88"/>
  <c r="BF214" i="88"/>
  <c r="BF193" i="88"/>
  <c r="BF179" i="88"/>
  <c r="BF201" i="88"/>
  <c r="BF167" i="88"/>
  <c r="BF181" i="88"/>
  <c r="BF132" i="88"/>
  <c r="BF153" i="88"/>
  <c r="BF69" i="88"/>
  <c r="BF172" i="88"/>
  <c r="BF12" i="88"/>
  <c r="BF210" i="88"/>
  <c r="BF192" i="88"/>
  <c r="BF231" i="88"/>
  <c r="BF217" i="88"/>
  <c r="BF198" i="88"/>
  <c r="BF178" i="88"/>
  <c r="BF174" i="88"/>
  <c r="BF223" i="88"/>
  <c r="BF216" i="88"/>
  <c r="BF185" i="88"/>
  <c r="BF180" i="88"/>
  <c r="BF224" i="88"/>
  <c r="BF199" i="88"/>
  <c r="BF191" i="88"/>
  <c r="BF164" i="88"/>
  <c r="BF211" i="88"/>
  <c r="BF150" i="88"/>
  <c r="BF160" i="88"/>
  <c r="BF151" i="88"/>
  <c r="BF145" i="88"/>
  <c r="BF138" i="88"/>
  <c r="BF24" i="88"/>
  <c r="BF218" i="88"/>
  <c r="BF91" i="88"/>
  <c r="BF8" i="88"/>
  <c r="BF221" i="88"/>
  <c r="BF56" i="88"/>
  <c r="BF232" i="88"/>
  <c r="BF75" i="88"/>
  <c r="BF16" i="88"/>
  <c r="BF227" i="88"/>
  <c r="BF82" i="88"/>
  <c r="BF208" i="88"/>
  <c r="BF194" i="88"/>
  <c r="BF230" i="88"/>
  <c r="BF196" i="88"/>
  <c r="BF176" i="88"/>
  <c r="BF205" i="88"/>
  <c r="BF187" i="88"/>
  <c r="BF203" i="88"/>
  <c r="BF189" i="88"/>
  <c r="BF175" i="88"/>
  <c r="BF173" i="88"/>
  <c r="BF182" i="88"/>
  <c r="BF149" i="88"/>
  <c r="BF140" i="88"/>
  <c r="BF143" i="88"/>
  <c r="BF184" i="88"/>
  <c r="BF207" i="88"/>
  <c r="BF195" i="88"/>
  <c r="BF155" i="88"/>
  <c r="BF142" i="88"/>
  <c r="BF154" i="88"/>
  <c r="BF123" i="88"/>
  <c r="BF109" i="88"/>
  <c r="BF111" i="88"/>
  <c r="BF102" i="88"/>
  <c r="BF88" i="88"/>
  <c r="BF108" i="88"/>
  <c r="BF119" i="88"/>
  <c r="BF117" i="88"/>
  <c r="BF63" i="88"/>
  <c r="BF120" i="88"/>
  <c r="BF165" i="88"/>
  <c r="BF169" i="88"/>
  <c r="BF139" i="88"/>
  <c r="BF127" i="88"/>
  <c r="BF157" i="88"/>
  <c r="BF134" i="88"/>
  <c r="BF135" i="88"/>
  <c r="BF163" i="88"/>
  <c r="BF118" i="88"/>
  <c r="BF147" i="88"/>
  <c r="BF168" i="88"/>
  <c r="BF112" i="88"/>
  <c r="BF99" i="88"/>
  <c r="BF100" i="88"/>
  <c r="BF93" i="88"/>
  <c r="BF83" i="88"/>
  <c r="BF76" i="88"/>
  <c r="BF72" i="88"/>
  <c r="BF58" i="88"/>
  <c r="BF45" i="88"/>
  <c r="BF92" i="88"/>
  <c r="BF204" i="88"/>
  <c r="BF213" i="88"/>
  <c r="BF183" i="88"/>
  <c r="BF162" i="88"/>
  <c r="BF148" i="88"/>
  <c r="BF131" i="88"/>
  <c r="BF170" i="88"/>
  <c r="BF144" i="88"/>
  <c r="BF156" i="88"/>
  <c r="BF107" i="88"/>
  <c r="BF129" i="88"/>
  <c r="BF113" i="88"/>
  <c r="BF122" i="88"/>
  <c r="BF95" i="88"/>
  <c r="BF126" i="88"/>
  <c r="BF110" i="88"/>
  <c r="BF96" i="88"/>
  <c r="BF121" i="88"/>
  <c r="BF80" i="88"/>
  <c r="BF84" i="88"/>
  <c r="BF171" i="88"/>
  <c r="BF159" i="88"/>
  <c r="BF136" i="88"/>
  <c r="BF104" i="88"/>
  <c r="BF130" i="88"/>
  <c r="BF125" i="88"/>
  <c r="BF64" i="88"/>
  <c r="BF67" i="88"/>
  <c r="BF53" i="88"/>
  <c r="BF77" i="88"/>
  <c r="BF40" i="88"/>
  <c r="BF62" i="88"/>
  <c r="BF38" i="88"/>
  <c r="BF19" i="88"/>
  <c r="BF61" i="88"/>
  <c r="BF30" i="88"/>
  <c r="BF51" i="88"/>
  <c r="BF22" i="88"/>
  <c r="BF11" i="88"/>
  <c r="BF44" i="88"/>
  <c r="BF14" i="88"/>
  <c r="BF190" i="88"/>
  <c r="BF177" i="88"/>
  <c r="BF209" i="88"/>
  <c r="BF166" i="88"/>
  <c r="BF161" i="88"/>
  <c r="BF137" i="88"/>
  <c r="BF133" i="88"/>
  <c r="BF114" i="88"/>
  <c r="BF59" i="88"/>
  <c r="BF35" i="88"/>
  <c r="BF26" i="88"/>
  <c r="BF25" i="88"/>
  <c r="BF71" i="88"/>
  <c r="BF52" i="88"/>
  <c r="BF21" i="88"/>
  <c r="BF17" i="88"/>
  <c r="BF28" i="88"/>
  <c r="BF15" i="88"/>
  <c r="BF10" i="88"/>
  <c r="BF79" i="88"/>
  <c r="BF98" i="88"/>
  <c r="BF23" i="88"/>
  <c r="BF46" i="88"/>
  <c r="BF31" i="88"/>
  <c r="BF202" i="88"/>
  <c r="BF197" i="88"/>
  <c r="BF124" i="88"/>
  <c r="BF152" i="88"/>
  <c r="BF106" i="88"/>
  <c r="BF78" i="88"/>
  <c r="BF65" i="88"/>
  <c r="BF70" i="88"/>
  <c r="BF87" i="88"/>
  <c r="BF33" i="88"/>
  <c r="BF13" i="88"/>
  <c r="BF66" i="88"/>
  <c r="BF49" i="88"/>
  <c r="BF36" i="88"/>
  <c r="BF32" i="88"/>
  <c r="BF37" i="88"/>
  <c r="BF20" i="88"/>
  <c r="BF94" i="88"/>
  <c r="BF18" i="88"/>
  <c r="BF34" i="88"/>
  <c r="BF226" i="88"/>
  <c r="BF116" i="88"/>
  <c r="BF43" i="88"/>
  <c r="BF60" i="88"/>
  <c r="BF89" i="88"/>
  <c r="BF41" i="88"/>
  <c r="BF47" i="88"/>
  <c r="BF222" i="88"/>
  <c r="BF29" i="88"/>
  <c r="BF220" i="88"/>
  <c r="BF74" i="88"/>
  <c r="BF86" i="88"/>
  <c r="BF48" i="88"/>
  <c r="BF55" i="88"/>
  <c r="BF27" i="88"/>
  <c r="BF81" i="88"/>
  <c r="BF105" i="88"/>
  <c r="BF85" i="88"/>
  <c r="BF39" i="88"/>
  <c r="BF9" i="88"/>
  <c r="BF97" i="88"/>
  <c r="BF90" i="88"/>
  <c r="BF68" i="88"/>
  <c r="BF57" i="88"/>
  <c r="BF50" i="88"/>
  <c r="BE59" i="88"/>
  <c r="BE44" i="88"/>
  <c r="BE51" i="88"/>
  <c r="BE210" i="88"/>
  <c r="BE192" i="88"/>
  <c r="BE228" i="88"/>
  <c r="BE198" i="88"/>
  <c r="BE178" i="88"/>
  <c r="BE174" i="88"/>
  <c r="BE205" i="88"/>
  <c r="BE180" i="88"/>
  <c r="BE193" i="88"/>
  <c r="BE207" i="88"/>
  <c r="BE191" i="88"/>
  <c r="BE164" i="88"/>
  <c r="BE181" i="88"/>
  <c r="BE150" i="88"/>
  <c r="BE160" i="88"/>
  <c r="BE151" i="88"/>
  <c r="BE145" i="88"/>
  <c r="BE149" i="88"/>
  <c r="BE19" i="88"/>
  <c r="BE230" i="88"/>
  <c r="BE227" i="88"/>
  <c r="BE11" i="88"/>
  <c r="BE221" i="88"/>
  <c r="BE217" i="88"/>
  <c r="BE202" i="88"/>
  <c r="BE223" i="88"/>
  <c r="BE204" i="88"/>
  <c r="BE190" i="88"/>
  <c r="BE184" i="88"/>
  <c r="BE186" i="88"/>
  <c r="BE197" i="88"/>
  <c r="BE216" i="88"/>
  <c r="BE185" i="88"/>
  <c r="BE182" i="88"/>
  <c r="BE183" i="88"/>
  <c r="BE203" i="88"/>
  <c r="BE162" i="88"/>
  <c r="BE166" i="88"/>
  <c r="BE155" i="88"/>
  <c r="BE148" i="88"/>
  <c r="BE224" i="88"/>
  <c r="BE61" i="88"/>
  <c r="BE218" i="88"/>
  <c r="BE212" i="88"/>
  <c r="BE27" i="88"/>
  <c r="BE171" i="88"/>
  <c r="BE200" i="88"/>
  <c r="BE15" i="88"/>
  <c r="BE206" i="88"/>
  <c r="BE188" i="88"/>
  <c r="BE214" i="88"/>
  <c r="BE213" i="88"/>
  <c r="BE201" i="88"/>
  <c r="BE179" i="88"/>
  <c r="BE195" i="88"/>
  <c r="BE167" i="88"/>
  <c r="BE165" i="88"/>
  <c r="BE189" i="88"/>
  <c r="BE161" i="88"/>
  <c r="BE132" i="88"/>
  <c r="BE137" i="88"/>
  <c r="BE194" i="88"/>
  <c r="BE209" i="88"/>
  <c r="BE211" i="88"/>
  <c r="BE177" i="88"/>
  <c r="BE173" i="88"/>
  <c r="BE140" i="88"/>
  <c r="BE143" i="88"/>
  <c r="BE139" i="88"/>
  <c r="BE127" i="88"/>
  <c r="BE135" i="88"/>
  <c r="BE163" i="88"/>
  <c r="BE157" i="88"/>
  <c r="BE118" i="88"/>
  <c r="BE147" i="88"/>
  <c r="BE111" i="88"/>
  <c r="BE168" i="88"/>
  <c r="BE102" i="88"/>
  <c r="BE112" i="88"/>
  <c r="BE92" i="88"/>
  <c r="BE80" i="88"/>
  <c r="BE78" i="88"/>
  <c r="BE176" i="88"/>
  <c r="BE187" i="88"/>
  <c r="BE138" i="88"/>
  <c r="BE131" i="88"/>
  <c r="BE170" i="88"/>
  <c r="BE153" i="88"/>
  <c r="BE144" i="88"/>
  <c r="BE124" i="88"/>
  <c r="BE156" i="88"/>
  <c r="BE142" i="88"/>
  <c r="BE134" i="88"/>
  <c r="BE129" i="88"/>
  <c r="BE113" i="88"/>
  <c r="BE122" i="88"/>
  <c r="BE107" i="88"/>
  <c r="BE126" i="88"/>
  <c r="BE110" i="88"/>
  <c r="BE172" i="88"/>
  <c r="BE104" i="88"/>
  <c r="BE121" i="88"/>
  <c r="BE85" i="88"/>
  <c r="BE232" i="88"/>
  <c r="BE231" i="88"/>
  <c r="BE199" i="88"/>
  <c r="BE159" i="88"/>
  <c r="BE152" i="88"/>
  <c r="BE136" i="88"/>
  <c r="BE123" i="88"/>
  <c r="BE116" i="88"/>
  <c r="BE133" i="88"/>
  <c r="BE106" i="88"/>
  <c r="BE99" i="88"/>
  <c r="BE130" i="88"/>
  <c r="BE125" i="88"/>
  <c r="BE95" i="88"/>
  <c r="BE105" i="88"/>
  <c r="BE100" i="88"/>
  <c r="BE114" i="88"/>
  <c r="BE64" i="88"/>
  <c r="BE63" i="88"/>
  <c r="BE65" i="88"/>
  <c r="BE43" i="88"/>
  <c r="BE208" i="88"/>
  <c r="BE119" i="88"/>
  <c r="BE117" i="88"/>
  <c r="BE83" i="88"/>
  <c r="BE60" i="88"/>
  <c r="BE72" i="88"/>
  <c r="BE71" i="88"/>
  <c r="BE56" i="88"/>
  <c r="BE32" i="88"/>
  <c r="BE35" i="88"/>
  <c r="BE17" i="88"/>
  <c r="BE14" i="88"/>
  <c r="BE24" i="88"/>
  <c r="BE10" i="88"/>
  <c r="BE41" i="88"/>
  <c r="BE109" i="88"/>
  <c r="BE84" i="88"/>
  <c r="BE75" i="88"/>
  <c r="BE69" i="88"/>
  <c r="BE62" i="88"/>
  <c r="BE93" i="88"/>
  <c r="BE70" i="88"/>
  <c r="BE82" i="88"/>
  <c r="BE87" i="88"/>
  <c r="BE13" i="88"/>
  <c r="BE8" i="88"/>
  <c r="BE38" i="88"/>
  <c r="BE36" i="88"/>
  <c r="BE45" i="88"/>
  <c r="BE37" i="88"/>
  <c r="BE12" i="88"/>
  <c r="BE9" i="88"/>
  <c r="BE89" i="88"/>
  <c r="BE81" i="88"/>
  <c r="BE68" i="88"/>
  <c r="BE175" i="88"/>
  <c r="BE154" i="88"/>
  <c r="BE96" i="88"/>
  <c r="BE58" i="88"/>
  <c r="BE86" i="88"/>
  <c r="BE67" i="88"/>
  <c r="BE73" i="88"/>
  <c r="BE120" i="88"/>
  <c r="BE91" i="88"/>
  <c r="BE50" i="88"/>
  <c r="BE39" i="88"/>
  <c r="BE21" i="88"/>
  <c r="BE25" i="88"/>
  <c r="BE30" i="88"/>
  <c r="BE28" i="88"/>
  <c r="BE33" i="88"/>
  <c r="BE57" i="88"/>
  <c r="BE22" i="88"/>
  <c r="BE16" i="88"/>
  <c r="BE74" i="88"/>
  <c r="BE55" i="88"/>
  <c r="BE90" i="88"/>
  <c r="BE29" i="88"/>
  <c r="BE226" i="88"/>
  <c r="BE169" i="88"/>
  <c r="BE77" i="88"/>
  <c r="BE53" i="88"/>
  <c r="BE49" i="88"/>
  <c r="BE47" i="88"/>
  <c r="BE40" i="88"/>
  <c r="BE34" i="88"/>
  <c r="BE220" i="88"/>
  <c r="BE97" i="88"/>
  <c r="BE18" i="88"/>
  <c r="BE196" i="88"/>
  <c r="BE52" i="88"/>
  <c r="BE48" i="88"/>
  <c r="BE42" i="88"/>
  <c r="BE79" i="88"/>
  <c r="BE94" i="88"/>
  <c r="BE222" i="88"/>
  <c r="BE20" i="88"/>
  <c r="BE46" i="88"/>
  <c r="BE76" i="88"/>
  <c r="BE66" i="88"/>
  <c r="BE26" i="88"/>
  <c r="BE23" i="88"/>
  <c r="BE88" i="88"/>
  <c r="BE108" i="88"/>
  <c r="BE98" i="88"/>
  <c r="BE31" i="88"/>
  <c r="BI218" i="88"/>
  <c r="BI19" i="88"/>
  <c r="BI59" i="88"/>
  <c r="BI206" i="88"/>
  <c r="BI188" i="88"/>
  <c r="BI202" i="88"/>
  <c r="BI176" i="88"/>
  <c r="BI182" i="88"/>
  <c r="BI211" i="88"/>
  <c r="BI189" i="88"/>
  <c r="BI174" i="88"/>
  <c r="BI179" i="88"/>
  <c r="BI177" i="88"/>
  <c r="BI205" i="88"/>
  <c r="BI154" i="88"/>
  <c r="BI142" i="88"/>
  <c r="BI217" i="88"/>
  <c r="BI228" i="88"/>
  <c r="BI198" i="88"/>
  <c r="BI232" i="88"/>
  <c r="BI208" i="88"/>
  <c r="BI194" i="88"/>
  <c r="BI212" i="88"/>
  <c r="BI216" i="88"/>
  <c r="BI214" i="88"/>
  <c r="BI203" i="88"/>
  <c r="BI201" i="88"/>
  <c r="BI181" i="88"/>
  <c r="BI213" i="88"/>
  <c r="BI167" i="88"/>
  <c r="BI191" i="88"/>
  <c r="BI135" i="88"/>
  <c r="BI163" i="88"/>
  <c r="BI157" i="88"/>
  <c r="BI147" i="88"/>
  <c r="BI134" i="88"/>
  <c r="BI161" i="88"/>
  <c r="BI132" i="88"/>
  <c r="BI171" i="88"/>
  <c r="BI223" i="88"/>
  <c r="BI204" i="88"/>
  <c r="BI190" i="88"/>
  <c r="BI72" i="88"/>
  <c r="BI230" i="88"/>
  <c r="BI25" i="88"/>
  <c r="BI26" i="88"/>
  <c r="BI196" i="88"/>
  <c r="BI210" i="88"/>
  <c r="BI192" i="88"/>
  <c r="BI221" i="88"/>
  <c r="BI184" i="88"/>
  <c r="BI199" i="88"/>
  <c r="BI187" i="88"/>
  <c r="BI186" i="88"/>
  <c r="BI224" i="88"/>
  <c r="BI209" i="88"/>
  <c r="BI185" i="88"/>
  <c r="BI175" i="88"/>
  <c r="BI172" i="88"/>
  <c r="BI231" i="88"/>
  <c r="BI143" i="88"/>
  <c r="BI123" i="88"/>
  <c r="BI138" i="88"/>
  <c r="BI131" i="88"/>
  <c r="BI139" i="88"/>
  <c r="BI127" i="88"/>
  <c r="BI168" i="88"/>
  <c r="BI112" i="88"/>
  <c r="BI118" i="88"/>
  <c r="BI153" i="88"/>
  <c r="BI144" i="88"/>
  <c r="BI88" i="88"/>
  <c r="BI152" i="88"/>
  <c r="BI136" i="88"/>
  <c r="BI111" i="88"/>
  <c r="BI120" i="88"/>
  <c r="BI92" i="88"/>
  <c r="BI200" i="88"/>
  <c r="BI178" i="88"/>
  <c r="BI195" i="88"/>
  <c r="BI197" i="88"/>
  <c r="BI193" i="88"/>
  <c r="BI165" i="88"/>
  <c r="BI156" i="88"/>
  <c r="BI160" i="88"/>
  <c r="BI140" i="88"/>
  <c r="BI164" i="88"/>
  <c r="BI170" i="88"/>
  <c r="BI104" i="88"/>
  <c r="BI121" i="88"/>
  <c r="BI99" i="88"/>
  <c r="BI124" i="88"/>
  <c r="BI162" i="88"/>
  <c r="BI126" i="88"/>
  <c r="BI110" i="88"/>
  <c r="BI102" i="88"/>
  <c r="BI87" i="88"/>
  <c r="BI63" i="88"/>
  <c r="BI71" i="88"/>
  <c r="BI43" i="88"/>
  <c r="BI50" i="88"/>
  <c r="BI85" i="88"/>
  <c r="BI151" i="88"/>
  <c r="BI145" i="88"/>
  <c r="BI149" i="88"/>
  <c r="BI159" i="88"/>
  <c r="BI130" i="88"/>
  <c r="BI125" i="88"/>
  <c r="BI105" i="88"/>
  <c r="BI137" i="88"/>
  <c r="BI116" i="88"/>
  <c r="BI129" i="88"/>
  <c r="BI113" i="88"/>
  <c r="BI122" i="88"/>
  <c r="BI107" i="88"/>
  <c r="BI77" i="88"/>
  <c r="BI91" i="88"/>
  <c r="BI66" i="88"/>
  <c r="BI56" i="88"/>
  <c r="BI84" i="88"/>
  <c r="BI75" i="88"/>
  <c r="BI155" i="88"/>
  <c r="BI109" i="88"/>
  <c r="BI106" i="88"/>
  <c r="BI65" i="88"/>
  <c r="BI93" i="88"/>
  <c r="BI76" i="88"/>
  <c r="BI48" i="88"/>
  <c r="BI24" i="88"/>
  <c r="BI13" i="88"/>
  <c r="BI39" i="88"/>
  <c r="BI35" i="88"/>
  <c r="BI11" i="88"/>
  <c r="BI44" i="88"/>
  <c r="BI12" i="88"/>
  <c r="BI98" i="88"/>
  <c r="BI18" i="88"/>
  <c r="BI220" i="88"/>
  <c r="BI150" i="88"/>
  <c r="BI95" i="88"/>
  <c r="BI80" i="88"/>
  <c r="BI64" i="88"/>
  <c r="BI83" i="88"/>
  <c r="BI69" i="88"/>
  <c r="BI61" i="88"/>
  <c r="BI70" i="88"/>
  <c r="BI22" i="88"/>
  <c r="BI40" i="88"/>
  <c r="BI10" i="88"/>
  <c r="BI30" i="88"/>
  <c r="BI38" i="88"/>
  <c r="BI33" i="88"/>
  <c r="BI21" i="88"/>
  <c r="BI36" i="88"/>
  <c r="BI29" i="88"/>
  <c r="BI55" i="88"/>
  <c r="BI89" i="88"/>
  <c r="BI226" i="88"/>
  <c r="BI20" i="88"/>
  <c r="BI227" i="88"/>
  <c r="BI207" i="88"/>
  <c r="BI183" i="88"/>
  <c r="BI148" i="88"/>
  <c r="BI96" i="88"/>
  <c r="BI169" i="88"/>
  <c r="BI108" i="88"/>
  <c r="BI114" i="88"/>
  <c r="BI117" i="88"/>
  <c r="BI78" i="88"/>
  <c r="BI58" i="88"/>
  <c r="BI100" i="88"/>
  <c r="BI82" i="88"/>
  <c r="BI37" i="88"/>
  <c r="BI32" i="88"/>
  <c r="BI53" i="88"/>
  <c r="BI8" i="88"/>
  <c r="BI15" i="88"/>
  <c r="BI73" i="88"/>
  <c r="BI28" i="88"/>
  <c r="BI81" i="88"/>
  <c r="BI34" i="88"/>
  <c r="BI90" i="88"/>
  <c r="BI68" i="88"/>
  <c r="BI79" i="88"/>
  <c r="BI46" i="88"/>
  <c r="BI94" i="88"/>
  <c r="BI31" i="88"/>
  <c r="BI173" i="88"/>
  <c r="BI49" i="88"/>
  <c r="BI57" i="88"/>
  <c r="BI42" i="88"/>
  <c r="BI60" i="88"/>
  <c r="BI17" i="88"/>
  <c r="BI74" i="88"/>
  <c r="BI16" i="88"/>
  <c r="BI180" i="88"/>
  <c r="BI119" i="88"/>
  <c r="BI45" i="88"/>
  <c r="BI86" i="88"/>
  <c r="BI51" i="88"/>
  <c r="BI67" i="88"/>
  <c r="BI9" i="88"/>
  <c r="BI47" i="88"/>
  <c r="BI97" i="88"/>
  <c r="BI23" i="88"/>
  <c r="BI52" i="88"/>
  <c r="BI133" i="88"/>
  <c r="BI62" i="88"/>
  <c r="BI27" i="88"/>
  <c r="BI14" i="88"/>
  <c r="BI41" i="88"/>
  <c r="BI222" i="88"/>
  <c r="BI166" i="88"/>
  <c r="D14" i="84"/>
  <c r="E6" i="102"/>
  <c r="G7" i="102"/>
  <c r="D6" i="102"/>
  <c r="F8" i="102"/>
  <c r="F7" i="102"/>
  <c r="E7" i="102"/>
  <c r="G5" i="102"/>
  <c r="G8" i="102"/>
  <c r="D7" i="102"/>
  <c r="F5" i="102"/>
  <c r="E8" i="102"/>
  <c r="G6" i="102"/>
  <c r="D5" i="102"/>
  <c r="D8" i="102"/>
  <c r="F6" i="102"/>
  <c r="E5" i="102"/>
  <c r="BI7" i="88"/>
  <c r="BG7" i="88"/>
  <c r="BE7" i="88"/>
  <c r="BF7" i="88"/>
  <c r="BD7" i="88"/>
  <c r="BH7" i="88"/>
  <c r="L11" i="99"/>
  <c r="L12" i="99"/>
  <c r="L10" i="99"/>
  <c r="L7" i="99"/>
  <c r="A7" i="99" s="1"/>
  <c r="L8" i="99"/>
  <c r="O31" i="99"/>
  <c r="A13" i="99" l="1"/>
  <c r="A11" i="99"/>
  <c r="A9" i="99"/>
  <c r="H49" i="99"/>
  <c r="A10" i="99"/>
  <c r="A12" i="99"/>
  <c r="A8" i="99"/>
  <c r="B41" i="99"/>
  <c r="BK103" i="88" s="1"/>
  <c r="B43" i="99"/>
  <c r="BM103" i="88" s="1"/>
  <c r="B45" i="99"/>
  <c r="BO103" i="88" s="1"/>
  <c r="B40" i="99"/>
  <c r="BJ103" i="88" s="1"/>
  <c r="B44" i="99"/>
  <c r="BN103" i="88" s="1"/>
  <c r="B42" i="99"/>
  <c r="BL103" i="88" s="1"/>
  <c r="BK61" i="88" l="1"/>
  <c r="BK232" i="88"/>
  <c r="BK204" i="88"/>
  <c r="BK221" i="88"/>
  <c r="BK228" i="88"/>
  <c r="BK212" i="88"/>
  <c r="BK194" i="88"/>
  <c r="BK57" i="88"/>
  <c r="BK200" i="88"/>
  <c r="BK186" i="88"/>
  <c r="BK207" i="88"/>
  <c r="BK180" i="88"/>
  <c r="BK209" i="88"/>
  <c r="BK195" i="88"/>
  <c r="BK177" i="88"/>
  <c r="BK183" i="88"/>
  <c r="BK164" i="88"/>
  <c r="BK156" i="88"/>
  <c r="BK173" i="88"/>
  <c r="BK143" i="88"/>
  <c r="BK160" i="88"/>
  <c r="BK151" i="88"/>
  <c r="BK51" i="88"/>
  <c r="BK17" i="88"/>
  <c r="BK231" i="88"/>
  <c r="BK227" i="88"/>
  <c r="BK196" i="88"/>
  <c r="BK192" i="88"/>
  <c r="BK206" i="88"/>
  <c r="BK184" i="88"/>
  <c r="BK213" i="88"/>
  <c r="BK199" i="88"/>
  <c r="BK201" i="88"/>
  <c r="BK187" i="88"/>
  <c r="BK165" i="88"/>
  <c r="BK189" i="88"/>
  <c r="BK175" i="88"/>
  <c r="BK161" i="88"/>
  <c r="BK44" i="88"/>
  <c r="BK224" i="88"/>
  <c r="BK218" i="88"/>
  <c r="BK230" i="88"/>
  <c r="BK202" i="88"/>
  <c r="BK217" i="88"/>
  <c r="BK208" i="88"/>
  <c r="BK190" i="88"/>
  <c r="BK174" i="88"/>
  <c r="BK214" i="88"/>
  <c r="BK197" i="88"/>
  <c r="BK216" i="88"/>
  <c r="BK203" i="88"/>
  <c r="BK182" i="88"/>
  <c r="BK172" i="88"/>
  <c r="BK185" i="88"/>
  <c r="BK167" i="88"/>
  <c r="BK191" i="88"/>
  <c r="BK163" i="88"/>
  <c r="BK123" i="88"/>
  <c r="BK147" i="88"/>
  <c r="BK162" i="88"/>
  <c r="BK178" i="88"/>
  <c r="BK205" i="88"/>
  <c r="BK181" i="88"/>
  <c r="BK149" i="88"/>
  <c r="BK145" i="88"/>
  <c r="BK138" i="88"/>
  <c r="BK131" i="88"/>
  <c r="BK159" i="88"/>
  <c r="BK144" i="88"/>
  <c r="BK116" i="88"/>
  <c r="BK99" i="88"/>
  <c r="BK105" i="88"/>
  <c r="BK152" i="88"/>
  <c r="BK136" i="88"/>
  <c r="BK137" i="88"/>
  <c r="BK113" i="88"/>
  <c r="BK122" i="88"/>
  <c r="BK130" i="88"/>
  <c r="BK125" i="88"/>
  <c r="BK114" i="88"/>
  <c r="BK84" i="88"/>
  <c r="BK71" i="88"/>
  <c r="BK66" i="88"/>
  <c r="BK80" i="88"/>
  <c r="BK188" i="88"/>
  <c r="BK155" i="88"/>
  <c r="BK148" i="88"/>
  <c r="BK171" i="88"/>
  <c r="BK154" i="88"/>
  <c r="BK96" i="88"/>
  <c r="BK119" i="88"/>
  <c r="BK109" i="88"/>
  <c r="BK142" i="88"/>
  <c r="BK133" i="88"/>
  <c r="BK106" i="88"/>
  <c r="BK95" i="88"/>
  <c r="BK108" i="88"/>
  <c r="BK134" i="88"/>
  <c r="BK75" i="88"/>
  <c r="BK210" i="88"/>
  <c r="BK223" i="88"/>
  <c r="BK198" i="88"/>
  <c r="BK176" i="88"/>
  <c r="BK193" i="88"/>
  <c r="BK166" i="88"/>
  <c r="BK140" i="88"/>
  <c r="BK139" i="88"/>
  <c r="BK135" i="88"/>
  <c r="BK127" i="88"/>
  <c r="BK157" i="88"/>
  <c r="BK118" i="88"/>
  <c r="BK168" i="88"/>
  <c r="BK111" i="88"/>
  <c r="BK112" i="88"/>
  <c r="BK83" i="88"/>
  <c r="BK53" i="88"/>
  <c r="BK93" i="88"/>
  <c r="BK76" i="88"/>
  <c r="BK85" i="88"/>
  <c r="BK49" i="88"/>
  <c r="BK100" i="88"/>
  <c r="BK92" i="88"/>
  <c r="BK70" i="88"/>
  <c r="BK72" i="88"/>
  <c r="BK86" i="88"/>
  <c r="BK67" i="88"/>
  <c r="BK37" i="88"/>
  <c r="BK22" i="88"/>
  <c r="BK39" i="88"/>
  <c r="BK25" i="88"/>
  <c r="BK30" i="88"/>
  <c r="BK36" i="88"/>
  <c r="BK14" i="88"/>
  <c r="BK42" i="88"/>
  <c r="BK31" i="88"/>
  <c r="BK47" i="88"/>
  <c r="BK211" i="88"/>
  <c r="BK150" i="88"/>
  <c r="BK132" i="88"/>
  <c r="BK170" i="88"/>
  <c r="BK153" i="88"/>
  <c r="BK124" i="88"/>
  <c r="BK129" i="88"/>
  <c r="BK107" i="88"/>
  <c r="BK88" i="88"/>
  <c r="BK104" i="88"/>
  <c r="BK110" i="88"/>
  <c r="BK78" i="88"/>
  <c r="BK58" i="88"/>
  <c r="BK120" i="88"/>
  <c r="BK24" i="88"/>
  <c r="BK43" i="88"/>
  <c r="BK60" i="88"/>
  <c r="BK59" i="88"/>
  <c r="BK82" i="88"/>
  <c r="BK52" i="88"/>
  <c r="BK11" i="88"/>
  <c r="BK94" i="88"/>
  <c r="BK46" i="88"/>
  <c r="BK68" i="88"/>
  <c r="BK226" i="88"/>
  <c r="BK220" i="88"/>
  <c r="BK102" i="88"/>
  <c r="BK87" i="88"/>
  <c r="BK45" i="88"/>
  <c r="BK69" i="88"/>
  <c r="BK63" i="88"/>
  <c r="BK65" i="88"/>
  <c r="BK62" i="88"/>
  <c r="BK73" i="88"/>
  <c r="BK35" i="88"/>
  <c r="BK33" i="88"/>
  <c r="BK21" i="88"/>
  <c r="BK64" i="88"/>
  <c r="BK19" i="88"/>
  <c r="BK15" i="88"/>
  <c r="BK16" i="88"/>
  <c r="BK27" i="88"/>
  <c r="BK9" i="88"/>
  <c r="BK41" i="88"/>
  <c r="BK18" i="88"/>
  <c r="BK55" i="88"/>
  <c r="BK97" i="88"/>
  <c r="BK20" i="88"/>
  <c r="BK74" i="88"/>
  <c r="BK121" i="88"/>
  <c r="BK77" i="88"/>
  <c r="BK26" i="88"/>
  <c r="BK32" i="88"/>
  <c r="BK28" i="88"/>
  <c r="BK12" i="88"/>
  <c r="BK8" i="88"/>
  <c r="BK79" i="88"/>
  <c r="BK81" i="88"/>
  <c r="BK126" i="88"/>
  <c r="BK56" i="88"/>
  <c r="BK50" i="88"/>
  <c r="BK40" i="88"/>
  <c r="BK38" i="88"/>
  <c r="BK13" i="88"/>
  <c r="BK29" i="88"/>
  <c r="BK89" i="88"/>
  <c r="BK98" i="88"/>
  <c r="BK90" i="88"/>
  <c r="BK179" i="88"/>
  <c r="BK169" i="88"/>
  <c r="BK48" i="88"/>
  <c r="BK10" i="88"/>
  <c r="BK23" i="88"/>
  <c r="BK117" i="88"/>
  <c r="BK91" i="88"/>
  <c r="BK34" i="88"/>
  <c r="BK222" i="88"/>
  <c r="BN172" i="88"/>
  <c r="BN204" i="88"/>
  <c r="BN232" i="88"/>
  <c r="BN210" i="88"/>
  <c r="BN192" i="88"/>
  <c r="BN190" i="88"/>
  <c r="BN183" i="88"/>
  <c r="BN213" i="88"/>
  <c r="BN205" i="88"/>
  <c r="BN176" i="88"/>
  <c r="BN185" i="88"/>
  <c r="BN167" i="88"/>
  <c r="BN159" i="88"/>
  <c r="BN152" i="88"/>
  <c r="BN136" i="88"/>
  <c r="BN168" i="88"/>
  <c r="BN135" i="88"/>
  <c r="BN163" i="88"/>
  <c r="BN147" i="88"/>
  <c r="BN69" i="88"/>
  <c r="BN218" i="88"/>
  <c r="BN230" i="88"/>
  <c r="BN231" i="88"/>
  <c r="BN221" i="88"/>
  <c r="BN196" i="88"/>
  <c r="BN202" i="88"/>
  <c r="BN182" i="88"/>
  <c r="BN188" i="88"/>
  <c r="BN223" i="88"/>
  <c r="BN189" i="88"/>
  <c r="BN175" i="88"/>
  <c r="BN174" i="88"/>
  <c r="BN203" i="88"/>
  <c r="BN177" i="88"/>
  <c r="BN186" i="88"/>
  <c r="BN142" i="88"/>
  <c r="BN156" i="88"/>
  <c r="BN150" i="88"/>
  <c r="BN91" i="88"/>
  <c r="BN217" i="88"/>
  <c r="BN56" i="88"/>
  <c r="BN73" i="88"/>
  <c r="BN8" i="88"/>
  <c r="BN198" i="88"/>
  <c r="BN200" i="88"/>
  <c r="BN180" i="88"/>
  <c r="BN224" i="88"/>
  <c r="BN209" i="88"/>
  <c r="BN195" i="88"/>
  <c r="BN191" i="88"/>
  <c r="BN184" i="88"/>
  <c r="BN207" i="88"/>
  <c r="BN173" i="88"/>
  <c r="BN193" i="88"/>
  <c r="BN179" i="88"/>
  <c r="BN197" i="88"/>
  <c r="BN170" i="88"/>
  <c r="BN144" i="88"/>
  <c r="BN154" i="88"/>
  <c r="BN16" i="88"/>
  <c r="BN208" i="88"/>
  <c r="BN216" i="88"/>
  <c r="BN178" i="88"/>
  <c r="BN187" i="88"/>
  <c r="BN157" i="88"/>
  <c r="BN134" i="88"/>
  <c r="BN123" i="88"/>
  <c r="BN165" i="88"/>
  <c r="BN132" i="88"/>
  <c r="BN166" i="88"/>
  <c r="BN104" i="88"/>
  <c r="BN108" i="88"/>
  <c r="BN119" i="88"/>
  <c r="BN117" i="88"/>
  <c r="BN131" i="88"/>
  <c r="BN137" i="88"/>
  <c r="BN116" i="88"/>
  <c r="BN124" i="88"/>
  <c r="BN133" i="88"/>
  <c r="BN106" i="88"/>
  <c r="BN67" i="88"/>
  <c r="BN53" i="88"/>
  <c r="BN77" i="88"/>
  <c r="BN206" i="88"/>
  <c r="BN228" i="88"/>
  <c r="BN212" i="88"/>
  <c r="BN194" i="88"/>
  <c r="BN181" i="88"/>
  <c r="BN160" i="88"/>
  <c r="BN151" i="88"/>
  <c r="BN145" i="88"/>
  <c r="BN138" i="88"/>
  <c r="BN143" i="88"/>
  <c r="BN99" i="88"/>
  <c r="BN171" i="88"/>
  <c r="BN112" i="88"/>
  <c r="BN100" i="88"/>
  <c r="BN102" i="88"/>
  <c r="BN109" i="88"/>
  <c r="BN111" i="88"/>
  <c r="BN88" i="88"/>
  <c r="BN93" i="88"/>
  <c r="BN49" i="88"/>
  <c r="BN83" i="88"/>
  <c r="BN201" i="88"/>
  <c r="BN214" i="88"/>
  <c r="BN164" i="88"/>
  <c r="BN126" i="88"/>
  <c r="BN110" i="88"/>
  <c r="BN155" i="88"/>
  <c r="BN121" i="88"/>
  <c r="BN118" i="88"/>
  <c r="BN169" i="88"/>
  <c r="BN162" i="88"/>
  <c r="BN96" i="88"/>
  <c r="BN70" i="88"/>
  <c r="BN60" i="88"/>
  <c r="BN86" i="88"/>
  <c r="BN87" i="88"/>
  <c r="BN78" i="88"/>
  <c r="BN71" i="88"/>
  <c r="BN66" i="88"/>
  <c r="BN52" i="88"/>
  <c r="BN211" i="88"/>
  <c r="BN130" i="88"/>
  <c r="BN114" i="88"/>
  <c r="BN122" i="88"/>
  <c r="BN80" i="88"/>
  <c r="BN21" i="88"/>
  <c r="BN40" i="88"/>
  <c r="BN33" i="88"/>
  <c r="BN15" i="88"/>
  <c r="BN34" i="88"/>
  <c r="BN226" i="88"/>
  <c r="BN227" i="88"/>
  <c r="BN161" i="88"/>
  <c r="BN149" i="88"/>
  <c r="BN125" i="88"/>
  <c r="BN95" i="88"/>
  <c r="BN84" i="88"/>
  <c r="BN62" i="88"/>
  <c r="BN120" i="88"/>
  <c r="BN63" i="88"/>
  <c r="BN43" i="88"/>
  <c r="BN51" i="88"/>
  <c r="BN27" i="88"/>
  <c r="BN11" i="88"/>
  <c r="BN50" i="88"/>
  <c r="BN72" i="88"/>
  <c r="BN28" i="88"/>
  <c r="BN39" i="88"/>
  <c r="BN17" i="88"/>
  <c r="BN68" i="88"/>
  <c r="BN41" i="88"/>
  <c r="BN90" i="88"/>
  <c r="BN18" i="88"/>
  <c r="BN55" i="88"/>
  <c r="BN23" i="88"/>
  <c r="BN20" i="88"/>
  <c r="BN94" i="88"/>
  <c r="BN127" i="88"/>
  <c r="BN140" i="88"/>
  <c r="BN148" i="88"/>
  <c r="BN129" i="88"/>
  <c r="BN61" i="88"/>
  <c r="BN57" i="88"/>
  <c r="BN82" i="88"/>
  <c r="BN64" i="88"/>
  <c r="BN92" i="88"/>
  <c r="BN76" i="88"/>
  <c r="BN85" i="88"/>
  <c r="BN65" i="88"/>
  <c r="BN24" i="88"/>
  <c r="BN59" i="88"/>
  <c r="BN9" i="88"/>
  <c r="BN30" i="88"/>
  <c r="BN38" i="88"/>
  <c r="BN22" i="88"/>
  <c r="BN47" i="88"/>
  <c r="BN222" i="88"/>
  <c r="BN220" i="88"/>
  <c r="BN81" i="88"/>
  <c r="BN89" i="88"/>
  <c r="BN32" i="88"/>
  <c r="BN44" i="88"/>
  <c r="BN25" i="88"/>
  <c r="BN35" i="88"/>
  <c r="BN31" i="88"/>
  <c r="BN74" i="88"/>
  <c r="BN46" i="88"/>
  <c r="BN13" i="88"/>
  <c r="BN153" i="88"/>
  <c r="BN36" i="88"/>
  <c r="BN37" i="88"/>
  <c r="BN48" i="88"/>
  <c r="BN14" i="88"/>
  <c r="BN10" i="88"/>
  <c r="BN29" i="88"/>
  <c r="BN105" i="88"/>
  <c r="BN107" i="88"/>
  <c r="BN58" i="88"/>
  <c r="BN199" i="88"/>
  <c r="BN139" i="88"/>
  <c r="BN75" i="88"/>
  <c r="BN26" i="88"/>
  <c r="BN12" i="88"/>
  <c r="BN45" i="88"/>
  <c r="BN42" i="88"/>
  <c r="BN19" i="88"/>
  <c r="BN98" i="88"/>
  <c r="BN113" i="88"/>
  <c r="BN79" i="88"/>
  <c r="BN97" i="88"/>
  <c r="BJ42" i="88"/>
  <c r="BJ75" i="88"/>
  <c r="BJ218" i="88"/>
  <c r="BJ230" i="88"/>
  <c r="BJ231" i="88"/>
  <c r="BJ50" i="88"/>
  <c r="BJ16" i="88"/>
  <c r="BJ227" i="88"/>
  <c r="BJ196" i="88"/>
  <c r="BJ210" i="88"/>
  <c r="BJ192" i="88"/>
  <c r="BJ48" i="88"/>
  <c r="BJ184" i="88"/>
  <c r="BJ213" i="88"/>
  <c r="BJ199" i="88"/>
  <c r="BJ201" i="88"/>
  <c r="BJ173" i="88"/>
  <c r="BJ187" i="88"/>
  <c r="BJ165" i="88"/>
  <c r="BJ189" i="88"/>
  <c r="BJ175" i="88"/>
  <c r="BJ161" i="88"/>
  <c r="BJ56" i="88"/>
  <c r="BJ223" i="88"/>
  <c r="BJ27" i="88"/>
  <c r="BJ206" i="88"/>
  <c r="BJ188" i="88"/>
  <c r="BJ202" i="88"/>
  <c r="BJ176" i="88"/>
  <c r="BJ205" i="88"/>
  <c r="BJ182" i="88"/>
  <c r="BJ211" i="88"/>
  <c r="BJ193" i="88"/>
  <c r="BJ179" i="88"/>
  <c r="BJ181" i="88"/>
  <c r="BJ154" i="88"/>
  <c r="BJ123" i="88"/>
  <c r="BJ164" i="88"/>
  <c r="BJ149" i="88"/>
  <c r="BJ140" i="88"/>
  <c r="BJ73" i="88"/>
  <c r="BJ82" i="88"/>
  <c r="BJ62" i="88"/>
  <c r="BJ217" i="88"/>
  <c r="BJ69" i="88"/>
  <c r="BJ198" i="88"/>
  <c r="BJ91" i="88"/>
  <c r="BJ172" i="88"/>
  <c r="BJ221" i="88"/>
  <c r="BJ204" i="88"/>
  <c r="BJ190" i="88"/>
  <c r="BJ232" i="88"/>
  <c r="BJ200" i="88"/>
  <c r="BJ178" i="88"/>
  <c r="BJ207" i="88"/>
  <c r="BJ180" i="88"/>
  <c r="BJ224" i="88"/>
  <c r="BJ209" i="88"/>
  <c r="BJ195" i="88"/>
  <c r="BJ177" i="88"/>
  <c r="BJ183" i="88"/>
  <c r="BJ156" i="88"/>
  <c r="BJ150" i="88"/>
  <c r="BJ208" i="88"/>
  <c r="BJ186" i="88"/>
  <c r="BJ197" i="88"/>
  <c r="BJ203" i="88"/>
  <c r="BJ135" i="88"/>
  <c r="BJ166" i="88"/>
  <c r="BJ155" i="88"/>
  <c r="BJ148" i="88"/>
  <c r="BJ171" i="88"/>
  <c r="BJ152" i="88"/>
  <c r="BJ136" i="88"/>
  <c r="BJ119" i="88"/>
  <c r="BJ142" i="88"/>
  <c r="BJ109" i="88"/>
  <c r="BJ133" i="88"/>
  <c r="BJ106" i="88"/>
  <c r="BJ144" i="88"/>
  <c r="BJ108" i="88"/>
  <c r="BJ77" i="88"/>
  <c r="BJ78" i="88"/>
  <c r="BJ83" i="88"/>
  <c r="BJ143" i="88"/>
  <c r="BJ131" i="88"/>
  <c r="BJ139" i="88"/>
  <c r="BJ127" i="88"/>
  <c r="BJ157" i="88"/>
  <c r="BJ112" i="88"/>
  <c r="BJ100" i="88"/>
  <c r="BJ95" i="88"/>
  <c r="BJ118" i="88"/>
  <c r="BJ134" i="88"/>
  <c r="BJ111" i="88"/>
  <c r="BJ104" i="88"/>
  <c r="BJ88" i="88"/>
  <c r="BJ168" i="88"/>
  <c r="BJ120" i="88"/>
  <c r="BJ64" i="88"/>
  <c r="BJ114" i="88"/>
  <c r="BJ76" i="88"/>
  <c r="BJ212" i="88"/>
  <c r="BJ194" i="88"/>
  <c r="BJ214" i="88"/>
  <c r="BJ216" i="88"/>
  <c r="BJ185" i="88"/>
  <c r="BJ167" i="88"/>
  <c r="BJ191" i="88"/>
  <c r="BJ163" i="88"/>
  <c r="BJ147" i="88"/>
  <c r="BJ160" i="88"/>
  <c r="BJ132" i="88"/>
  <c r="BJ153" i="88"/>
  <c r="BJ124" i="88"/>
  <c r="BJ169" i="88"/>
  <c r="BJ170" i="88"/>
  <c r="BJ121" i="88"/>
  <c r="BJ107" i="88"/>
  <c r="BJ93" i="88"/>
  <c r="BJ162" i="88"/>
  <c r="BJ126" i="88"/>
  <c r="BJ110" i="88"/>
  <c r="BJ99" i="88"/>
  <c r="BJ117" i="88"/>
  <c r="BJ87" i="88"/>
  <c r="BJ80" i="88"/>
  <c r="BJ105" i="88"/>
  <c r="BJ137" i="88"/>
  <c r="BJ102" i="88"/>
  <c r="BJ129" i="88"/>
  <c r="BJ96" i="88"/>
  <c r="BJ58" i="88"/>
  <c r="BJ52" i="88"/>
  <c r="BJ26" i="88"/>
  <c r="BJ28" i="88"/>
  <c r="BJ53" i="88"/>
  <c r="BJ61" i="88"/>
  <c r="BJ51" i="88"/>
  <c r="BJ36" i="88"/>
  <c r="BJ9" i="88"/>
  <c r="BJ24" i="88"/>
  <c r="BJ21" i="88"/>
  <c r="BJ74" i="88"/>
  <c r="BJ159" i="88"/>
  <c r="BJ113" i="88"/>
  <c r="BJ86" i="88"/>
  <c r="BJ92" i="88"/>
  <c r="BJ85" i="88"/>
  <c r="BJ65" i="88"/>
  <c r="BJ60" i="88"/>
  <c r="BJ44" i="88"/>
  <c r="BJ33" i="88"/>
  <c r="BJ13" i="88"/>
  <c r="BJ39" i="88"/>
  <c r="BJ35" i="88"/>
  <c r="BJ19" i="88"/>
  <c r="BJ15" i="88"/>
  <c r="BJ12" i="88"/>
  <c r="BJ68" i="88"/>
  <c r="BJ41" i="88"/>
  <c r="BJ90" i="88"/>
  <c r="BJ18" i="88"/>
  <c r="BJ34" i="88"/>
  <c r="BJ84" i="88"/>
  <c r="BJ151" i="88"/>
  <c r="BJ145" i="88"/>
  <c r="BJ138" i="88"/>
  <c r="BJ125" i="88"/>
  <c r="BJ116" i="88"/>
  <c r="BJ130" i="88"/>
  <c r="BJ71" i="88"/>
  <c r="BJ63" i="88"/>
  <c r="BJ70" i="88"/>
  <c r="BJ40" i="88"/>
  <c r="BJ10" i="88"/>
  <c r="BJ45" i="88"/>
  <c r="BJ38" i="88"/>
  <c r="BJ49" i="88"/>
  <c r="BJ11" i="88"/>
  <c r="BJ47" i="88"/>
  <c r="BJ222" i="88"/>
  <c r="BJ20" i="88"/>
  <c r="BJ94" i="88"/>
  <c r="BJ29" i="88"/>
  <c r="BJ97" i="88"/>
  <c r="BJ66" i="88"/>
  <c r="BJ30" i="88"/>
  <c r="BJ25" i="88"/>
  <c r="BJ89" i="88"/>
  <c r="BJ79" i="88"/>
  <c r="BJ23" i="88"/>
  <c r="BJ32" i="88"/>
  <c r="BJ174" i="88"/>
  <c r="BJ122" i="88"/>
  <c r="BJ43" i="88"/>
  <c r="BJ67" i="88"/>
  <c r="BJ17" i="88"/>
  <c r="BJ8" i="88"/>
  <c r="BJ46" i="88"/>
  <c r="BJ220" i="88"/>
  <c r="BJ226" i="88"/>
  <c r="BJ72" i="88"/>
  <c r="BJ22" i="88"/>
  <c r="BJ14" i="88"/>
  <c r="BJ228" i="88"/>
  <c r="BJ59" i="88"/>
  <c r="BJ37" i="88"/>
  <c r="BJ81" i="88"/>
  <c r="BJ31" i="88"/>
  <c r="BJ98" i="88"/>
  <c r="BJ55" i="88"/>
  <c r="BJ57" i="88"/>
  <c r="BO224" i="88"/>
  <c r="BO59" i="88"/>
  <c r="BO190" i="88"/>
  <c r="BO230" i="88"/>
  <c r="BO200" i="88"/>
  <c r="BO180" i="88"/>
  <c r="BO178" i="88"/>
  <c r="BO201" i="88"/>
  <c r="BO191" i="88"/>
  <c r="BO199" i="88"/>
  <c r="BO172" i="88"/>
  <c r="BO184" i="88"/>
  <c r="BO193" i="88"/>
  <c r="BO179" i="88"/>
  <c r="BO144" i="88"/>
  <c r="BO150" i="88"/>
  <c r="BO232" i="88"/>
  <c r="BO204" i="88"/>
  <c r="BO210" i="88"/>
  <c r="BO227" i="88"/>
  <c r="BO192" i="88"/>
  <c r="BO183" i="88"/>
  <c r="BO197" i="88"/>
  <c r="BO173" i="88"/>
  <c r="BO211" i="88"/>
  <c r="BO185" i="88"/>
  <c r="BO165" i="88"/>
  <c r="BO159" i="88"/>
  <c r="BO152" i="88"/>
  <c r="BO136" i="88"/>
  <c r="BO168" i="88"/>
  <c r="BO163" i="88"/>
  <c r="BO147" i="88"/>
  <c r="BO27" i="88"/>
  <c r="BO52" i="88"/>
  <c r="BO223" i="88"/>
  <c r="BO231" i="88"/>
  <c r="BO206" i="88"/>
  <c r="BO217" i="88"/>
  <c r="BO198" i="88"/>
  <c r="BO221" i="88"/>
  <c r="BO228" i="88"/>
  <c r="BO212" i="88"/>
  <c r="BO194" i="88"/>
  <c r="BO208" i="88"/>
  <c r="BO216" i="88"/>
  <c r="BO188" i="88"/>
  <c r="BO214" i="88"/>
  <c r="BO203" i="88"/>
  <c r="BO181" i="88"/>
  <c r="BO187" i="88"/>
  <c r="BO174" i="88"/>
  <c r="BO205" i="88"/>
  <c r="BO135" i="88"/>
  <c r="BO127" i="88"/>
  <c r="BO157" i="88"/>
  <c r="BO134" i="88"/>
  <c r="BO202" i="88"/>
  <c r="BO189" i="88"/>
  <c r="BO195" i="88"/>
  <c r="BO207" i="88"/>
  <c r="BO167" i="88"/>
  <c r="BO161" i="88"/>
  <c r="BO149" i="88"/>
  <c r="BO140" i="88"/>
  <c r="BO124" i="88"/>
  <c r="BO130" i="88"/>
  <c r="BO125" i="88"/>
  <c r="BO116" i="88"/>
  <c r="BO99" i="88"/>
  <c r="BO105" i="88"/>
  <c r="BO100" i="88"/>
  <c r="BO114" i="88"/>
  <c r="BO148" i="88"/>
  <c r="BO129" i="88"/>
  <c r="BO107" i="88"/>
  <c r="BO113" i="88"/>
  <c r="BO122" i="88"/>
  <c r="BO82" i="88"/>
  <c r="BO61" i="88"/>
  <c r="BO186" i="88"/>
  <c r="BO164" i="88"/>
  <c r="BO123" i="88"/>
  <c r="BO166" i="88"/>
  <c r="BO132" i="88"/>
  <c r="BO119" i="88"/>
  <c r="BO117" i="88"/>
  <c r="BO137" i="88"/>
  <c r="BO133" i="88"/>
  <c r="BO104" i="88"/>
  <c r="BO106" i="88"/>
  <c r="BO95" i="88"/>
  <c r="BO108" i="88"/>
  <c r="BO67" i="88"/>
  <c r="BO53" i="88"/>
  <c r="BO93" i="88"/>
  <c r="BO80" i="88"/>
  <c r="BO218" i="88"/>
  <c r="BO182" i="88"/>
  <c r="BO175" i="88"/>
  <c r="BO213" i="88"/>
  <c r="BO177" i="88"/>
  <c r="BO154" i="88"/>
  <c r="BO156" i="88"/>
  <c r="BO143" i="88"/>
  <c r="BO160" i="88"/>
  <c r="BO151" i="88"/>
  <c r="BO145" i="88"/>
  <c r="BO138" i="88"/>
  <c r="BO131" i="88"/>
  <c r="BO139" i="88"/>
  <c r="BO169" i="88"/>
  <c r="BO112" i="88"/>
  <c r="BO96" i="88"/>
  <c r="BO171" i="88"/>
  <c r="BO109" i="88"/>
  <c r="BO111" i="88"/>
  <c r="BO120" i="88"/>
  <c r="BO73" i="88"/>
  <c r="BO92" i="88"/>
  <c r="BO83" i="88"/>
  <c r="BO56" i="88"/>
  <c r="BO196" i="88"/>
  <c r="BO209" i="88"/>
  <c r="BO87" i="88"/>
  <c r="BO84" i="88"/>
  <c r="BO66" i="88"/>
  <c r="BO57" i="88"/>
  <c r="BO77" i="88"/>
  <c r="BO69" i="88"/>
  <c r="BO44" i="88"/>
  <c r="BO36" i="88"/>
  <c r="BO37" i="88"/>
  <c r="BO22" i="88"/>
  <c r="BO14" i="88"/>
  <c r="BO63" i="88"/>
  <c r="BO25" i="88"/>
  <c r="BO8" i="88"/>
  <c r="BO10" i="88"/>
  <c r="BO17" i="88"/>
  <c r="BO28" i="88"/>
  <c r="BO19" i="88"/>
  <c r="BO12" i="88"/>
  <c r="BO20" i="88"/>
  <c r="BO153" i="88"/>
  <c r="BO126" i="88"/>
  <c r="BO155" i="88"/>
  <c r="BO70" i="88"/>
  <c r="BO72" i="88"/>
  <c r="BO45" i="88"/>
  <c r="BO78" i="88"/>
  <c r="BO30" i="88"/>
  <c r="BO42" i="88"/>
  <c r="BO65" i="88"/>
  <c r="BO48" i="88"/>
  <c r="BO24" i="88"/>
  <c r="BO32" i="88"/>
  <c r="BO40" i="88"/>
  <c r="BO33" i="88"/>
  <c r="BO43" i="88"/>
  <c r="BO9" i="88"/>
  <c r="BO31" i="88"/>
  <c r="BO47" i="88"/>
  <c r="BO34" i="88"/>
  <c r="BO79" i="88"/>
  <c r="BO55" i="88"/>
  <c r="BO23" i="88"/>
  <c r="BO176" i="88"/>
  <c r="BO142" i="88"/>
  <c r="BO121" i="88"/>
  <c r="BO88" i="88"/>
  <c r="BO118" i="88"/>
  <c r="BO91" i="88"/>
  <c r="BO60" i="88"/>
  <c r="BO71" i="88"/>
  <c r="BO49" i="88"/>
  <c r="BO62" i="88"/>
  <c r="BO11" i="88"/>
  <c r="BO39" i="88"/>
  <c r="BO35" i="88"/>
  <c r="BO51" i="88"/>
  <c r="BO16" i="88"/>
  <c r="BO15" i="88"/>
  <c r="BO81" i="88"/>
  <c r="BO41" i="88"/>
  <c r="BO18" i="88"/>
  <c r="BO170" i="88"/>
  <c r="BO162" i="88"/>
  <c r="BO102" i="88"/>
  <c r="BO86" i="88"/>
  <c r="BO85" i="88"/>
  <c r="BO13" i="88"/>
  <c r="BO94" i="88"/>
  <c r="BO226" i="88"/>
  <c r="BO98" i="88"/>
  <c r="BO76" i="88"/>
  <c r="BO26" i="88"/>
  <c r="BO38" i="88"/>
  <c r="BO68" i="88"/>
  <c r="BO220" i="88"/>
  <c r="BO222" i="88"/>
  <c r="BO74" i="88"/>
  <c r="BO58" i="88"/>
  <c r="BO110" i="88"/>
  <c r="BO75" i="88"/>
  <c r="BO90" i="88"/>
  <c r="BO29" i="88"/>
  <c r="BO46" i="88"/>
  <c r="BO89" i="88"/>
  <c r="BO97" i="88"/>
  <c r="BO64" i="88"/>
  <c r="BO21" i="88"/>
  <c r="BO50" i="88"/>
  <c r="BL50" i="88"/>
  <c r="BL223" i="88"/>
  <c r="BL217" i="88"/>
  <c r="BL198" i="88"/>
  <c r="BL194" i="88"/>
  <c r="BL208" i="88"/>
  <c r="BL224" i="88"/>
  <c r="BL216" i="88"/>
  <c r="BL214" i="88"/>
  <c r="BL203" i="88"/>
  <c r="BL209" i="88"/>
  <c r="BL181" i="88"/>
  <c r="BL167" i="88"/>
  <c r="BL197" i="88"/>
  <c r="BL191" i="88"/>
  <c r="BL135" i="88"/>
  <c r="BL163" i="88"/>
  <c r="BL127" i="88"/>
  <c r="BL157" i="88"/>
  <c r="BL147" i="88"/>
  <c r="BL134" i="88"/>
  <c r="BL161" i="88"/>
  <c r="BL123" i="88"/>
  <c r="BL82" i="88"/>
  <c r="BL230" i="88"/>
  <c r="BL190" i="88"/>
  <c r="BL232" i="88"/>
  <c r="BL228" i="88"/>
  <c r="BL212" i="88"/>
  <c r="BL75" i="88"/>
  <c r="BL200" i="88"/>
  <c r="BL180" i="88"/>
  <c r="BL178" i="88"/>
  <c r="BL207" i="88"/>
  <c r="BL195" i="88"/>
  <c r="BL205" i="88"/>
  <c r="BL172" i="88"/>
  <c r="BL193" i="88"/>
  <c r="BL183" i="88"/>
  <c r="BL164" i="88"/>
  <c r="BL150" i="88"/>
  <c r="BL151" i="88"/>
  <c r="BL165" i="88"/>
  <c r="BL73" i="88"/>
  <c r="BL10" i="88"/>
  <c r="BL14" i="88"/>
  <c r="BL67" i="88"/>
  <c r="BL40" i="88"/>
  <c r="BL26" i="88"/>
  <c r="BL71" i="88"/>
  <c r="BL218" i="88"/>
  <c r="BL221" i="88"/>
  <c r="BL231" i="88"/>
  <c r="BL58" i="88"/>
  <c r="BL206" i="88"/>
  <c r="BL196" i="88"/>
  <c r="BL202" i="88"/>
  <c r="BL186" i="88"/>
  <c r="BL182" i="88"/>
  <c r="BL211" i="88"/>
  <c r="BL176" i="88"/>
  <c r="BL189" i="88"/>
  <c r="BL173" i="88"/>
  <c r="BL179" i="88"/>
  <c r="BL201" i="88"/>
  <c r="BL177" i="88"/>
  <c r="BL213" i="88"/>
  <c r="BL154" i="88"/>
  <c r="BL142" i="88"/>
  <c r="BL188" i="88"/>
  <c r="BL140" i="88"/>
  <c r="BL170" i="88"/>
  <c r="BL162" i="88"/>
  <c r="BL110" i="88"/>
  <c r="BL121" i="88"/>
  <c r="BL124" i="88"/>
  <c r="BL96" i="88"/>
  <c r="BL136" i="88"/>
  <c r="BL95" i="88"/>
  <c r="BL118" i="88"/>
  <c r="BL100" i="88"/>
  <c r="BL148" i="88"/>
  <c r="BL126" i="88"/>
  <c r="BL87" i="88"/>
  <c r="BL85" i="88"/>
  <c r="BL62" i="88"/>
  <c r="BL84" i="88"/>
  <c r="BL227" i="88"/>
  <c r="BL187" i="88"/>
  <c r="BL185" i="88"/>
  <c r="BL168" i="88"/>
  <c r="BL132" i="88"/>
  <c r="BL149" i="88"/>
  <c r="BL159" i="88"/>
  <c r="BL130" i="88"/>
  <c r="BL125" i="88"/>
  <c r="BL105" i="88"/>
  <c r="BL116" i="88"/>
  <c r="BL114" i="88"/>
  <c r="BL129" i="88"/>
  <c r="BL113" i="88"/>
  <c r="BL107" i="88"/>
  <c r="BL122" i="88"/>
  <c r="BL93" i="88"/>
  <c r="BL117" i="88"/>
  <c r="BL91" i="88"/>
  <c r="BL53" i="88"/>
  <c r="BL56" i="88"/>
  <c r="BL92" i="88"/>
  <c r="BL77" i="88"/>
  <c r="BL204" i="88"/>
  <c r="BL192" i="88"/>
  <c r="BL184" i="88"/>
  <c r="BL152" i="88"/>
  <c r="BL166" i="88"/>
  <c r="BL155" i="88"/>
  <c r="BL109" i="88"/>
  <c r="BL119" i="88"/>
  <c r="BL137" i="88"/>
  <c r="BL102" i="88"/>
  <c r="BL133" i="88"/>
  <c r="BL104" i="88"/>
  <c r="BL106" i="88"/>
  <c r="BL88" i="88"/>
  <c r="BL108" i="88"/>
  <c r="BL63" i="88"/>
  <c r="BL210" i="88"/>
  <c r="BL199" i="88"/>
  <c r="BL175" i="88"/>
  <c r="BL156" i="88"/>
  <c r="BL131" i="88"/>
  <c r="BL112" i="88"/>
  <c r="BL111" i="88"/>
  <c r="BL83" i="88"/>
  <c r="BL48" i="88"/>
  <c r="BL86" i="88"/>
  <c r="BL69" i="88"/>
  <c r="BL52" i="88"/>
  <c r="BL30" i="88"/>
  <c r="BL27" i="88"/>
  <c r="BL32" i="88"/>
  <c r="BL44" i="88"/>
  <c r="BL24" i="88"/>
  <c r="BL64" i="88"/>
  <c r="BL38" i="88"/>
  <c r="BL12" i="88"/>
  <c r="BL68" i="88"/>
  <c r="BL90" i="88"/>
  <c r="BL220" i="88"/>
  <c r="BL143" i="88"/>
  <c r="BL139" i="88"/>
  <c r="BL99" i="88"/>
  <c r="BL153" i="88"/>
  <c r="BL66" i="88"/>
  <c r="BL76" i="88"/>
  <c r="BL21" i="88"/>
  <c r="BL37" i="88"/>
  <c r="BL25" i="88"/>
  <c r="BL8" i="88"/>
  <c r="BL9" i="88"/>
  <c r="BL19" i="88"/>
  <c r="BL36" i="88"/>
  <c r="BL222" i="88"/>
  <c r="BL74" i="88"/>
  <c r="BL98" i="88"/>
  <c r="BL160" i="88"/>
  <c r="BL171" i="88"/>
  <c r="BL72" i="88"/>
  <c r="BL43" i="88"/>
  <c r="BL59" i="88"/>
  <c r="BL51" i="88"/>
  <c r="BL42" i="88"/>
  <c r="BL22" i="88"/>
  <c r="BL49" i="88"/>
  <c r="BL33" i="88"/>
  <c r="BL17" i="88"/>
  <c r="BL16" i="88"/>
  <c r="BL46" i="88"/>
  <c r="BL55" i="88"/>
  <c r="BL18" i="88"/>
  <c r="BL169" i="88"/>
  <c r="BL120" i="88"/>
  <c r="BL70" i="88"/>
  <c r="BL57" i="88"/>
  <c r="BL65" i="88"/>
  <c r="BL13" i="88"/>
  <c r="BL39" i="88"/>
  <c r="BL94" i="88"/>
  <c r="BL31" i="88"/>
  <c r="BL80" i="88"/>
  <c r="BL145" i="88"/>
  <c r="BL35" i="88"/>
  <c r="BL89" i="88"/>
  <c r="BL41" i="88"/>
  <c r="BL29" i="88"/>
  <c r="BL138" i="88"/>
  <c r="BL60" i="88"/>
  <c r="BL61" i="88"/>
  <c r="BL45" i="88"/>
  <c r="BL11" i="88"/>
  <c r="BL28" i="88"/>
  <c r="BL15" i="88"/>
  <c r="BL20" i="88"/>
  <c r="BL97" i="88"/>
  <c r="BL47" i="88"/>
  <c r="BL226" i="88"/>
  <c r="BL34" i="88"/>
  <c r="BL174" i="88"/>
  <c r="BL144" i="88"/>
  <c r="BL78" i="88"/>
  <c r="BL81" i="88"/>
  <c r="BL79" i="88"/>
  <c r="BL23" i="88"/>
  <c r="BM171" i="88"/>
  <c r="BM19" i="88"/>
  <c r="BM230" i="88"/>
  <c r="BM221" i="88"/>
  <c r="BM196" i="88"/>
  <c r="BM202" i="88"/>
  <c r="BM182" i="88"/>
  <c r="BM209" i="88"/>
  <c r="BM197" i="88"/>
  <c r="BM175" i="88"/>
  <c r="BM211" i="88"/>
  <c r="BM173" i="88"/>
  <c r="BM185" i="88"/>
  <c r="BM165" i="88"/>
  <c r="BM156" i="88"/>
  <c r="BM27" i="88"/>
  <c r="BM72" i="88"/>
  <c r="BM218" i="88"/>
  <c r="BM223" i="88"/>
  <c r="BM206" i="88"/>
  <c r="BM224" i="88"/>
  <c r="BM208" i="88"/>
  <c r="BM194" i="88"/>
  <c r="BM190" i="88"/>
  <c r="BM201" i="88"/>
  <c r="BM189" i="88"/>
  <c r="BM214" i="88"/>
  <c r="BM195" i="88"/>
  <c r="BM187" i="88"/>
  <c r="BM178" i="88"/>
  <c r="BM207" i="88"/>
  <c r="BM177" i="88"/>
  <c r="BM139" i="88"/>
  <c r="BM127" i="88"/>
  <c r="BM231" i="88"/>
  <c r="BM212" i="88"/>
  <c r="BM59" i="88"/>
  <c r="BM11" i="88"/>
  <c r="BM21" i="88"/>
  <c r="BM232" i="88"/>
  <c r="BM227" i="88"/>
  <c r="BM204" i="88"/>
  <c r="BM210" i="88"/>
  <c r="BM192" i="88"/>
  <c r="BM216" i="88"/>
  <c r="BM174" i="88"/>
  <c r="BM205" i="88"/>
  <c r="BM183" i="88"/>
  <c r="BM176" i="88"/>
  <c r="BM199" i="88"/>
  <c r="BM193" i="88"/>
  <c r="BM159" i="88"/>
  <c r="BM152" i="88"/>
  <c r="BM136" i="88"/>
  <c r="BM168" i="88"/>
  <c r="BM135" i="88"/>
  <c r="BM217" i="88"/>
  <c r="BM169" i="88"/>
  <c r="BM134" i="88"/>
  <c r="BM160" i="88"/>
  <c r="BM151" i="88"/>
  <c r="BM145" i="88"/>
  <c r="BM143" i="88"/>
  <c r="BM111" i="88"/>
  <c r="BM102" i="88"/>
  <c r="BM112" i="88"/>
  <c r="BM109" i="88"/>
  <c r="BM119" i="88"/>
  <c r="BM88" i="88"/>
  <c r="BM120" i="88"/>
  <c r="BM86" i="88"/>
  <c r="BM60" i="88"/>
  <c r="BM200" i="88"/>
  <c r="BM203" i="88"/>
  <c r="BM179" i="88"/>
  <c r="BM170" i="88"/>
  <c r="BM153" i="88"/>
  <c r="BM124" i="88"/>
  <c r="BM157" i="88"/>
  <c r="BM150" i="88"/>
  <c r="BM162" i="88"/>
  <c r="BM126" i="88"/>
  <c r="BM110" i="88"/>
  <c r="BM121" i="88"/>
  <c r="BM118" i="88"/>
  <c r="BM85" i="88"/>
  <c r="BM70" i="88"/>
  <c r="BM82" i="88"/>
  <c r="BM73" i="88"/>
  <c r="BM87" i="88"/>
  <c r="BM91" i="88"/>
  <c r="BM63" i="88"/>
  <c r="BM66" i="88"/>
  <c r="BM56" i="88"/>
  <c r="BM198" i="88"/>
  <c r="BM186" i="88"/>
  <c r="BM213" i="88"/>
  <c r="BM184" i="88"/>
  <c r="BM181" i="88"/>
  <c r="BM144" i="88"/>
  <c r="BM154" i="88"/>
  <c r="BM163" i="88"/>
  <c r="BM147" i="88"/>
  <c r="BM140" i="88"/>
  <c r="BM172" i="88"/>
  <c r="BM164" i="88"/>
  <c r="BM155" i="88"/>
  <c r="BM95" i="88"/>
  <c r="BM130" i="88"/>
  <c r="BM125" i="88"/>
  <c r="BM105" i="88"/>
  <c r="BM100" i="88"/>
  <c r="BM114" i="88"/>
  <c r="BM129" i="88"/>
  <c r="BM113" i="88"/>
  <c r="BM122" i="88"/>
  <c r="BM107" i="88"/>
  <c r="BM93" i="88"/>
  <c r="BM67" i="88"/>
  <c r="BM188" i="88"/>
  <c r="BM167" i="88"/>
  <c r="BM166" i="88"/>
  <c r="BM138" i="88"/>
  <c r="BM116" i="88"/>
  <c r="BM149" i="88"/>
  <c r="BM106" i="88"/>
  <c r="BM92" i="88"/>
  <c r="BM53" i="88"/>
  <c r="BM84" i="88"/>
  <c r="BM75" i="88"/>
  <c r="BM58" i="88"/>
  <c r="BM51" i="88"/>
  <c r="BM15" i="88"/>
  <c r="BM24" i="88"/>
  <c r="BM52" i="88"/>
  <c r="BM50" i="88"/>
  <c r="BM32" i="88"/>
  <c r="BM39" i="88"/>
  <c r="BM26" i="88"/>
  <c r="BM79" i="88"/>
  <c r="BM46" i="88"/>
  <c r="BM222" i="88"/>
  <c r="BM180" i="88"/>
  <c r="BM142" i="88"/>
  <c r="BM161" i="88"/>
  <c r="BM131" i="88"/>
  <c r="BM96" i="88"/>
  <c r="BM133" i="88"/>
  <c r="BM76" i="88"/>
  <c r="BM77" i="88"/>
  <c r="BM57" i="88"/>
  <c r="BM64" i="88"/>
  <c r="BM43" i="88"/>
  <c r="BM22" i="88"/>
  <c r="BM9" i="88"/>
  <c r="BM65" i="88"/>
  <c r="BM8" i="88"/>
  <c r="BM12" i="88"/>
  <c r="BM94" i="88"/>
  <c r="BM90" i="88"/>
  <c r="BM123" i="88"/>
  <c r="BM137" i="88"/>
  <c r="BM80" i="88"/>
  <c r="BM78" i="88"/>
  <c r="BM45" i="88"/>
  <c r="BM44" i="88"/>
  <c r="BM30" i="88"/>
  <c r="BM38" i="88"/>
  <c r="BM36" i="88"/>
  <c r="BM48" i="88"/>
  <c r="BM37" i="88"/>
  <c r="BM14" i="88"/>
  <c r="BM62" i="88"/>
  <c r="BM13" i="88"/>
  <c r="BM10" i="88"/>
  <c r="BM17" i="88"/>
  <c r="BM68" i="88"/>
  <c r="BM29" i="88"/>
  <c r="BM31" i="88"/>
  <c r="BM97" i="88"/>
  <c r="BM74" i="88"/>
  <c r="BM23" i="88"/>
  <c r="BM49" i="88"/>
  <c r="BM81" i="88"/>
  <c r="BM34" i="88"/>
  <c r="BM41" i="88"/>
  <c r="BM55" i="88"/>
  <c r="BM226" i="88"/>
  <c r="BM191" i="88"/>
  <c r="BM132" i="88"/>
  <c r="BM117" i="88"/>
  <c r="BM99" i="88"/>
  <c r="BM71" i="88"/>
  <c r="BM35" i="88"/>
  <c r="BM98" i="88"/>
  <c r="BM220" i="88"/>
  <c r="BM47" i="88"/>
  <c r="BM104" i="88"/>
  <c r="BM40" i="88"/>
  <c r="BM18" i="88"/>
  <c r="BM20" i="88"/>
  <c r="BM89" i="88"/>
  <c r="BM228" i="88"/>
  <c r="BM108" i="88"/>
  <c r="BM61" i="88"/>
  <c r="BM83" i="88"/>
  <c r="BM69" i="88"/>
  <c r="BM33" i="88"/>
  <c r="BM42" i="88"/>
  <c r="BM25" i="88"/>
  <c r="BM148" i="88"/>
  <c r="BM28" i="88"/>
  <c r="BM16" i="88"/>
  <c r="BO7" i="88"/>
  <c r="BL7" i="88"/>
  <c r="BM7" i="88"/>
  <c r="BJ7" i="88"/>
  <c r="BN7" i="88"/>
  <c r="BK7" i="88"/>
  <c r="O40" i="99"/>
  <c r="H56" i="99" l="1" a="1"/>
  <c r="H56" i="99" s="1"/>
  <c r="H55" i="99" a="1"/>
  <c r="H55" i="99" s="1"/>
  <c r="H54" i="99" a="1"/>
  <c r="H54" i="99" s="1"/>
  <c r="H53" i="99" a="1"/>
  <c r="H53" i="99" s="1"/>
  <c r="H50" i="99" a="1"/>
  <c r="H50" i="99" s="1"/>
  <c r="H51" i="99" a="1"/>
  <c r="H51" i="99" s="1"/>
  <c r="I53" i="99" l="1"/>
  <c r="B61" i="99" s="1" a="1"/>
  <c r="B61" i="99" s="1"/>
  <c r="BP103" i="88" s="1"/>
  <c r="BP71" i="88" l="1"/>
  <c r="BP10" i="88"/>
  <c r="BP223" i="88"/>
  <c r="BP218" i="88"/>
  <c r="BP231" i="88"/>
  <c r="BP206" i="88"/>
  <c r="BP232" i="88"/>
  <c r="BP228" i="88"/>
  <c r="BP217" i="88"/>
  <c r="BP212" i="88"/>
  <c r="BP194" i="88"/>
  <c r="BP201" i="88"/>
  <c r="BP174" i="88"/>
  <c r="BP189" i="88"/>
  <c r="BP173" i="88"/>
  <c r="BP203" i="88"/>
  <c r="BP187" i="88"/>
  <c r="BP177" i="88"/>
  <c r="BP139" i="88"/>
  <c r="BP152" i="88"/>
  <c r="BP40" i="88"/>
  <c r="BP208" i="88"/>
  <c r="BP198" i="88"/>
  <c r="BP204" i="88"/>
  <c r="BP186" i="88"/>
  <c r="BP184" i="88"/>
  <c r="BP213" i="88"/>
  <c r="BP211" i="88"/>
  <c r="BP191" i="88"/>
  <c r="BP181" i="88"/>
  <c r="BP179" i="88"/>
  <c r="BP199" i="88"/>
  <c r="BP170" i="88"/>
  <c r="BP153" i="88"/>
  <c r="BP144" i="88"/>
  <c r="BP124" i="88"/>
  <c r="BP169" i="88"/>
  <c r="BP154" i="88"/>
  <c r="BP142" i="88"/>
  <c r="BP14" i="88"/>
  <c r="BP58" i="88"/>
  <c r="BP227" i="88"/>
  <c r="BP221" i="88"/>
  <c r="BP230" i="88"/>
  <c r="BP200" i="88"/>
  <c r="BP67" i="88"/>
  <c r="BP50" i="88"/>
  <c r="BP192" i="88"/>
  <c r="BP202" i="88"/>
  <c r="BP190" i="88"/>
  <c r="BP182" i="88"/>
  <c r="BP180" i="88"/>
  <c r="BP209" i="88"/>
  <c r="BP197" i="88"/>
  <c r="BP175" i="88"/>
  <c r="BP214" i="88"/>
  <c r="BP178" i="88"/>
  <c r="BP172" i="88"/>
  <c r="BP185" i="88"/>
  <c r="BP148" i="88"/>
  <c r="BP164" i="88"/>
  <c r="BP224" i="88"/>
  <c r="BP195" i="88"/>
  <c r="BP183" i="88"/>
  <c r="BP157" i="88"/>
  <c r="BP150" i="88"/>
  <c r="BP126" i="88"/>
  <c r="BP162" i="88"/>
  <c r="BP110" i="88"/>
  <c r="BP121" i="88"/>
  <c r="BP95" i="88"/>
  <c r="BP118" i="88"/>
  <c r="BP80" i="88"/>
  <c r="BP87" i="88"/>
  <c r="BP91" i="88"/>
  <c r="BP196" i="88"/>
  <c r="BP216" i="88"/>
  <c r="BP193" i="88"/>
  <c r="BP163" i="88"/>
  <c r="BP147" i="88"/>
  <c r="BP156" i="88"/>
  <c r="BP140" i="88"/>
  <c r="BP165" i="88"/>
  <c r="BP171" i="88"/>
  <c r="BP122" i="88"/>
  <c r="BP130" i="88"/>
  <c r="BP125" i="88"/>
  <c r="BP105" i="88"/>
  <c r="BP96" i="88"/>
  <c r="BP129" i="88"/>
  <c r="BP113" i="88"/>
  <c r="BP107" i="88"/>
  <c r="BP100" i="88"/>
  <c r="BP86" i="88"/>
  <c r="BP120" i="88"/>
  <c r="BP77" i="88"/>
  <c r="BP207" i="88"/>
  <c r="BP135" i="88"/>
  <c r="BP161" i="88"/>
  <c r="BP123" i="88"/>
  <c r="BP132" i="88"/>
  <c r="BP166" i="88"/>
  <c r="BP133" i="88"/>
  <c r="BP104" i="88"/>
  <c r="BP106" i="88"/>
  <c r="BP88" i="88"/>
  <c r="BP108" i="88"/>
  <c r="BP117" i="88"/>
  <c r="BP116" i="88"/>
  <c r="BP155" i="88"/>
  <c r="BP137" i="88"/>
  <c r="BP102" i="88"/>
  <c r="BP70" i="88"/>
  <c r="BP159" i="88"/>
  <c r="BP136" i="88"/>
  <c r="BP127" i="88"/>
  <c r="BP134" i="88"/>
  <c r="BP151" i="88"/>
  <c r="BP143" i="88"/>
  <c r="BP160" i="88"/>
  <c r="BP145" i="88"/>
  <c r="BP99" i="88"/>
  <c r="BP168" i="88"/>
  <c r="BP84" i="88"/>
  <c r="BP52" i="88"/>
  <c r="BP92" i="88"/>
  <c r="BP63" i="88"/>
  <c r="BP82" i="88"/>
  <c r="BP78" i="88"/>
  <c r="BP62" i="88"/>
  <c r="BP45" i="88"/>
  <c r="BP51" i="88"/>
  <c r="BP27" i="88"/>
  <c r="BP26" i="88"/>
  <c r="BP22" i="88"/>
  <c r="BP9" i="88"/>
  <c r="BP43" i="88"/>
  <c r="BP57" i="88"/>
  <c r="BP12" i="88"/>
  <c r="BP25" i="88"/>
  <c r="BP55" i="88"/>
  <c r="BP68" i="88"/>
  <c r="BP210" i="88"/>
  <c r="BP176" i="88"/>
  <c r="BP167" i="88"/>
  <c r="BP138" i="88"/>
  <c r="BP119" i="88"/>
  <c r="BP53" i="88"/>
  <c r="BP56" i="88"/>
  <c r="BP49" i="88"/>
  <c r="BP76" i="88"/>
  <c r="BP73" i="88"/>
  <c r="BP38" i="88"/>
  <c r="BP36" i="88"/>
  <c r="BP75" i="88"/>
  <c r="BP30" i="88"/>
  <c r="BP21" i="88"/>
  <c r="BP37" i="88"/>
  <c r="BP13" i="88"/>
  <c r="BP61" i="88"/>
  <c r="BP19" i="88"/>
  <c r="BP20" i="88"/>
  <c r="BP222" i="88"/>
  <c r="BP79" i="88"/>
  <c r="BP98" i="88"/>
  <c r="BP29" i="88"/>
  <c r="BP131" i="88"/>
  <c r="BP111" i="88"/>
  <c r="BP149" i="88"/>
  <c r="BP109" i="88"/>
  <c r="BP66" i="88"/>
  <c r="BP93" i="88"/>
  <c r="BP69" i="88"/>
  <c r="BP59" i="88"/>
  <c r="BP28" i="88"/>
  <c r="BP72" i="88"/>
  <c r="BP42" i="88"/>
  <c r="BP11" i="88"/>
  <c r="BP44" i="88"/>
  <c r="BP33" i="88"/>
  <c r="BP16" i="88"/>
  <c r="BP35" i="88"/>
  <c r="BP8" i="88"/>
  <c r="BP31" i="88"/>
  <c r="BP89" i="88"/>
  <c r="BP97" i="88"/>
  <c r="BP220" i="88"/>
  <c r="BP46" i="88"/>
  <c r="BP34" i="88"/>
  <c r="BP41" i="88"/>
  <c r="BP47" i="88"/>
  <c r="BP188" i="88"/>
  <c r="BP64" i="88"/>
  <c r="BP60" i="88"/>
  <c r="BP65" i="88"/>
  <c r="BP39" i="88"/>
  <c r="BP15" i="88"/>
  <c r="BP17" i="88"/>
  <c r="BP18" i="88"/>
  <c r="BP32" i="88"/>
  <c r="BP112" i="88"/>
  <c r="BP85" i="88"/>
  <c r="BP83" i="88"/>
  <c r="BP23" i="88"/>
  <c r="BP90" i="88"/>
  <c r="BP226" i="88"/>
  <c r="BP205" i="88"/>
  <c r="BP24" i="88"/>
  <c r="BP48" i="88"/>
  <c r="BP114" i="88"/>
  <c r="BP74" i="88"/>
  <c r="BP81" i="88"/>
  <c r="BP94" i="88"/>
  <c r="I54" i="99"/>
  <c r="B62" i="99" s="1" a="1"/>
  <c r="B62" i="99" s="1"/>
  <c r="BQ103" i="88" s="1"/>
  <c r="C61" i="99"/>
  <c r="BP7" i="88"/>
  <c r="BT7" i="88"/>
  <c r="BQ91" i="88" l="1"/>
  <c r="BQ15" i="88"/>
  <c r="BQ228" i="88"/>
  <c r="BQ19" i="88"/>
  <c r="BQ210" i="88"/>
  <c r="BQ192" i="88"/>
  <c r="BQ230" i="88"/>
  <c r="BQ206" i="88"/>
  <c r="BQ180" i="88"/>
  <c r="BQ195" i="88"/>
  <c r="BQ186" i="88"/>
  <c r="BQ214" i="88"/>
  <c r="BQ193" i="88"/>
  <c r="BQ183" i="88"/>
  <c r="BQ197" i="88"/>
  <c r="BQ181" i="88"/>
  <c r="BQ209" i="88"/>
  <c r="BQ166" i="88"/>
  <c r="BQ155" i="88"/>
  <c r="BQ148" i="88"/>
  <c r="BQ170" i="88"/>
  <c r="BQ153" i="88"/>
  <c r="BQ59" i="88"/>
  <c r="BQ72" i="88"/>
  <c r="BQ221" i="88"/>
  <c r="BQ11" i="88"/>
  <c r="BQ202" i="88"/>
  <c r="BQ217" i="88"/>
  <c r="BQ198" i="88"/>
  <c r="BQ232" i="88"/>
  <c r="BQ178" i="88"/>
  <c r="BQ207" i="88"/>
  <c r="BQ205" i="88"/>
  <c r="BQ185" i="88"/>
  <c r="BQ173" i="88"/>
  <c r="BQ175" i="88"/>
  <c r="BQ143" i="88"/>
  <c r="BQ138" i="88"/>
  <c r="BQ131" i="88"/>
  <c r="BQ159" i="88"/>
  <c r="BQ152" i="88"/>
  <c r="BQ136" i="88"/>
  <c r="BQ218" i="88"/>
  <c r="BQ208" i="88"/>
  <c r="BQ194" i="88"/>
  <c r="BQ25" i="88"/>
  <c r="BQ171" i="88"/>
  <c r="BQ84" i="88"/>
  <c r="BQ227" i="88"/>
  <c r="BQ231" i="88"/>
  <c r="BQ200" i="88"/>
  <c r="BQ223" i="88"/>
  <c r="BQ212" i="88"/>
  <c r="BQ196" i="88"/>
  <c r="BQ174" i="88"/>
  <c r="BQ224" i="88"/>
  <c r="BQ203" i="88"/>
  <c r="BQ188" i="88"/>
  <c r="BQ176" i="88"/>
  <c r="BQ167" i="88"/>
  <c r="BQ191" i="88"/>
  <c r="BQ213" i="88"/>
  <c r="BQ189" i="88"/>
  <c r="BQ179" i="88"/>
  <c r="BQ164" i="88"/>
  <c r="BQ149" i="88"/>
  <c r="BQ139" i="88"/>
  <c r="BQ201" i="88"/>
  <c r="BQ142" i="88"/>
  <c r="BQ150" i="88"/>
  <c r="BQ160" i="88"/>
  <c r="BQ123" i="88"/>
  <c r="BQ88" i="88"/>
  <c r="BQ168" i="88"/>
  <c r="BQ111" i="88"/>
  <c r="BQ120" i="88"/>
  <c r="BQ169" i="88"/>
  <c r="BQ96" i="88"/>
  <c r="BQ109" i="88"/>
  <c r="BQ119" i="88"/>
  <c r="BQ93" i="88"/>
  <c r="BQ76" i="88"/>
  <c r="BQ64" i="88"/>
  <c r="BQ65" i="88"/>
  <c r="BQ86" i="88"/>
  <c r="BQ70" i="88"/>
  <c r="BQ211" i="88"/>
  <c r="BQ184" i="88"/>
  <c r="BQ216" i="88"/>
  <c r="BQ177" i="88"/>
  <c r="BQ187" i="88"/>
  <c r="BQ135" i="88"/>
  <c r="BQ163" i="88"/>
  <c r="BQ157" i="88"/>
  <c r="BQ147" i="88"/>
  <c r="BQ134" i="88"/>
  <c r="BQ102" i="88"/>
  <c r="BQ151" i="88"/>
  <c r="BQ162" i="88"/>
  <c r="BQ126" i="88"/>
  <c r="BQ110" i="88"/>
  <c r="BQ112" i="88"/>
  <c r="BQ118" i="88"/>
  <c r="BQ69" i="88"/>
  <c r="BQ67" i="88"/>
  <c r="BQ87" i="88"/>
  <c r="BQ127" i="88"/>
  <c r="BQ124" i="88"/>
  <c r="BQ154" i="88"/>
  <c r="BQ156" i="88"/>
  <c r="BQ172" i="88"/>
  <c r="BQ132" i="88"/>
  <c r="BQ129" i="88"/>
  <c r="BQ113" i="88"/>
  <c r="BQ122" i="88"/>
  <c r="BQ107" i="88"/>
  <c r="BQ145" i="88"/>
  <c r="BQ99" i="88"/>
  <c r="BQ121" i="88"/>
  <c r="BQ140" i="88"/>
  <c r="BQ78" i="88"/>
  <c r="BQ77" i="88"/>
  <c r="BQ53" i="88"/>
  <c r="BQ61" i="88"/>
  <c r="BQ144" i="88"/>
  <c r="BQ106" i="88"/>
  <c r="BQ137" i="88"/>
  <c r="BQ114" i="88"/>
  <c r="BQ56" i="88"/>
  <c r="BQ43" i="88"/>
  <c r="BQ117" i="88"/>
  <c r="BQ83" i="88"/>
  <c r="BQ58" i="88"/>
  <c r="BQ30" i="88"/>
  <c r="BQ38" i="88"/>
  <c r="BQ17" i="88"/>
  <c r="BQ48" i="88"/>
  <c r="BQ44" i="88"/>
  <c r="BQ52" i="88"/>
  <c r="BQ50" i="88"/>
  <c r="BQ32" i="88"/>
  <c r="BQ199" i="88"/>
  <c r="BQ95" i="88"/>
  <c r="BQ105" i="88"/>
  <c r="BQ80" i="88"/>
  <c r="BQ39" i="88"/>
  <c r="BQ35" i="88"/>
  <c r="BQ26" i="88"/>
  <c r="BQ28" i="88"/>
  <c r="BQ13" i="88"/>
  <c r="BQ34" i="88"/>
  <c r="BQ46" i="88"/>
  <c r="BQ97" i="88"/>
  <c r="BQ81" i="88"/>
  <c r="BQ204" i="88"/>
  <c r="BQ182" i="88"/>
  <c r="BQ190" i="88"/>
  <c r="BQ108" i="88"/>
  <c r="BQ130" i="88"/>
  <c r="BQ100" i="88"/>
  <c r="BQ116" i="88"/>
  <c r="BQ104" i="88"/>
  <c r="BQ60" i="88"/>
  <c r="BQ85" i="88"/>
  <c r="BQ71" i="88"/>
  <c r="BQ27" i="88"/>
  <c r="BQ21" i="88"/>
  <c r="BQ45" i="88"/>
  <c r="BQ57" i="88"/>
  <c r="BQ36" i="88"/>
  <c r="BQ37" i="88"/>
  <c r="BQ24" i="88"/>
  <c r="BQ75" i="88"/>
  <c r="BQ62" i="88"/>
  <c r="BQ51" i="88"/>
  <c r="BQ10" i="88"/>
  <c r="BQ9" i="88"/>
  <c r="BQ16" i="88"/>
  <c r="BQ68" i="88"/>
  <c r="BQ94" i="88"/>
  <c r="BQ226" i="88"/>
  <c r="BQ63" i="88"/>
  <c r="BQ92" i="88"/>
  <c r="BQ8" i="88"/>
  <c r="BQ33" i="88"/>
  <c r="BQ14" i="88"/>
  <c r="BQ222" i="88"/>
  <c r="BQ47" i="88"/>
  <c r="BQ29" i="88"/>
  <c r="BQ165" i="88"/>
  <c r="BQ82" i="88"/>
  <c r="BQ49" i="88"/>
  <c r="BQ22" i="88"/>
  <c r="BQ74" i="88"/>
  <c r="BQ18" i="88"/>
  <c r="BQ31" i="88"/>
  <c r="BQ90" i="88"/>
  <c r="BQ55" i="88"/>
  <c r="BQ161" i="88"/>
  <c r="BQ133" i="88"/>
  <c r="BQ125" i="88"/>
  <c r="BQ12" i="88"/>
  <c r="BQ79" i="88"/>
  <c r="BQ23" i="88"/>
  <c r="BQ20" i="88"/>
  <c r="BQ98" i="88"/>
  <c r="BQ220" i="88"/>
  <c r="BQ41" i="88"/>
  <c r="BQ89" i="88"/>
  <c r="BQ73" i="88"/>
  <c r="BQ66" i="88"/>
  <c r="BQ42" i="88"/>
  <c r="BQ40" i="88"/>
  <c r="C62" i="99"/>
  <c r="BQ7" i="88"/>
  <c r="I55" i="99"/>
  <c r="B63" i="99" l="1" a="1"/>
  <c r="B63" i="99" s="1"/>
  <c r="BR103" i="88" s="1"/>
  <c r="I56" i="99"/>
  <c r="B64" i="99" s="1" a="1"/>
  <c r="B64" i="99" s="1"/>
  <c r="BS103" i="88" s="1"/>
  <c r="BS61" i="88" l="1"/>
  <c r="BS221" i="88"/>
  <c r="BS208" i="88"/>
  <c r="BS198" i="88"/>
  <c r="BS204" i="88"/>
  <c r="BS186" i="88"/>
  <c r="BS211" i="88"/>
  <c r="BS184" i="88"/>
  <c r="BS174" i="88"/>
  <c r="BS213" i="88"/>
  <c r="BS199" i="88"/>
  <c r="BS181" i="88"/>
  <c r="BS187" i="88"/>
  <c r="BS170" i="88"/>
  <c r="BS153" i="88"/>
  <c r="BS124" i="88"/>
  <c r="BS169" i="88"/>
  <c r="BS154" i="88"/>
  <c r="BS44" i="88"/>
  <c r="BS230" i="88"/>
  <c r="BS200" i="88"/>
  <c r="BS190" i="88"/>
  <c r="BS196" i="88"/>
  <c r="BS59" i="88"/>
  <c r="BS210" i="88"/>
  <c r="BS216" i="88"/>
  <c r="BS203" i="88"/>
  <c r="BS176" i="88"/>
  <c r="BS205" i="88"/>
  <c r="BS188" i="88"/>
  <c r="BS167" i="88"/>
  <c r="BS191" i="88"/>
  <c r="BS173" i="88"/>
  <c r="BS193" i="88"/>
  <c r="BS179" i="88"/>
  <c r="BS135" i="88"/>
  <c r="BS127" i="88"/>
  <c r="BS123" i="88"/>
  <c r="BS157" i="88"/>
  <c r="BS134" i="88"/>
  <c r="BS9" i="88"/>
  <c r="BS51" i="88"/>
  <c r="BS224" i="88"/>
  <c r="BS17" i="88"/>
  <c r="BS227" i="88"/>
  <c r="BS192" i="88"/>
  <c r="BS57" i="88"/>
  <c r="BS218" i="88"/>
  <c r="BS223" i="88"/>
  <c r="BS231" i="88"/>
  <c r="BS206" i="88"/>
  <c r="BS232" i="88"/>
  <c r="BS228" i="88"/>
  <c r="BS217" i="88"/>
  <c r="BS212" i="88"/>
  <c r="BS194" i="88"/>
  <c r="BS201" i="88"/>
  <c r="BS207" i="88"/>
  <c r="BS189" i="88"/>
  <c r="BS175" i="88"/>
  <c r="BS195" i="88"/>
  <c r="BS177" i="88"/>
  <c r="BS139" i="88"/>
  <c r="BS165" i="88"/>
  <c r="BS202" i="88"/>
  <c r="BS180" i="88"/>
  <c r="BS197" i="88"/>
  <c r="BS155" i="88"/>
  <c r="BS144" i="88"/>
  <c r="BS156" i="88"/>
  <c r="BS113" i="88"/>
  <c r="BS122" i="88"/>
  <c r="BS130" i="88"/>
  <c r="BS125" i="88"/>
  <c r="BS104" i="88"/>
  <c r="BS162" i="88"/>
  <c r="BS121" i="88"/>
  <c r="BS129" i="88"/>
  <c r="BS107" i="88"/>
  <c r="BS100" i="88"/>
  <c r="BS114" i="88"/>
  <c r="BS214" i="88"/>
  <c r="BS183" i="88"/>
  <c r="BS172" i="88"/>
  <c r="BS148" i="88"/>
  <c r="BS152" i="88"/>
  <c r="BS136" i="88"/>
  <c r="BS161" i="88"/>
  <c r="BS166" i="88"/>
  <c r="BS133" i="88"/>
  <c r="BS106" i="88"/>
  <c r="BS95" i="88"/>
  <c r="BS108" i="88"/>
  <c r="BS96" i="88"/>
  <c r="BS116" i="88"/>
  <c r="BS99" i="88"/>
  <c r="BS105" i="88"/>
  <c r="BS137" i="88"/>
  <c r="BS78" i="88"/>
  <c r="BS83" i="88"/>
  <c r="BS73" i="88"/>
  <c r="BS86" i="88"/>
  <c r="BS182" i="88"/>
  <c r="BS209" i="88"/>
  <c r="BS178" i="88"/>
  <c r="BS185" i="88"/>
  <c r="BS142" i="88"/>
  <c r="BS143" i="88"/>
  <c r="BS160" i="88"/>
  <c r="BS111" i="88"/>
  <c r="BS149" i="88"/>
  <c r="BS140" i="88"/>
  <c r="BS112" i="88"/>
  <c r="BS119" i="88"/>
  <c r="BS151" i="88"/>
  <c r="BS168" i="88"/>
  <c r="BS109" i="88"/>
  <c r="BS85" i="88"/>
  <c r="BS69" i="88"/>
  <c r="BS65" i="88"/>
  <c r="BS91" i="88"/>
  <c r="BS64" i="88"/>
  <c r="BS60" i="88"/>
  <c r="BS150" i="88"/>
  <c r="BS163" i="88"/>
  <c r="BS126" i="88"/>
  <c r="BS70" i="88"/>
  <c r="BS38" i="88"/>
  <c r="BS36" i="88"/>
  <c r="BS75" i="88"/>
  <c r="BS37" i="88"/>
  <c r="BS21" i="88"/>
  <c r="BS12" i="88"/>
  <c r="BS23" i="88"/>
  <c r="BS89" i="88"/>
  <c r="BS226" i="88"/>
  <c r="BS20" i="88"/>
  <c r="BS147" i="88"/>
  <c r="BS110" i="88"/>
  <c r="BS131" i="88"/>
  <c r="BS118" i="88"/>
  <c r="BS120" i="88"/>
  <c r="BS43" i="88"/>
  <c r="BS87" i="88"/>
  <c r="BS84" i="88"/>
  <c r="BS71" i="88"/>
  <c r="BS66" i="88"/>
  <c r="BS56" i="88"/>
  <c r="BS52" i="88"/>
  <c r="BS49" i="88"/>
  <c r="BS117" i="88"/>
  <c r="BS63" i="88"/>
  <c r="BS42" i="88"/>
  <c r="BS27" i="88"/>
  <c r="BS11" i="88"/>
  <c r="BS45" i="88"/>
  <c r="BS50" i="88"/>
  <c r="BS26" i="88"/>
  <c r="BS25" i="88"/>
  <c r="BS14" i="88"/>
  <c r="BS16" i="88"/>
  <c r="BS35" i="88"/>
  <c r="BS32" i="88"/>
  <c r="BS40" i="88"/>
  <c r="BS15" i="88"/>
  <c r="BS98" i="88"/>
  <c r="BS94" i="88"/>
  <c r="BS41" i="88"/>
  <c r="BS97" i="88"/>
  <c r="BS18" i="88"/>
  <c r="BS164" i="88"/>
  <c r="BS102" i="88"/>
  <c r="BS132" i="88"/>
  <c r="BS145" i="88"/>
  <c r="BS88" i="88"/>
  <c r="BS92" i="88"/>
  <c r="BS82" i="88"/>
  <c r="BS93" i="88"/>
  <c r="BS76" i="88"/>
  <c r="BS80" i="88"/>
  <c r="BS62" i="88"/>
  <c r="BS13" i="88"/>
  <c r="BS28" i="88"/>
  <c r="BS22" i="88"/>
  <c r="BS39" i="88"/>
  <c r="BS8" i="88"/>
  <c r="BS34" i="88"/>
  <c r="BS79" i="88"/>
  <c r="BS222" i="88"/>
  <c r="BS68" i="88"/>
  <c r="BS90" i="88"/>
  <c r="BS31" i="88"/>
  <c r="BS77" i="88"/>
  <c r="BS72" i="88"/>
  <c r="BS30" i="88"/>
  <c r="BS24" i="88"/>
  <c r="BS10" i="88"/>
  <c r="BS33" i="88"/>
  <c r="BS81" i="88"/>
  <c r="BS138" i="88"/>
  <c r="BS58" i="88"/>
  <c r="BS19" i="88"/>
  <c r="BS47" i="88"/>
  <c r="BS46" i="88"/>
  <c r="BS159" i="88"/>
  <c r="BS67" i="88"/>
  <c r="BS53" i="88"/>
  <c r="BS48" i="88"/>
  <c r="BS29" i="88"/>
  <c r="BS74" i="88"/>
  <c r="BS55" i="88"/>
  <c r="BS171" i="88"/>
  <c r="BS220" i="88"/>
  <c r="BR8" i="88"/>
  <c r="BR62" i="88"/>
  <c r="BR48" i="88"/>
  <c r="BR12" i="88"/>
  <c r="BR200" i="88"/>
  <c r="BR230" i="88"/>
  <c r="BR196" i="88"/>
  <c r="BR221" i="88"/>
  <c r="BR190" i="88"/>
  <c r="BR174" i="88"/>
  <c r="BR216" i="88"/>
  <c r="BR203" i="88"/>
  <c r="BR176" i="88"/>
  <c r="BR205" i="88"/>
  <c r="BR167" i="88"/>
  <c r="BR191" i="88"/>
  <c r="BR193" i="88"/>
  <c r="BR179" i="88"/>
  <c r="BR139" i="88"/>
  <c r="BR127" i="88"/>
  <c r="BR157" i="88"/>
  <c r="BR82" i="88"/>
  <c r="BR16" i="88"/>
  <c r="BR56" i="88"/>
  <c r="BR232" i="88"/>
  <c r="BR210" i="88"/>
  <c r="BR192" i="88"/>
  <c r="BR73" i="88"/>
  <c r="BR227" i="88"/>
  <c r="BR206" i="88"/>
  <c r="BR231" i="88"/>
  <c r="BR188" i="88"/>
  <c r="BR180" i="88"/>
  <c r="BR224" i="88"/>
  <c r="BR209" i="88"/>
  <c r="BR195" i="88"/>
  <c r="BR186" i="88"/>
  <c r="BR214" i="88"/>
  <c r="BR197" i="88"/>
  <c r="BR183" i="88"/>
  <c r="BR185" i="88"/>
  <c r="BR166" i="88"/>
  <c r="BR155" i="88"/>
  <c r="BR148" i="88"/>
  <c r="BR171" i="88"/>
  <c r="BR170" i="88"/>
  <c r="BR144" i="88"/>
  <c r="BR154" i="88"/>
  <c r="BR69" i="88"/>
  <c r="BR172" i="88"/>
  <c r="BR75" i="88"/>
  <c r="BR202" i="88"/>
  <c r="BR42" i="88"/>
  <c r="BR223" i="88"/>
  <c r="BR50" i="88"/>
  <c r="BR228" i="88"/>
  <c r="BR212" i="88"/>
  <c r="BR208" i="88"/>
  <c r="BR194" i="88"/>
  <c r="BR217" i="88"/>
  <c r="BR204" i="88"/>
  <c r="BR182" i="88"/>
  <c r="BR211" i="88"/>
  <c r="BR184" i="88"/>
  <c r="BR213" i="88"/>
  <c r="BR199" i="88"/>
  <c r="BR181" i="88"/>
  <c r="BR187" i="88"/>
  <c r="BR153" i="88"/>
  <c r="BR124" i="88"/>
  <c r="BR169" i="88"/>
  <c r="BR218" i="88"/>
  <c r="BR198" i="88"/>
  <c r="BR189" i="88"/>
  <c r="BR131" i="88"/>
  <c r="BR152" i="88"/>
  <c r="BR136" i="88"/>
  <c r="BR161" i="88"/>
  <c r="BR165" i="88"/>
  <c r="BR133" i="88"/>
  <c r="BR106" i="88"/>
  <c r="BR108" i="88"/>
  <c r="BR125" i="88"/>
  <c r="BR104" i="88"/>
  <c r="BR102" i="88"/>
  <c r="BR105" i="88"/>
  <c r="BR137" i="88"/>
  <c r="BR116" i="88"/>
  <c r="BR85" i="88"/>
  <c r="BR142" i="88"/>
  <c r="BR123" i="88"/>
  <c r="BR150" i="88"/>
  <c r="BR160" i="88"/>
  <c r="BR168" i="88"/>
  <c r="BR111" i="88"/>
  <c r="BR88" i="88"/>
  <c r="BR120" i="88"/>
  <c r="BR119" i="88"/>
  <c r="BR109" i="88"/>
  <c r="BR84" i="88"/>
  <c r="BR65" i="88"/>
  <c r="BR80" i="88"/>
  <c r="BR70" i="88"/>
  <c r="BR201" i="88"/>
  <c r="BR178" i="88"/>
  <c r="BR207" i="88"/>
  <c r="BR175" i="88"/>
  <c r="BR177" i="88"/>
  <c r="BR143" i="88"/>
  <c r="BR159" i="88"/>
  <c r="BR134" i="88"/>
  <c r="BR173" i="88"/>
  <c r="BR135" i="88"/>
  <c r="BR163" i="88"/>
  <c r="BR147" i="88"/>
  <c r="BR149" i="88"/>
  <c r="BR140" i="88"/>
  <c r="BR162" i="88"/>
  <c r="BR99" i="88"/>
  <c r="BR132" i="88"/>
  <c r="BR126" i="88"/>
  <c r="BR110" i="88"/>
  <c r="BR151" i="88"/>
  <c r="BR112" i="88"/>
  <c r="BR95" i="88"/>
  <c r="BR100" i="88"/>
  <c r="BR118" i="88"/>
  <c r="BR76" i="88"/>
  <c r="BR43" i="88"/>
  <c r="BR117" i="88"/>
  <c r="BR129" i="88"/>
  <c r="BR121" i="88"/>
  <c r="BR96" i="88"/>
  <c r="BR53" i="88"/>
  <c r="BR45" i="88"/>
  <c r="BR87" i="88"/>
  <c r="BR71" i="88"/>
  <c r="BR66" i="88"/>
  <c r="BR49" i="88"/>
  <c r="BR60" i="88"/>
  <c r="BR57" i="88"/>
  <c r="BR32" i="88"/>
  <c r="BR28" i="88"/>
  <c r="BR33" i="88"/>
  <c r="BR21" i="88"/>
  <c r="BR11" i="88"/>
  <c r="BR14" i="88"/>
  <c r="BR40" i="88"/>
  <c r="BR9" i="88"/>
  <c r="BR29" i="88"/>
  <c r="BR97" i="88"/>
  <c r="BR164" i="88"/>
  <c r="BR113" i="88"/>
  <c r="BR138" i="88"/>
  <c r="BR92" i="88"/>
  <c r="BR86" i="88"/>
  <c r="BR64" i="88"/>
  <c r="BR52" i="88"/>
  <c r="BR61" i="88"/>
  <c r="BR26" i="88"/>
  <c r="BR17" i="88"/>
  <c r="BR44" i="88"/>
  <c r="BR15" i="88"/>
  <c r="BR19" i="88"/>
  <c r="BR55" i="88"/>
  <c r="BR220" i="88"/>
  <c r="BR47" i="88"/>
  <c r="BR222" i="88"/>
  <c r="BR67" i="88"/>
  <c r="BR77" i="88"/>
  <c r="BR114" i="88"/>
  <c r="BR83" i="88"/>
  <c r="BR63" i="88"/>
  <c r="BR39" i="88"/>
  <c r="BR35" i="88"/>
  <c r="BR25" i="88"/>
  <c r="BR24" i="88"/>
  <c r="BR59" i="88"/>
  <c r="BR10" i="88"/>
  <c r="BR27" i="88"/>
  <c r="BR79" i="88"/>
  <c r="BR98" i="88"/>
  <c r="BR23" i="88"/>
  <c r="BR46" i="88"/>
  <c r="BR122" i="88"/>
  <c r="BR72" i="88"/>
  <c r="BR58" i="88"/>
  <c r="BR36" i="88"/>
  <c r="BR37" i="88"/>
  <c r="BR30" i="88"/>
  <c r="BR20" i="88"/>
  <c r="BR68" i="88"/>
  <c r="BR13" i="88"/>
  <c r="BR156" i="88"/>
  <c r="BR226" i="88"/>
  <c r="BR74" i="88"/>
  <c r="BR81" i="88"/>
  <c r="BR89" i="88"/>
  <c r="BR51" i="88"/>
  <c r="BR130" i="88"/>
  <c r="BR145" i="88"/>
  <c r="BR107" i="88"/>
  <c r="BR93" i="88"/>
  <c r="BR78" i="88"/>
  <c r="BR91" i="88"/>
  <c r="BR38" i="88"/>
  <c r="BR34" i="88"/>
  <c r="BR31" i="88"/>
  <c r="BR41" i="88"/>
  <c r="BR18" i="88"/>
  <c r="BR22" i="88"/>
  <c r="BR90" i="88"/>
  <c r="BR94" i="88"/>
  <c r="C63" i="99"/>
  <c r="BR7" i="88"/>
  <c r="C64" i="99"/>
  <c r="BS7" i="88"/>
  <c r="O61" i="99" l="1"/>
  <c r="C23" i="85"/>
  <c r="C16" i="85"/>
  <c r="C82" i="84" s="1" a="1"/>
  <c r="C82" i="84" s="1"/>
  <c r="P61" i="99" l="1" a="1"/>
  <c r="P61" i="99" s="1"/>
  <c r="C21" i="84" a="1"/>
  <c r="C21" i="84" s="1"/>
  <c r="B79" i="99" a="1"/>
  <c r="B79" i="99" s="1"/>
  <c r="B81" i="99" a="1"/>
  <c r="B81" i="99" s="1"/>
  <c r="B77" i="99" a="1"/>
  <c r="B77" i="99" s="1"/>
  <c r="C67" i="99" a="1"/>
  <c r="C67" i="99" s="1"/>
  <c r="C68" i="99" s="1" a="1"/>
  <c r="C68" i="99" s="1"/>
  <c r="B78" i="99" a="1"/>
  <c r="B78" i="99" s="1"/>
  <c r="B80" i="99" a="1"/>
  <c r="B80" i="99" s="1"/>
  <c r="B82" i="99" a="1"/>
  <c r="B82" i="99" s="1"/>
  <c r="D82" i="84"/>
  <c r="D80" i="100"/>
  <c r="C9" i="85"/>
  <c r="C2" i="85"/>
  <c r="C27" i="84" l="1"/>
  <c r="C56" i="84" s="1" a="1"/>
  <c r="C56" i="84" s="1"/>
  <c r="BY103" i="88"/>
  <c r="BV103" i="88"/>
  <c r="BU103" i="88"/>
  <c r="BX103" i="88"/>
  <c r="BW103" i="88"/>
  <c r="BZ103" i="88"/>
  <c r="BU88" i="88"/>
  <c r="BZ63" i="88"/>
  <c r="BX90" i="88"/>
  <c r="BY80" i="88"/>
  <c r="BV62" i="88"/>
  <c r="BW72" i="88"/>
  <c r="BX46" i="88"/>
  <c r="BW89" i="88"/>
  <c r="BU81" i="88"/>
  <c r="BX89" i="88"/>
  <c r="BV94" i="88"/>
  <c r="BX18" i="88"/>
  <c r="BX31" i="88"/>
  <c r="BY68" i="88"/>
  <c r="BV102" i="88"/>
  <c r="BW73" i="88"/>
  <c r="BX13" i="88"/>
  <c r="BY38" i="88"/>
  <c r="BV63" i="88"/>
  <c r="BW38" i="88"/>
  <c r="BW35" i="88"/>
  <c r="BY14" i="88"/>
  <c r="BY55" i="88"/>
  <c r="BW68" i="88"/>
  <c r="BV90" i="88"/>
  <c r="BV74" i="88"/>
  <c r="BX97" i="88"/>
  <c r="BU14" i="88"/>
  <c r="BU83" i="88"/>
  <c r="BW26" i="88"/>
  <c r="BX15" i="88"/>
  <c r="BX25" i="88"/>
  <c r="BY32" i="88"/>
  <c r="BX114" i="88"/>
  <c r="BW82" i="88"/>
  <c r="BX62" i="88"/>
  <c r="BV51" i="88"/>
  <c r="BX222" i="88"/>
  <c r="BW220" i="88"/>
  <c r="BU31" i="88"/>
  <c r="BU222" i="88"/>
  <c r="BU34" i="88"/>
  <c r="BU22" i="88"/>
  <c r="BY93" i="88"/>
  <c r="BV50" i="88"/>
  <c r="BW16" i="88"/>
  <c r="BW22" i="88"/>
  <c r="BV52" i="88"/>
  <c r="BU122" i="88"/>
  <c r="BW58" i="88"/>
  <c r="BV97" i="88"/>
  <c r="BY18" i="88"/>
  <c r="BV79" i="88"/>
  <c r="BU18" i="88"/>
  <c r="BW31" i="88"/>
  <c r="BW46" i="88"/>
  <c r="BW47" i="88"/>
  <c r="BY81" i="88"/>
  <c r="BY39" i="88"/>
  <c r="BW108" i="88"/>
  <c r="BW11" i="88"/>
  <c r="BW51" i="88"/>
  <c r="BV72" i="88"/>
  <c r="BU36" i="88"/>
  <c r="BV104" i="88"/>
  <c r="BZ79" i="88"/>
  <c r="BZ216" i="88"/>
  <c r="BZ185" i="88"/>
  <c r="BZ27" i="88"/>
  <c r="BZ218" i="88"/>
  <c r="BZ231" i="88"/>
  <c r="BZ206" i="88"/>
  <c r="BZ190" i="88"/>
  <c r="BZ82" i="88"/>
  <c r="BZ213" i="88"/>
  <c r="BZ181" i="88"/>
  <c r="BZ139" i="88"/>
  <c r="BZ153" i="88"/>
  <c r="BZ136" i="88"/>
  <c r="BZ50" i="88"/>
  <c r="BZ167" i="88"/>
  <c r="BZ143" i="88"/>
  <c r="BZ127" i="88"/>
  <c r="BZ152" i="88"/>
  <c r="BZ230" i="88"/>
  <c r="BZ223" i="88"/>
  <c r="BZ209" i="88"/>
  <c r="BZ177" i="88"/>
  <c r="BZ16" i="88"/>
  <c r="BZ204" i="88"/>
  <c r="BZ188" i="88"/>
  <c r="BZ195" i="88"/>
  <c r="BZ75" i="88"/>
  <c r="BZ73" i="88"/>
  <c r="BZ205" i="88"/>
  <c r="BZ208" i="88"/>
  <c r="BZ192" i="88"/>
  <c r="BZ176" i="88"/>
  <c r="BZ187" i="88"/>
  <c r="BZ144" i="88"/>
  <c r="BZ202" i="88"/>
  <c r="BZ191" i="88"/>
  <c r="BZ175" i="88"/>
  <c r="BZ170" i="88"/>
  <c r="BZ155" i="88"/>
  <c r="BZ138" i="88"/>
  <c r="BZ183" i="88"/>
  <c r="BZ161" i="88"/>
  <c r="BZ151" i="88"/>
  <c r="BZ169" i="88"/>
  <c r="BZ201" i="88"/>
  <c r="BZ62" i="88"/>
  <c r="BZ198" i="88"/>
  <c r="BZ182" i="88"/>
  <c r="BZ203" i="88"/>
  <c r="BZ69" i="88"/>
  <c r="BZ56" i="88"/>
  <c r="BZ48" i="88"/>
  <c r="BZ221" i="88"/>
  <c r="BZ217" i="88"/>
  <c r="BZ197" i="88"/>
  <c r="BZ214" i="88"/>
  <c r="BZ173" i="88"/>
  <c r="BZ156" i="88"/>
  <c r="BZ224" i="88"/>
  <c r="BZ149" i="88"/>
  <c r="BZ228" i="88"/>
  <c r="BZ200" i="88"/>
  <c r="BZ184" i="88"/>
  <c r="BZ179" i="88"/>
  <c r="BZ150" i="88"/>
  <c r="BZ140" i="88"/>
  <c r="BZ42" i="88"/>
  <c r="BZ193" i="88"/>
  <c r="BZ212" i="88"/>
  <c r="BZ196" i="88"/>
  <c r="BZ180" i="88"/>
  <c r="BZ174" i="88"/>
  <c r="BZ211" i="88"/>
  <c r="BZ227" i="88"/>
  <c r="BZ189" i="88"/>
  <c r="BZ232" i="88"/>
  <c r="BZ165" i="88"/>
  <c r="BZ159" i="88"/>
  <c r="BZ125" i="88"/>
  <c r="BZ92" i="88"/>
  <c r="BZ40" i="88"/>
  <c r="BZ210" i="88"/>
  <c r="BZ171" i="88"/>
  <c r="BZ110" i="88"/>
  <c r="BZ120" i="88"/>
  <c r="BZ93" i="88"/>
  <c r="BZ85" i="88"/>
  <c r="BZ45" i="88"/>
  <c r="BZ160" i="88"/>
  <c r="BZ129" i="88"/>
  <c r="BZ122" i="88"/>
  <c r="BZ109" i="88"/>
  <c r="BZ88" i="88"/>
  <c r="BZ100" i="88"/>
  <c r="BZ162" i="88"/>
  <c r="BZ80" i="88"/>
  <c r="BZ61" i="88"/>
  <c r="BZ12" i="88"/>
  <c r="BZ121" i="88"/>
  <c r="BZ71" i="88"/>
  <c r="BZ9" i="88"/>
  <c r="BZ72" i="88"/>
  <c r="BZ65" i="88"/>
  <c r="BZ67" i="88"/>
  <c r="BZ186" i="88"/>
  <c r="BZ123" i="88"/>
  <c r="BZ148" i="88"/>
  <c r="BZ154" i="88"/>
  <c r="BZ132" i="88"/>
  <c r="BZ114" i="88"/>
  <c r="BZ59" i="88"/>
  <c r="BZ178" i="88"/>
  <c r="BZ147" i="88"/>
  <c r="BZ113" i="88"/>
  <c r="BZ60" i="88"/>
  <c r="BZ172" i="88"/>
  <c r="BZ207" i="88"/>
  <c r="BZ86" i="88"/>
  <c r="BZ131" i="88"/>
  <c r="BZ137" i="88"/>
  <c r="BZ66" i="88"/>
  <c r="BZ8" i="88"/>
  <c r="BZ118" i="88"/>
  <c r="BZ77" i="88"/>
  <c r="BZ53" i="88"/>
  <c r="BZ49" i="88"/>
  <c r="BZ11" i="88"/>
  <c r="BZ32" i="88"/>
  <c r="BZ38" i="88"/>
  <c r="BZ166" i="88"/>
  <c r="BZ126" i="88"/>
  <c r="BZ76" i="88"/>
  <c r="BZ37" i="88"/>
  <c r="BZ145" i="88"/>
  <c r="BZ124" i="88"/>
  <c r="BZ102" i="88"/>
  <c r="BZ108" i="88"/>
  <c r="BZ83" i="88"/>
  <c r="BZ135" i="88"/>
  <c r="BZ133" i="88"/>
  <c r="BZ119" i="88"/>
  <c r="BZ194" i="88"/>
  <c r="BZ134" i="88"/>
  <c r="BZ105" i="88"/>
  <c r="BZ78" i="88"/>
  <c r="BZ24" i="88"/>
  <c r="BZ17" i="88"/>
  <c r="BZ130" i="88"/>
  <c r="BZ164" i="88"/>
  <c r="BZ199" i="88"/>
  <c r="BZ111" i="88"/>
  <c r="BZ112" i="88"/>
  <c r="BZ87" i="88"/>
  <c r="BZ57" i="88"/>
  <c r="BZ142" i="88"/>
  <c r="BZ168" i="88"/>
  <c r="BZ107" i="88"/>
  <c r="BZ99" i="88"/>
  <c r="BZ95" i="88"/>
  <c r="BZ52" i="88"/>
  <c r="BZ163" i="88"/>
  <c r="BZ106" i="88"/>
  <c r="BZ157" i="88"/>
  <c r="BZ41" i="88"/>
  <c r="BZ81" i="88"/>
  <c r="BZ58" i="88"/>
  <c r="BZ15" i="88"/>
  <c r="BZ14" i="88"/>
  <c r="BZ64" i="88"/>
  <c r="BX50" i="88"/>
  <c r="BX14" i="88"/>
  <c r="BX224" i="88"/>
  <c r="BX205" i="88"/>
  <c r="BX195" i="88"/>
  <c r="BX227" i="88"/>
  <c r="BX208" i="88"/>
  <c r="BX192" i="88"/>
  <c r="BX176" i="88"/>
  <c r="BX144" i="88"/>
  <c r="BX221" i="88"/>
  <c r="BX174" i="88"/>
  <c r="BX170" i="88"/>
  <c r="BX161" i="88"/>
  <c r="BX155" i="88"/>
  <c r="BX210" i="88"/>
  <c r="BX231" i="88"/>
  <c r="BX212" i="88"/>
  <c r="BX196" i="88"/>
  <c r="BX180" i="88"/>
  <c r="BX198" i="88"/>
  <c r="BX182" i="88"/>
  <c r="BX213" i="88"/>
  <c r="BX203" i="88"/>
  <c r="BX217" i="88"/>
  <c r="BX232" i="88"/>
  <c r="BX148" i="88"/>
  <c r="BX193" i="88"/>
  <c r="BX150" i="88"/>
  <c r="BX123" i="88"/>
  <c r="BX145" i="88"/>
  <c r="BX140" i="88"/>
  <c r="BX214" i="88"/>
  <c r="BX179" i="88"/>
  <c r="BX147" i="88"/>
  <c r="BX131" i="88"/>
  <c r="BX211" i="88"/>
  <c r="BX189" i="88"/>
  <c r="BX230" i="88"/>
  <c r="BX228" i="88"/>
  <c r="BX200" i="88"/>
  <c r="BX184" i="88"/>
  <c r="BX185" i="88"/>
  <c r="BX164" i="88"/>
  <c r="BX127" i="88"/>
  <c r="BX159" i="88"/>
  <c r="BX149" i="88"/>
  <c r="BX138" i="88"/>
  <c r="BX218" i="88"/>
  <c r="BX207" i="88"/>
  <c r="BX166" i="88"/>
  <c r="BX157" i="88"/>
  <c r="BX204" i="88"/>
  <c r="BX188" i="88"/>
  <c r="BX206" i="88"/>
  <c r="BX190" i="88"/>
  <c r="BX197" i="88"/>
  <c r="BX22" i="88"/>
  <c r="BX67" i="88"/>
  <c r="BX223" i="88"/>
  <c r="BX202" i="88"/>
  <c r="BX186" i="88"/>
  <c r="BX209" i="88"/>
  <c r="BX191" i="88"/>
  <c r="BX139" i="88"/>
  <c r="BX152" i="88"/>
  <c r="BX136" i="88"/>
  <c r="BX143" i="88"/>
  <c r="BX187" i="88"/>
  <c r="BX85" i="88"/>
  <c r="BX135" i="88"/>
  <c r="BX133" i="88"/>
  <c r="BX113" i="88"/>
  <c r="BX122" i="88"/>
  <c r="BX63" i="88"/>
  <c r="BX66" i="88"/>
  <c r="BX58" i="88"/>
  <c r="BX172" i="88"/>
  <c r="BX130" i="88"/>
  <c r="BX92" i="88"/>
  <c r="BX76" i="88"/>
  <c r="BX183" i="88"/>
  <c r="BX165" i="88"/>
  <c r="BX121" i="88"/>
  <c r="BX26" i="88"/>
  <c r="BX8" i="88"/>
  <c r="BX16" i="88"/>
  <c r="BX28" i="88"/>
  <c r="BX84" i="88"/>
  <c r="BX178" i="88"/>
  <c r="BX142" i="88"/>
  <c r="BX168" i="88"/>
  <c r="BX126" i="88"/>
  <c r="BX53" i="88"/>
  <c r="BX43" i="88"/>
  <c r="BX30" i="88"/>
  <c r="BX102" i="88"/>
  <c r="BX108" i="88"/>
  <c r="BX77" i="88"/>
  <c r="BX75" i="88"/>
  <c r="BX61" i="88"/>
  <c r="BX137" i="88"/>
  <c r="BX118" i="88"/>
  <c r="BX91" i="88"/>
  <c r="BX177" i="88"/>
  <c r="BX154" i="88"/>
  <c r="BX169" i="88"/>
  <c r="BX80" i="88"/>
  <c r="BX57" i="88"/>
  <c r="BX37" i="88"/>
  <c r="BX17" i="88"/>
  <c r="BX78" i="88"/>
  <c r="BX40" i="88"/>
  <c r="BX10" i="88"/>
  <c r="BX32" i="88"/>
  <c r="BX35" i="88"/>
  <c r="BX116" i="88"/>
  <c r="BX83" i="88"/>
  <c r="BX59" i="88"/>
  <c r="BX216" i="88"/>
  <c r="BX167" i="88"/>
  <c r="BX175" i="88"/>
  <c r="BX156" i="88"/>
  <c r="BX124" i="88"/>
  <c r="BX110" i="88"/>
  <c r="BX112" i="88"/>
  <c r="BX107" i="88"/>
  <c r="BX96" i="88"/>
  <c r="BX88" i="88"/>
  <c r="BX87" i="88"/>
  <c r="BX70" i="88"/>
  <c r="BX71" i="88"/>
  <c r="BX48" i="88"/>
  <c r="BX163" i="88"/>
  <c r="BX153" i="88"/>
  <c r="BX134" i="88"/>
  <c r="BX106" i="88"/>
  <c r="BX95" i="88"/>
  <c r="BX86" i="88"/>
  <c r="BX72" i="88"/>
  <c r="BX49" i="88"/>
  <c r="BX201" i="88"/>
  <c r="BX173" i="88"/>
  <c r="BX111" i="88"/>
  <c r="BX65" i="88"/>
  <c r="BX36" i="88"/>
  <c r="BX199" i="88"/>
  <c r="BX194" i="88"/>
  <c r="BX160" i="88"/>
  <c r="BX151" i="88"/>
  <c r="BX125" i="88"/>
  <c r="BX104" i="88"/>
  <c r="BX69" i="88"/>
  <c r="BX44" i="88"/>
  <c r="BX38" i="88"/>
  <c r="BX132" i="88"/>
  <c r="BX119" i="88"/>
  <c r="BX120" i="88"/>
  <c r="BX73" i="88"/>
  <c r="BX64" i="88"/>
  <c r="BX56" i="88"/>
  <c r="BX181" i="88"/>
  <c r="BX129" i="88"/>
  <c r="BX109" i="88"/>
  <c r="BX93" i="88"/>
  <c r="BU218" i="88"/>
  <c r="BU228" i="88"/>
  <c r="BU202" i="88"/>
  <c r="BU186" i="88"/>
  <c r="BU199" i="88"/>
  <c r="BU193" i="88"/>
  <c r="BU212" i="88"/>
  <c r="BU196" i="88"/>
  <c r="BU180" i="88"/>
  <c r="BU195" i="88"/>
  <c r="BU189" i="88"/>
  <c r="BU165" i="88"/>
  <c r="BU163" i="88"/>
  <c r="BU147" i="88"/>
  <c r="BU159" i="88"/>
  <c r="BU171" i="88"/>
  <c r="BU227" i="88"/>
  <c r="BU200" i="88"/>
  <c r="BU184" i="88"/>
  <c r="BU216" i="88"/>
  <c r="BU191" i="88"/>
  <c r="BU185" i="88"/>
  <c r="BU59" i="88"/>
  <c r="BU230" i="88"/>
  <c r="BU19" i="88"/>
  <c r="BU206" i="88"/>
  <c r="BU190" i="88"/>
  <c r="BU213" i="88"/>
  <c r="BU187" i="88"/>
  <c r="BU181" i="88"/>
  <c r="BU135" i="88"/>
  <c r="BU153" i="88"/>
  <c r="BU174" i="88"/>
  <c r="BU139" i="88"/>
  <c r="BU11" i="88"/>
  <c r="BU162" i="88"/>
  <c r="BU91" i="88"/>
  <c r="BU221" i="88"/>
  <c r="BU210" i="88"/>
  <c r="BU194" i="88"/>
  <c r="BU178" i="88"/>
  <c r="BU214" i="88"/>
  <c r="BU209" i="88"/>
  <c r="BU183" i="88"/>
  <c r="BU177" i="88"/>
  <c r="BU204" i="88"/>
  <c r="BU188" i="88"/>
  <c r="BU211" i="88"/>
  <c r="BU205" i="88"/>
  <c r="BU231" i="88"/>
  <c r="BU179" i="88"/>
  <c r="BU160" i="88"/>
  <c r="BU145" i="88"/>
  <c r="BU232" i="88"/>
  <c r="BU156" i="88"/>
  <c r="BU144" i="88"/>
  <c r="BU138" i="88"/>
  <c r="BU164" i="88"/>
  <c r="BU161" i="88"/>
  <c r="BU127" i="88"/>
  <c r="BU152" i="88"/>
  <c r="BU166" i="88"/>
  <c r="BU169" i="88"/>
  <c r="BU137" i="88"/>
  <c r="BU208" i="88"/>
  <c r="BU192" i="88"/>
  <c r="BU176" i="88"/>
  <c r="BU207" i="88"/>
  <c r="BU201" i="88"/>
  <c r="BU175" i="88"/>
  <c r="BU27" i="88"/>
  <c r="BU223" i="88"/>
  <c r="BU198" i="88"/>
  <c r="BU182" i="88"/>
  <c r="BU203" i="88"/>
  <c r="BU197" i="88"/>
  <c r="BU21" i="88"/>
  <c r="BU154" i="88"/>
  <c r="BU123" i="88"/>
  <c r="BU170" i="88"/>
  <c r="BU217" i="88"/>
  <c r="BU111" i="88"/>
  <c r="BU102" i="88"/>
  <c r="BU95" i="88"/>
  <c r="BU121" i="88"/>
  <c r="BU140" i="88"/>
  <c r="BU107" i="88"/>
  <c r="BU96" i="88"/>
  <c r="BU80" i="88"/>
  <c r="BU69" i="88"/>
  <c r="BU60" i="88"/>
  <c r="BU50" i="88"/>
  <c r="BU129" i="88"/>
  <c r="BU53" i="88"/>
  <c r="BU15" i="88"/>
  <c r="BU52" i="88"/>
  <c r="BU44" i="88"/>
  <c r="BU48" i="88"/>
  <c r="BU16" i="88"/>
  <c r="BU51" i="88"/>
  <c r="BU92" i="88"/>
  <c r="BU155" i="88"/>
  <c r="BU116" i="88"/>
  <c r="BU99" i="88"/>
  <c r="BU105" i="88"/>
  <c r="BU86" i="88"/>
  <c r="BU39" i="88"/>
  <c r="BU157" i="88"/>
  <c r="BU131" i="88"/>
  <c r="BU125" i="88"/>
  <c r="BU112" i="88"/>
  <c r="BU78" i="88"/>
  <c r="BU75" i="88"/>
  <c r="BU150" i="88"/>
  <c r="BU168" i="88"/>
  <c r="BU113" i="88"/>
  <c r="BU104" i="88"/>
  <c r="BU142" i="88"/>
  <c r="BU84" i="88"/>
  <c r="BU30" i="88"/>
  <c r="BU40" i="88"/>
  <c r="BU9" i="88"/>
  <c r="BU56" i="88"/>
  <c r="BU26" i="88"/>
  <c r="BU136" i="88"/>
  <c r="BU143" i="88"/>
  <c r="BU118" i="88"/>
  <c r="BU72" i="88"/>
  <c r="BU32" i="88"/>
  <c r="BU114" i="88"/>
  <c r="BU77" i="88"/>
  <c r="BU71" i="88"/>
  <c r="BU73" i="88"/>
  <c r="BU57" i="88"/>
  <c r="BU134" i="88"/>
  <c r="BU108" i="88"/>
  <c r="BU93" i="88"/>
  <c r="BU172" i="88"/>
  <c r="BU133" i="88"/>
  <c r="BU109" i="88"/>
  <c r="BU82" i="88"/>
  <c r="BU35" i="88"/>
  <c r="BU70" i="88"/>
  <c r="BU149" i="88"/>
  <c r="BU167" i="88"/>
  <c r="BU148" i="88"/>
  <c r="BU117" i="88"/>
  <c r="BU85" i="88"/>
  <c r="BU65" i="88"/>
  <c r="BU58" i="88"/>
  <c r="BU224" i="88"/>
  <c r="BU151" i="88"/>
  <c r="BU124" i="88"/>
  <c r="BU126" i="88"/>
  <c r="BU87" i="88"/>
  <c r="BU76" i="88"/>
  <c r="BU67" i="88"/>
  <c r="BU45" i="88"/>
  <c r="BU132" i="88"/>
  <c r="BU110" i="88"/>
  <c r="BU119" i="88"/>
  <c r="BU120" i="88"/>
  <c r="BU173" i="88"/>
  <c r="BV220" i="88"/>
  <c r="BU41" i="88"/>
  <c r="BU74" i="88"/>
  <c r="BX29" i="88"/>
  <c r="BX220" i="88"/>
  <c r="BU226" i="88"/>
  <c r="BZ90" i="88"/>
  <c r="BX55" i="88"/>
  <c r="BZ31" i="88"/>
  <c r="BX98" i="88"/>
  <c r="BW74" i="88"/>
  <c r="BY220" i="88"/>
  <c r="BY226" i="88"/>
  <c r="BZ89" i="88"/>
  <c r="BU47" i="88"/>
  <c r="BY31" i="88"/>
  <c r="BY41" i="88"/>
  <c r="BY79" i="88"/>
  <c r="BU29" i="88"/>
  <c r="BX20" i="88"/>
  <c r="BU89" i="88"/>
  <c r="BW41" i="88"/>
  <c r="BW222" i="88"/>
  <c r="BU23" i="88"/>
  <c r="BZ97" i="88"/>
  <c r="BX47" i="88"/>
  <c r="BY94" i="88"/>
  <c r="BY34" i="88"/>
  <c r="BV81" i="88"/>
  <c r="BX68" i="88"/>
  <c r="BW20" i="88"/>
  <c r="BW32" i="88"/>
  <c r="BY67" i="88"/>
  <c r="BU66" i="88"/>
  <c r="BU64" i="88"/>
  <c r="BW91" i="88"/>
  <c r="BZ117" i="88"/>
  <c r="BX99" i="88"/>
  <c r="BZ104" i="88"/>
  <c r="BY10" i="88"/>
  <c r="BX27" i="88"/>
  <c r="BU28" i="88"/>
  <c r="BX45" i="88"/>
  <c r="BY75" i="88"/>
  <c r="BV15" i="88"/>
  <c r="BW19" i="88"/>
  <c r="BY17" i="88"/>
  <c r="BW21" i="88"/>
  <c r="BU25" i="88"/>
  <c r="BY25" i="88"/>
  <c r="BX39" i="88"/>
  <c r="BW50" i="88"/>
  <c r="BX52" i="88"/>
  <c r="BX60" i="88"/>
  <c r="BY69" i="88"/>
  <c r="BX117" i="88"/>
  <c r="BV111" i="88"/>
  <c r="BU13" i="88"/>
  <c r="BZ44" i="88"/>
  <c r="BY60" i="88"/>
  <c r="BZ10" i="88"/>
  <c r="BV13" i="88"/>
  <c r="BW44" i="88"/>
  <c r="BV37" i="88"/>
  <c r="BZ30" i="88"/>
  <c r="BU49" i="88"/>
  <c r="BV82" i="88"/>
  <c r="BX11" i="88"/>
  <c r="BX33" i="88"/>
  <c r="BX82" i="88"/>
  <c r="BW133" i="88"/>
  <c r="BZ34" i="88"/>
  <c r="BZ220" i="88"/>
  <c r="BZ19" i="88"/>
  <c r="BZ51" i="88"/>
  <c r="BY200" i="88"/>
  <c r="BY184" i="88"/>
  <c r="BY201" i="88"/>
  <c r="BY191" i="88"/>
  <c r="BY171" i="88"/>
  <c r="BY230" i="88"/>
  <c r="BY231" i="88"/>
  <c r="BY223" i="88"/>
  <c r="BY189" i="88"/>
  <c r="BY177" i="88"/>
  <c r="BY151" i="88"/>
  <c r="BY140" i="88"/>
  <c r="BY204" i="88"/>
  <c r="BY197" i="88"/>
  <c r="BY174" i="88"/>
  <c r="BY210" i="88"/>
  <c r="BY194" i="88"/>
  <c r="BY178" i="88"/>
  <c r="BY209" i="88"/>
  <c r="BY199" i="88"/>
  <c r="BY227" i="88"/>
  <c r="BY203" i="88"/>
  <c r="BY173" i="88"/>
  <c r="BY150" i="88"/>
  <c r="BY166" i="88"/>
  <c r="BY157" i="88"/>
  <c r="BY211" i="88"/>
  <c r="BY154" i="88"/>
  <c r="BY160" i="88"/>
  <c r="BY145" i="88"/>
  <c r="BY139" i="88"/>
  <c r="BY136" i="88"/>
  <c r="BY232" i="88"/>
  <c r="BY217" i="88"/>
  <c r="BY91" i="88"/>
  <c r="BY228" i="88"/>
  <c r="BY208" i="88"/>
  <c r="BY192" i="88"/>
  <c r="BY176" i="88"/>
  <c r="BY216" i="88"/>
  <c r="BY207" i="88"/>
  <c r="BY206" i="88"/>
  <c r="BY190" i="88"/>
  <c r="BY172" i="88"/>
  <c r="BY188" i="88"/>
  <c r="BY181" i="88"/>
  <c r="BY165" i="88"/>
  <c r="BY163" i="88"/>
  <c r="BY123" i="88"/>
  <c r="BY147" i="88"/>
  <c r="BY144" i="88"/>
  <c r="BY59" i="88"/>
  <c r="BY167" i="88"/>
  <c r="BY224" i="88"/>
  <c r="BY19" i="88"/>
  <c r="BY221" i="88"/>
  <c r="BY202" i="88"/>
  <c r="BY186" i="88"/>
  <c r="BY214" i="88"/>
  <c r="BY193" i="88"/>
  <c r="BY218" i="88"/>
  <c r="BY183" i="88"/>
  <c r="BY148" i="88"/>
  <c r="BY142" i="88"/>
  <c r="BY72" i="88"/>
  <c r="BY185" i="88"/>
  <c r="BY182" i="88"/>
  <c r="BY156" i="88"/>
  <c r="BY149" i="88"/>
  <c r="BY164" i="88"/>
  <c r="BY129" i="88"/>
  <c r="BY109" i="88"/>
  <c r="BY77" i="88"/>
  <c r="BY82" i="88"/>
  <c r="BY53" i="88"/>
  <c r="BY28" i="88"/>
  <c r="BY118" i="88"/>
  <c r="BY213" i="88"/>
  <c r="BY155" i="88"/>
  <c r="BY99" i="88"/>
  <c r="BY170" i="88"/>
  <c r="BY132" i="88"/>
  <c r="BY37" i="88"/>
  <c r="BY13" i="88"/>
  <c r="BY113" i="88"/>
  <c r="BY78" i="88"/>
  <c r="BY35" i="88"/>
  <c r="BY15" i="88"/>
  <c r="BY27" i="88"/>
  <c r="BY63" i="88"/>
  <c r="BY52" i="88"/>
  <c r="BY179" i="88"/>
  <c r="BY135" i="88"/>
  <c r="BY196" i="88"/>
  <c r="BY130" i="88"/>
  <c r="BY122" i="88"/>
  <c r="BY88" i="88"/>
  <c r="BY83" i="88"/>
  <c r="BY70" i="88"/>
  <c r="BY175" i="88"/>
  <c r="BY162" i="88"/>
  <c r="BY121" i="88"/>
  <c r="BY117" i="88"/>
  <c r="BY65" i="88"/>
  <c r="BY58" i="88"/>
  <c r="BY152" i="88"/>
  <c r="BY131" i="88"/>
  <c r="BY126" i="88"/>
  <c r="BY96" i="88"/>
  <c r="BY114" i="88"/>
  <c r="BY104" i="88"/>
  <c r="BY119" i="88"/>
  <c r="BY49" i="88"/>
  <c r="BY45" i="88"/>
  <c r="BY33" i="88"/>
  <c r="BY42" i="88"/>
  <c r="BY22" i="88"/>
  <c r="BY24" i="88"/>
  <c r="BY110" i="88"/>
  <c r="BY57" i="88"/>
  <c r="BY30" i="88"/>
  <c r="BY26" i="88"/>
  <c r="BY21" i="88"/>
  <c r="BY73" i="88"/>
  <c r="BY153" i="88"/>
  <c r="BY198" i="88"/>
  <c r="BY205" i="88"/>
  <c r="BY187" i="88"/>
  <c r="BY85" i="88"/>
  <c r="BY66" i="88"/>
  <c r="BY62" i="88"/>
  <c r="BY48" i="88"/>
  <c r="BY169" i="88"/>
  <c r="BY137" i="88"/>
  <c r="BY43" i="88"/>
  <c r="BY212" i="88"/>
  <c r="BY112" i="88"/>
  <c r="BY107" i="88"/>
  <c r="BY87" i="88"/>
  <c r="BY127" i="88"/>
  <c r="BY168" i="88"/>
  <c r="BY84" i="88"/>
  <c r="BY56" i="88"/>
  <c r="BY108" i="88"/>
  <c r="BY76" i="88"/>
  <c r="BY159" i="88"/>
  <c r="BY138" i="88"/>
  <c r="BY133" i="88"/>
  <c r="BY106" i="88"/>
  <c r="BY100" i="88"/>
  <c r="BY92" i="88"/>
  <c r="BY61" i="88"/>
  <c r="BY44" i="88"/>
  <c r="BY143" i="88"/>
  <c r="BY161" i="88"/>
  <c r="BY116" i="88"/>
  <c r="BY111" i="88"/>
  <c r="BY105" i="88"/>
  <c r="BY86" i="88"/>
  <c r="BY180" i="88"/>
  <c r="BY124" i="88"/>
  <c r="BY125" i="88"/>
  <c r="BY102" i="88"/>
  <c r="BY95" i="88"/>
  <c r="BY195" i="88"/>
  <c r="BY134" i="88"/>
  <c r="BV18" i="88"/>
  <c r="BU98" i="88"/>
  <c r="BX34" i="88"/>
  <c r="BV29" i="88"/>
  <c r="BW23" i="88"/>
  <c r="BV226" i="88"/>
  <c r="BW90" i="88"/>
  <c r="BZ47" i="88"/>
  <c r="BU94" i="88"/>
  <c r="BU79" i="88"/>
  <c r="BZ74" i="88"/>
  <c r="BV20" i="88"/>
  <c r="BX23" i="88"/>
  <c r="BW97" i="88"/>
  <c r="BV47" i="88"/>
  <c r="BV31" i="88"/>
  <c r="BX41" i="88"/>
  <c r="BX79" i="88"/>
  <c r="BY29" i="88"/>
  <c r="BV68" i="88"/>
  <c r="BU220" i="88"/>
  <c r="BY90" i="88"/>
  <c r="BZ222" i="88"/>
  <c r="BY222" i="88"/>
  <c r="BZ18" i="88"/>
  <c r="BY89" i="88"/>
  <c r="BZ55" i="88"/>
  <c r="BU46" i="88"/>
  <c r="BW94" i="88"/>
  <c r="BV98" i="88"/>
  <c r="BW29" i="88"/>
  <c r="BY12" i="88"/>
  <c r="BU24" i="88"/>
  <c r="BU37" i="88"/>
  <c r="BV61" i="88"/>
  <c r="BZ84" i="88"/>
  <c r="BY64" i="88"/>
  <c r="BZ91" i="88"/>
  <c r="BX100" i="88"/>
  <c r="BU106" i="88"/>
  <c r="BZ116" i="88"/>
  <c r="BV17" i="88"/>
  <c r="BU42" i="88"/>
  <c r="BV40" i="88"/>
  <c r="BV12" i="88"/>
  <c r="BW10" i="88"/>
  <c r="BY8" i="88"/>
  <c r="BW13" i="88"/>
  <c r="BX21" i="88"/>
  <c r="BZ25" i="88"/>
  <c r="BY36" i="88"/>
  <c r="BV35" i="88"/>
  <c r="BY40" i="88"/>
  <c r="BV57" i="88"/>
  <c r="BU62" i="88"/>
  <c r="BY71" i="88"/>
  <c r="BW70" i="88"/>
  <c r="BV95" i="88"/>
  <c r="BV36" i="88"/>
  <c r="BX9" i="88"/>
  <c r="BU17" i="88"/>
  <c r="BV25" i="88"/>
  <c r="BZ33" i="88"/>
  <c r="BU38" i="88"/>
  <c r="BY50" i="88"/>
  <c r="BW62" i="88"/>
  <c r="BW80" i="88"/>
  <c r="BV9" i="88"/>
  <c r="BZ21" i="88"/>
  <c r="BY120" i="88"/>
  <c r="BX162" i="88"/>
  <c r="BZ98" i="88"/>
  <c r="BZ226" i="88"/>
  <c r="BZ20" i="88"/>
  <c r="BZ36" i="88"/>
  <c r="BV231" i="88"/>
  <c r="BV212" i="88"/>
  <c r="BV196" i="88"/>
  <c r="BV180" i="88"/>
  <c r="BV211" i="88"/>
  <c r="BV179" i="88"/>
  <c r="BV217" i="88"/>
  <c r="BV213" i="88"/>
  <c r="BV202" i="88"/>
  <c r="BV186" i="88"/>
  <c r="BV207" i="88"/>
  <c r="BV8" i="88"/>
  <c r="BV183" i="88"/>
  <c r="BV148" i="88"/>
  <c r="BV140" i="88"/>
  <c r="BV84" i="88"/>
  <c r="BV206" i="88"/>
  <c r="BV190" i="88"/>
  <c r="BV203" i="88"/>
  <c r="BV73" i="88"/>
  <c r="BV232" i="88"/>
  <c r="BV189" i="88"/>
  <c r="BV230" i="88"/>
  <c r="BV200" i="88"/>
  <c r="BV184" i="88"/>
  <c r="BV199" i="88"/>
  <c r="BV175" i="88"/>
  <c r="BV164" i="88"/>
  <c r="BV127" i="88"/>
  <c r="BV149" i="88"/>
  <c r="BV138" i="88"/>
  <c r="BV16" i="88"/>
  <c r="BV123" i="88"/>
  <c r="BV151" i="88"/>
  <c r="BV132" i="88"/>
  <c r="BV209" i="88"/>
  <c r="BV157" i="88"/>
  <c r="BV147" i="88"/>
  <c r="BV69" i="88"/>
  <c r="BV56" i="88"/>
  <c r="BV24" i="88"/>
  <c r="BV204" i="88"/>
  <c r="BV188" i="88"/>
  <c r="BV174" i="88"/>
  <c r="BV195" i="88"/>
  <c r="BV227" i="88"/>
  <c r="BV197" i="88"/>
  <c r="BV210" i="88"/>
  <c r="BV194" i="88"/>
  <c r="BV178" i="88"/>
  <c r="BV224" i="88"/>
  <c r="BV191" i="88"/>
  <c r="BV193" i="88"/>
  <c r="BV167" i="88"/>
  <c r="BV143" i="88"/>
  <c r="BV152" i="88"/>
  <c r="BV201" i="88"/>
  <c r="BV185" i="88"/>
  <c r="BV150" i="88"/>
  <c r="BV131" i="88"/>
  <c r="BV135" i="88"/>
  <c r="BV124" i="88"/>
  <c r="BV172" i="88"/>
  <c r="BV218" i="88"/>
  <c r="BV221" i="88"/>
  <c r="BV198" i="88"/>
  <c r="BV182" i="88"/>
  <c r="BV187" i="88"/>
  <c r="BV205" i="88"/>
  <c r="BV228" i="88"/>
  <c r="BV208" i="88"/>
  <c r="BV192" i="88"/>
  <c r="BV176" i="88"/>
  <c r="BV214" i="88"/>
  <c r="BV177" i="88"/>
  <c r="BV173" i="88"/>
  <c r="BV170" i="88"/>
  <c r="BV155" i="88"/>
  <c r="BV166" i="88"/>
  <c r="BV142" i="88"/>
  <c r="BV144" i="88"/>
  <c r="BV168" i="88"/>
  <c r="BV108" i="88"/>
  <c r="BV83" i="88"/>
  <c r="BV78" i="88"/>
  <c r="BV42" i="88"/>
  <c r="BV88" i="88"/>
  <c r="BV100" i="88"/>
  <c r="BV86" i="88"/>
  <c r="BV53" i="88"/>
  <c r="BV58" i="88"/>
  <c r="BV137" i="88"/>
  <c r="BV116" i="88"/>
  <c r="BV118" i="88"/>
  <c r="BV117" i="88"/>
  <c r="BV153" i="88"/>
  <c r="BV169" i="88"/>
  <c r="BV114" i="88"/>
  <c r="BV71" i="88"/>
  <c r="BV49" i="88"/>
  <c r="BV67" i="88"/>
  <c r="BV28" i="88"/>
  <c r="BV33" i="88"/>
  <c r="BV126" i="88"/>
  <c r="BV112" i="88"/>
  <c r="BV154" i="88"/>
  <c r="BV163" i="88"/>
  <c r="BV110" i="88"/>
  <c r="BV107" i="88"/>
  <c r="BV136" i="88"/>
  <c r="BV106" i="88"/>
  <c r="BV96" i="88"/>
  <c r="BV85" i="88"/>
  <c r="BV43" i="88"/>
  <c r="BV134" i="88"/>
  <c r="BV121" i="88"/>
  <c r="BV125" i="88"/>
  <c r="BV87" i="88"/>
  <c r="BV10" i="88"/>
  <c r="BV48" i="88"/>
  <c r="BV14" i="88"/>
  <c r="BV99" i="88"/>
  <c r="BV75" i="88"/>
  <c r="BV161" i="88"/>
  <c r="BV160" i="88"/>
  <c r="BV113" i="88"/>
  <c r="BV120" i="88"/>
  <c r="BV93" i="88"/>
  <c r="BV80" i="88"/>
  <c r="BV38" i="88"/>
  <c r="BV223" i="88"/>
  <c r="BV165" i="88"/>
  <c r="BV129" i="88"/>
  <c r="BV109" i="88"/>
  <c r="BV119" i="88"/>
  <c r="BV92" i="88"/>
  <c r="BV70" i="88"/>
  <c r="BV64" i="88"/>
  <c r="BV159" i="88"/>
  <c r="BV76" i="88"/>
  <c r="BV45" i="88"/>
  <c r="BV30" i="88"/>
  <c r="BV39" i="88"/>
  <c r="BV26" i="88"/>
  <c r="BV11" i="88"/>
  <c r="BV19" i="88"/>
  <c r="BV65" i="88"/>
  <c r="BV91" i="88"/>
  <c r="BV145" i="88"/>
  <c r="BV181" i="88"/>
  <c r="BV171" i="88"/>
  <c r="BV32" i="88"/>
  <c r="BV216" i="88"/>
  <c r="BV133" i="88"/>
  <c r="BV122" i="88"/>
  <c r="BV66" i="88"/>
  <c r="BV156" i="88"/>
  <c r="BV162" i="88"/>
  <c r="BV130" i="88"/>
  <c r="BV105" i="88"/>
  <c r="BV77" i="88"/>
  <c r="BV139" i="88"/>
  <c r="BW208" i="88"/>
  <c r="BW192" i="88"/>
  <c r="BW176" i="88"/>
  <c r="BW207" i="88"/>
  <c r="BW175" i="88"/>
  <c r="BW210" i="88"/>
  <c r="BW194" i="88"/>
  <c r="BW178" i="88"/>
  <c r="BW209" i="88"/>
  <c r="BW203" i="88"/>
  <c r="BW198" i="88"/>
  <c r="BW182" i="88"/>
  <c r="BW205" i="88"/>
  <c r="BW173" i="88"/>
  <c r="BW150" i="88"/>
  <c r="BW166" i="88"/>
  <c r="BW157" i="88"/>
  <c r="BW213" i="88"/>
  <c r="BW177" i="88"/>
  <c r="BW154" i="88"/>
  <c r="BW136" i="88"/>
  <c r="BW217" i="88"/>
  <c r="BW199" i="88"/>
  <c r="BW216" i="88"/>
  <c r="BW232" i="88"/>
  <c r="BW212" i="88"/>
  <c r="BW196" i="88"/>
  <c r="BW180" i="88"/>
  <c r="BW174" i="88"/>
  <c r="BW195" i="88"/>
  <c r="BW221" i="88"/>
  <c r="BW163" i="88"/>
  <c r="BW147" i="88"/>
  <c r="BW134" i="88"/>
  <c r="BW181" i="88"/>
  <c r="BW165" i="88"/>
  <c r="BW159" i="88"/>
  <c r="BW227" i="88"/>
  <c r="BW206" i="88"/>
  <c r="BW190" i="88"/>
  <c r="BW167" i="88"/>
  <c r="BW155" i="88"/>
  <c r="BW200" i="88"/>
  <c r="BW184" i="88"/>
  <c r="BW191" i="88"/>
  <c r="BW224" i="88"/>
  <c r="BW202" i="88"/>
  <c r="BW186" i="88"/>
  <c r="BW193" i="88"/>
  <c r="BW187" i="88"/>
  <c r="BW142" i="88"/>
  <c r="BW172" i="88"/>
  <c r="BW135" i="88"/>
  <c r="BW153" i="88"/>
  <c r="BW27" i="88"/>
  <c r="BW189" i="88"/>
  <c r="BW149" i="88"/>
  <c r="BW197" i="88"/>
  <c r="BW61" i="88"/>
  <c r="BW228" i="88"/>
  <c r="BW214" i="88"/>
  <c r="BW183" i="88"/>
  <c r="BW201" i="88"/>
  <c r="BW231" i="88"/>
  <c r="BW204" i="88"/>
  <c r="BW188" i="88"/>
  <c r="BW211" i="88"/>
  <c r="BW160" i="88"/>
  <c r="BW145" i="88"/>
  <c r="BW230" i="88"/>
  <c r="BW223" i="88"/>
  <c r="BW218" i="88"/>
  <c r="BW164" i="88"/>
  <c r="BW127" i="88"/>
  <c r="BW130" i="88"/>
  <c r="BW99" i="88"/>
  <c r="BW100" i="88"/>
  <c r="BW117" i="88"/>
  <c r="BW65" i="88"/>
  <c r="BW56" i="88"/>
  <c r="BW30" i="88"/>
  <c r="BW179" i="88"/>
  <c r="BW148" i="88"/>
  <c r="BW132" i="88"/>
  <c r="BW162" i="88"/>
  <c r="BW126" i="88"/>
  <c r="BW87" i="88"/>
  <c r="BW140" i="88"/>
  <c r="BW131" i="88"/>
  <c r="BW171" i="88"/>
  <c r="BW110" i="88"/>
  <c r="BW104" i="88"/>
  <c r="BW48" i="88"/>
  <c r="BW42" i="88"/>
  <c r="BW25" i="88"/>
  <c r="BW57" i="88"/>
  <c r="BW36" i="88"/>
  <c r="BW24" i="88"/>
  <c r="BW17" i="88"/>
  <c r="BW14" i="88"/>
  <c r="BW119" i="88"/>
  <c r="BW156" i="88"/>
  <c r="BW144" i="88"/>
  <c r="BW185" i="88"/>
  <c r="BW121" i="88"/>
  <c r="BW77" i="88"/>
  <c r="BW85" i="88"/>
  <c r="BW71" i="88"/>
  <c r="BW75" i="88"/>
  <c r="BW28" i="88"/>
  <c r="BW39" i="88"/>
  <c r="BW170" i="88"/>
  <c r="BW169" i="88"/>
  <c r="BW92" i="88"/>
  <c r="BW86" i="88"/>
  <c r="BW64" i="88"/>
  <c r="BW123" i="88"/>
  <c r="BW112" i="88"/>
  <c r="BW107" i="88"/>
  <c r="BW161" i="88"/>
  <c r="BW53" i="88"/>
  <c r="BW59" i="88"/>
  <c r="BW40" i="88"/>
  <c r="BW12" i="88"/>
  <c r="BW66" i="88"/>
  <c r="BW9" i="88"/>
  <c r="BW120" i="88"/>
  <c r="BW63" i="88"/>
  <c r="BW52" i="88"/>
  <c r="BW152" i="88"/>
  <c r="BW138" i="88"/>
  <c r="BW137" i="88"/>
  <c r="BW105" i="88"/>
  <c r="BW60" i="88"/>
  <c r="BW45" i="88"/>
  <c r="BW116" i="88"/>
  <c r="BW111" i="88"/>
  <c r="BW151" i="88"/>
  <c r="BW124" i="88"/>
  <c r="BW168" i="88"/>
  <c r="BW125" i="88"/>
  <c r="BW113" i="88"/>
  <c r="BW102" i="88"/>
  <c r="BW95" i="88"/>
  <c r="BW143" i="88"/>
  <c r="BW49" i="88"/>
  <c r="BW33" i="88"/>
  <c r="BW15" i="88"/>
  <c r="BW109" i="88"/>
  <c r="BW139" i="88"/>
  <c r="BW129" i="88"/>
  <c r="BW96" i="88"/>
  <c r="BW88" i="88"/>
  <c r="BW118" i="88"/>
  <c r="BW76" i="88"/>
  <c r="BW78" i="88"/>
  <c r="BW67" i="88"/>
  <c r="BW114" i="88"/>
  <c r="BW83" i="88"/>
  <c r="BW43" i="88"/>
  <c r="BW226" i="88"/>
  <c r="BY47" i="88"/>
  <c r="BW98" i="88"/>
  <c r="BW34" i="88"/>
  <c r="BX81" i="88"/>
  <c r="BY20" i="88"/>
  <c r="BV23" i="88"/>
  <c r="BY97" i="88"/>
  <c r="BU55" i="88"/>
  <c r="BY46" i="88"/>
  <c r="BZ94" i="88"/>
  <c r="BW79" i="88"/>
  <c r="BV34" i="88"/>
  <c r="BZ68" i="88"/>
  <c r="BU20" i="88"/>
  <c r="BW18" i="88"/>
  <c r="BU97" i="88"/>
  <c r="BU90" i="88"/>
  <c r="BZ46" i="88"/>
  <c r="BX94" i="88"/>
  <c r="BV41" i="88"/>
  <c r="BY98" i="88"/>
  <c r="BY74" i="88"/>
  <c r="BW81" i="88"/>
  <c r="BZ23" i="88"/>
  <c r="BV55" i="88"/>
  <c r="BY23" i="88"/>
  <c r="BV222" i="88"/>
  <c r="BX226" i="88"/>
  <c r="BV89" i="88"/>
  <c r="BW55" i="88"/>
  <c r="BV46" i="88"/>
  <c r="BX74" i="88"/>
  <c r="BZ29" i="88"/>
  <c r="BU68" i="88"/>
  <c r="BY11" i="88"/>
  <c r="BV27" i="88"/>
  <c r="BZ28" i="88"/>
  <c r="BV60" i="88"/>
  <c r="BU63" i="88"/>
  <c r="BW69" i="88"/>
  <c r="BW93" i="88"/>
  <c r="BX105" i="88"/>
  <c r="BW122" i="88"/>
  <c r="BU130" i="88"/>
  <c r="BV21" i="88"/>
  <c r="BZ35" i="88"/>
  <c r="BX51" i="88"/>
  <c r="BZ43" i="88"/>
  <c r="BU12" i="88"/>
  <c r="BY16" i="88"/>
  <c r="BU10" i="88"/>
  <c r="BW8" i="88"/>
  <c r="BZ13" i="88"/>
  <c r="BX24" i="88"/>
  <c r="BV22" i="88"/>
  <c r="BX42" i="88"/>
  <c r="BW37" i="88"/>
  <c r="BV44" i="88"/>
  <c r="BU43" i="88"/>
  <c r="BW84" i="88"/>
  <c r="BZ70" i="88"/>
  <c r="BZ96" i="88"/>
  <c r="BY9" i="88"/>
  <c r="BU33" i="88"/>
  <c r="BV59" i="88"/>
  <c r="BX12" i="88"/>
  <c r="BU8" i="88"/>
  <c r="BZ22" i="88"/>
  <c r="BZ39" i="88"/>
  <c r="BU100" i="88"/>
  <c r="BX19" i="88"/>
  <c r="BZ26" i="88"/>
  <c r="BY51" i="88"/>
  <c r="BU61" i="88"/>
  <c r="BW106" i="88"/>
  <c r="BX171" i="88"/>
  <c r="BW7" i="88"/>
  <c r="BY7" i="88"/>
  <c r="BU7" i="88"/>
  <c r="J68" i="99"/>
  <c r="BV7" i="88"/>
  <c r="O77" i="99"/>
  <c r="C84" i="99" s="1"/>
  <c r="BX7" i="88"/>
  <c r="BZ7" i="88"/>
  <c r="D27" i="84" l="1"/>
  <c r="C30" i="84"/>
  <c r="C31" i="84" s="1"/>
  <c r="BX234" i="88"/>
  <c r="BZ234" i="88"/>
  <c r="BY234" i="88"/>
  <c r="BW234" i="88"/>
  <c r="BV234" i="88"/>
  <c r="BU234" i="88"/>
  <c r="C86" i="99"/>
  <c r="C74" i="84" s="1" a="1"/>
  <c r="C74" i="84" s="1"/>
  <c r="C69" i="99" a="1"/>
  <c r="C69" i="99" s="1"/>
  <c r="C86" i="84" a="1"/>
  <c r="C86" i="84" s="1"/>
  <c r="C87" i="84" s="1"/>
  <c r="D56" i="84"/>
  <c r="D54" i="100"/>
  <c r="K16" i="82"/>
  <c r="D30" i="84" l="1"/>
  <c r="E2" i="84"/>
  <c r="C64" i="84" a="1"/>
  <c r="C64" i="84" s="1"/>
  <c r="C39" i="84" a="1"/>
  <c r="C39" i="84" s="1"/>
  <c r="C48" i="84" a="1"/>
  <c r="C48" i="84" s="1"/>
  <c r="A1" i="84"/>
  <c r="C70" i="99"/>
  <c r="D86" i="84"/>
  <c r="C85" i="100"/>
  <c r="D84" i="100"/>
  <c r="H7" i="89"/>
  <c r="H3" i="98" l="1"/>
  <c r="K8" i="82"/>
  <c r="K9" i="82"/>
  <c r="K10" i="82"/>
  <c r="K11" i="82"/>
  <c r="K12" i="82"/>
  <c r="K13" i="82"/>
  <c r="K14" i="82"/>
  <c r="K7" i="82"/>
  <c r="K5" i="82"/>
  <c r="H12" i="89" l="1"/>
  <c r="H6" i="89"/>
  <c r="H17" i="89" l="1"/>
  <c r="H14" i="89"/>
  <c r="H11" i="89"/>
  <c r="H10" i="89"/>
  <c r="H9" i="89"/>
  <c r="H8" i="89"/>
  <c r="H5" i="89"/>
  <c r="K18" i="82" l="1"/>
  <c r="G12" i="102" l="1"/>
  <c r="G16" i="102" s="1"/>
  <c r="I14" i="99"/>
  <c r="H14" i="99"/>
  <c r="A24" i="99" s="1" a="1"/>
  <c r="A24" i="99" s="1"/>
  <c r="L15" i="99"/>
  <c r="A25" i="99" l="1" a="1"/>
  <c r="A25" i="99" s="1"/>
  <c r="A26" i="99" s="1" a="1"/>
  <c r="A26" i="99" s="1"/>
  <c r="A27" i="99" s="1" a="1"/>
  <c r="A27" i="99" s="1"/>
  <c r="M26" i="99" s="1"/>
  <c r="A77" i="99"/>
  <c r="K20" i="99"/>
  <c r="L14" i="99"/>
  <c r="A14" i="99" s="1"/>
  <c r="A31" i="99"/>
  <c r="A35" i="99"/>
  <c r="A45" i="99"/>
  <c r="M45" i="99" s="1"/>
  <c r="A36" i="99"/>
  <c r="A61" i="99"/>
  <c r="A40" i="99"/>
  <c r="M25" i="99" l="1"/>
  <c r="M27" i="99"/>
  <c r="M24" i="99"/>
  <c r="A15" i="99"/>
  <c r="A18" i="99"/>
  <c r="A17" i="99"/>
  <c r="A16" i="99"/>
  <c r="A78" i="99"/>
  <c r="A79" i="99" s="1"/>
  <c r="A80" i="99" s="1"/>
  <c r="L19" i="99"/>
  <c r="A41" i="99"/>
  <c r="A42" i="99" s="1"/>
  <c r="A62" i="99"/>
  <c r="A63" i="99" s="1"/>
  <c r="A64" i="99" s="1"/>
  <c r="A65" i="99"/>
  <c r="A32" i="99"/>
  <c r="M7" i="99" l="1"/>
  <c r="M9" i="99"/>
  <c r="M8" i="99"/>
  <c r="M10" i="99"/>
  <c r="M12" i="99"/>
  <c r="M11" i="99"/>
  <c r="M13" i="99"/>
  <c r="M14" i="99"/>
  <c r="M15" i="99"/>
  <c r="P26" i="99"/>
  <c r="M17" i="99"/>
  <c r="M16" i="99"/>
  <c r="M18" i="99"/>
  <c r="A43" i="99"/>
  <c r="A44" i="99" s="1"/>
  <c r="M44" i="99" s="1"/>
  <c r="A81" i="99"/>
  <c r="A82" i="99" s="1"/>
  <c r="M65" i="99"/>
  <c r="M63" i="99"/>
  <c r="M62" i="99"/>
  <c r="M61" i="99"/>
  <c r="M64" i="99"/>
  <c r="A33" i="99"/>
  <c r="A34" i="99" s="1"/>
  <c r="Q9" i="99" l="1"/>
  <c r="M40" i="99"/>
  <c r="M43" i="99"/>
  <c r="M42" i="99"/>
  <c r="M41" i="99"/>
  <c r="M77" i="99"/>
  <c r="M81" i="99"/>
  <c r="P77" i="99"/>
  <c r="M35" i="99"/>
  <c r="M31" i="99"/>
  <c r="M33" i="99"/>
  <c r="M32" i="99"/>
  <c r="M36" i="99"/>
  <c r="M34" i="99"/>
  <c r="P42" i="99" l="1"/>
  <c r="M80" i="99"/>
  <c r="M82" i="99"/>
  <c r="M79" i="99"/>
  <c r="M78" i="99"/>
  <c r="P33" i="99"/>
  <c r="P63" i="99" l="1"/>
  <c r="P79"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tc={EFD5FBA4-FC1E-4522-8B69-AD6A82C58839}</author>
  </authors>
  <commentList>
    <comment ref="I3" authorId="0" shapeId="0" xr:uid="{EFD5FBA4-FC1E-4522-8B69-AD6A82C5883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 : Accident
E : Erreur
V : acte volontaire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jp.jouas@free.fr</author>
  </authors>
  <commentList>
    <comment ref="AM4" authorId="0" shapeId="0" xr:uid="{E09E4257-7A2E-4971-AE70-28EFBCFB5CF3}">
      <text>
        <r>
          <rPr>
            <sz val="9"/>
            <color indexed="81"/>
            <rFont val="Tahoma"/>
            <family val="2"/>
          </rPr>
          <t xml:space="preserve">L'impact et la potentialité dépendent du choix fait dans Risk%actifs : intrinsèques ou résiduels
Le calcul n'est fait que pour les scénarios qui n'ont pas été marqués comme "acceptés"
</t>
        </r>
      </text>
    </comment>
    <comment ref="J7" authorId="0" shapeId="0" xr:uid="{5EC5000A-D3C5-4696-9193-BA22E47FC355}">
      <text>
        <r>
          <rPr>
            <sz val="9"/>
            <color indexed="81"/>
            <rFont val="Tahoma"/>
            <family val="2"/>
          </rPr>
          <t xml:space="preserve">SUAI : Surveillance de l'activité interne
</t>
        </r>
      </text>
    </comment>
    <comment ref="K7" authorId="0" shapeId="0" xr:uid="{C816E260-9DD6-4B44-B632-D5667159332C}">
      <text>
        <r>
          <rPr>
            <sz val="9"/>
            <color indexed="81"/>
            <rFont val="Tahoma"/>
            <family val="2"/>
          </rPr>
          <t xml:space="preserve">CASA : Contrôle d'accès aux systèmes et applications
</t>
        </r>
      </text>
    </comment>
    <comment ref="M7" authorId="0" shapeId="0" xr:uid="{F534D2E7-7C9E-465A-9D8E-A389806ACACB}">
      <text>
        <r>
          <rPr>
            <sz val="9"/>
            <color indexed="81"/>
            <rFont val="Tahoma"/>
            <family val="2"/>
          </rPr>
          <t xml:space="preserve">SADC : Sauvegardes des données et configurations (non externalisées)
</t>
        </r>
      </text>
    </comment>
    <comment ref="J8" authorId="0" shapeId="0" xr:uid="{F90E8188-43A1-47CC-A9E0-351FF6F2D69E}">
      <text>
        <r>
          <rPr>
            <sz val="9"/>
            <color indexed="81"/>
            <rFont val="Tahoma"/>
            <family val="2"/>
          </rPr>
          <t xml:space="preserve">SUAI : Surveillance de l'activité interne
</t>
        </r>
      </text>
    </comment>
    <comment ref="M8" authorId="0" shapeId="0" xr:uid="{0C66937A-4540-46B9-8A17-FC405D3FFDFC}">
      <text>
        <r>
          <rPr>
            <sz val="9"/>
            <color indexed="81"/>
            <rFont val="Tahoma"/>
            <family val="2"/>
          </rPr>
          <t xml:space="preserve">SADC : Sauvegardes des données et configurations (non externalisées)
</t>
        </r>
      </text>
    </comment>
    <comment ref="K9" authorId="0" shapeId="0" xr:uid="{8743DE26-CB77-405B-BC54-B3CF329F7BE9}">
      <text>
        <r>
          <rPr>
            <sz val="9"/>
            <color indexed="81"/>
            <rFont val="Tahoma"/>
            <family val="2"/>
          </rPr>
          <t xml:space="preserve">CASA : Contrôle d'accès aux systèmes et applications
</t>
        </r>
      </text>
    </comment>
    <comment ref="M9" authorId="0" shapeId="0" xr:uid="{559BD4F6-791D-4C5B-81AE-AFFC04FEC79E}">
      <text>
        <r>
          <rPr>
            <sz val="9"/>
            <color indexed="81"/>
            <rFont val="Tahoma"/>
            <family val="2"/>
          </rPr>
          <t xml:space="preserve">SADC : Sauvegardes des données et configurations (non externalisées)
</t>
        </r>
      </text>
    </comment>
    <comment ref="M10" authorId="0" shapeId="0" xr:uid="{E135A676-A505-48C6-A60B-808BCAD496D9}">
      <text>
        <r>
          <rPr>
            <sz val="9"/>
            <color indexed="81"/>
            <rFont val="Tahoma"/>
            <family val="2"/>
          </rPr>
          <t xml:space="preserve">SADC : Sauvegardes des données et configurations (non externalisées)
</t>
        </r>
      </text>
    </comment>
    <comment ref="J11" authorId="0" shapeId="0" xr:uid="{7A480ADD-B7CA-4CF8-A34D-A49CA397D210}">
      <text>
        <r>
          <rPr>
            <sz val="9"/>
            <color indexed="81"/>
            <rFont val="Tahoma"/>
            <family val="2"/>
          </rPr>
          <t xml:space="preserve">SUAI : Surveillance de l'activité interne
</t>
        </r>
      </text>
    </comment>
    <comment ref="K12" authorId="0" shapeId="0" xr:uid="{C3B961E1-A93F-4055-AB67-35E509F391E2}">
      <text>
        <r>
          <rPr>
            <sz val="9"/>
            <color indexed="81"/>
            <rFont val="Tahoma"/>
            <family val="2"/>
          </rPr>
          <t xml:space="preserve">GMAF : Gestion des moyens d'accès aux fichiers de données ou de programme
</t>
        </r>
      </text>
    </comment>
    <comment ref="K13" authorId="0" shapeId="0" xr:uid="{503C2015-712E-40AD-93B2-AAF70DEFFC19}">
      <text>
        <r>
          <rPr>
            <sz val="9"/>
            <color indexed="81"/>
            <rFont val="Tahoma"/>
            <family val="2"/>
          </rPr>
          <t xml:space="preserve">CODI : Contrôles des données sur incidents
COMA : Contrôle des opérations de maintenance
</t>
        </r>
      </text>
    </comment>
    <comment ref="M13" authorId="0" shapeId="0" xr:uid="{CFE061A7-424C-41C7-A839-0A1ADBA16DA5}">
      <text>
        <r>
          <rPr>
            <sz val="9"/>
            <color indexed="81"/>
            <rFont val="Tahoma"/>
            <family val="2"/>
          </rPr>
          <t xml:space="preserve">SADC : Sauvegardes des données et configurations (non externalisées)
</t>
        </r>
      </text>
    </comment>
    <comment ref="K14" authorId="0" shapeId="0" xr:uid="{828B6700-7D0E-4937-A820-7E79E8640990}">
      <text>
        <r>
          <rPr>
            <sz val="9"/>
            <color indexed="81"/>
            <rFont val="Tahoma"/>
            <family val="2"/>
          </rPr>
          <t xml:space="preserve">COMA : Contrôle des opérations de maintenance
</t>
        </r>
      </text>
    </comment>
    <comment ref="M14" authorId="0" shapeId="0" xr:uid="{F0A5989D-C788-44F2-A1EA-240986A4BD5C}">
      <text>
        <r>
          <rPr>
            <sz val="9"/>
            <color indexed="81"/>
            <rFont val="Tahoma"/>
            <family val="2"/>
          </rPr>
          <t xml:space="preserve">SADC : Sauvegardes des données et configurations (non externalisées)
</t>
        </r>
      </text>
    </comment>
    <comment ref="K15" authorId="0" shapeId="0" xr:uid="{31A613F7-6ECA-47B5-A961-B197F3B90BA3}">
      <text>
        <r>
          <rPr>
            <sz val="9"/>
            <color indexed="81"/>
            <rFont val="Tahoma"/>
            <family val="2"/>
          </rPr>
          <t xml:space="preserve">CODI : Contrôles des données sur incidents
</t>
        </r>
      </text>
    </comment>
    <comment ref="M15" authorId="0" shapeId="0" xr:uid="{23FFD444-049F-4B3D-BA34-FE6C0F9125DD}">
      <text>
        <r>
          <rPr>
            <sz val="9"/>
            <color indexed="81"/>
            <rFont val="Tahoma"/>
            <family val="2"/>
          </rPr>
          <t xml:space="preserve">SADC : Sauvegardes des données et configurations (non externalisées)
</t>
        </r>
      </text>
    </comment>
    <comment ref="J16" authorId="0" shapeId="0" xr:uid="{47386136-20C5-459A-AF65-85DBFA327EFB}">
      <text>
        <r>
          <rPr>
            <sz val="9"/>
            <color indexed="81"/>
            <rFont val="Tahoma"/>
            <family val="2"/>
          </rPr>
          <t xml:space="preserve">SUAI : Surveillance de l'activité interne
</t>
        </r>
      </text>
    </comment>
    <comment ref="K16" authorId="0" shapeId="0" xr:uid="{26E845F2-E356-4E35-858D-CB3BBE536270}">
      <text>
        <r>
          <rPr>
            <sz val="9"/>
            <color indexed="81"/>
            <rFont val="Tahoma"/>
            <family val="2"/>
          </rPr>
          <t xml:space="preserve">CASA : Contrôle d'accès aux systèmes et applications
COMA : Contrôle des opérations de maintenance
</t>
        </r>
      </text>
    </comment>
    <comment ref="M16" authorId="0" shapeId="0" xr:uid="{5B9424D3-4609-4DCE-8591-67E125B3C807}">
      <text>
        <r>
          <rPr>
            <sz val="9"/>
            <color indexed="81"/>
            <rFont val="Tahoma"/>
            <family val="2"/>
          </rPr>
          <t xml:space="preserve">SADC : Sauvegardes des données et configurations (non externalisées)
</t>
        </r>
      </text>
    </comment>
    <comment ref="K17" authorId="0" shapeId="0" xr:uid="{02903B63-C71B-47D6-8C41-1457ACF9AEE6}">
      <text>
        <r>
          <rPr>
            <sz val="9"/>
            <color indexed="81"/>
            <rFont val="Tahoma"/>
            <family val="2"/>
          </rPr>
          <t xml:space="preserve">COMA : Contrôle des opérations de maintenance
</t>
        </r>
      </text>
    </comment>
    <comment ref="M17" authorId="0" shapeId="0" xr:uid="{DBA54C43-2EC8-46F7-918D-8A84B5A7F952}">
      <text>
        <r>
          <rPr>
            <sz val="9"/>
            <color indexed="81"/>
            <rFont val="Tahoma"/>
            <family val="2"/>
          </rPr>
          <t xml:space="preserve">SADC : Sauvegardes des données et configurations (non externalisées)
</t>
        </r>
      </text>
    </comment>
    <comment ref="J18" authorId="0" shapeId="0" xr:uid="{630F9F7C-1A23-4812-823E-940CFE61776F}">
      <text>
        <r>
          <rPr>
            <sz val="9"/>
            <color indexed="81"/>
            <rFont val="Tahoma"/>
            <family val="2"/>
          </rPr>
          <t xml:space="preserve">SUAI : Surveillance de l'activité interne
</t>
        </r>
      </text>
    </comment>
    <comment ref="M18" authorId="0" shapeId="0" xr:uid="{2711F018-EDDA-4FC0-A6E4-5F26E69F6CE9}">
      <text>
        <r>
          <rPr>
            <sz val="9"/>
            <color indexed="81"/>
            <rFont val="Tahoma"/>
            <family val="2"/>
          </rPr>
          <t xml:space="preserve">SADC : Sauvegardes des données et configurations (non externalisées)
</t>
        </r>
      </text>
    </comment>
    <comment ref="K19" authorId="0" shapeId="0" xr:uid="{03DE533F-97DB-4DBB-853C-31E674E2CDD5}">
      <text>
        <r>
          <rPr>
            <sz val="9"/>
            <color indexed="81"/>
            <rFont val="Tahoma"/>
            <family val="2"/>
          </rPr>
          <t xml:space="preserve">CASA : Contrôle d'accès aux systèmes et applications
</t>
        </r>
      </text>
    </comment>
    <comment ref="M19" authorId="0" shapeId="0" xr:uid="{68B6C370-E04A-4B41-8A1F-084CEF343C84}">
      <text>
        <r>
          <rPr>
            <sz val="9"/>
            <color indexed="81"/>
            <rFont val="Tahoma"/>
            <family val="2"/>
          </rPr>
          <t xml:space="preserve">SADC : Sauvegardes des données et configurations (non externalisées)
</t>
        </r>
      </text>
    </comment>
    <comment ref="M20" authorId="0" shapeId="0" xr:uid="{E4F16E76-5418-4A33-90C9-B11B3128B9D1}">
      <text>
        <r>
          <rPr>
            <sz val="9"/>
            <color indexed="81"/>
            <rFont val="Tahoma"/>
            <family val="2"/>
          </rPr>
          <t xml:space="preserve">CERD : Contrôle de l'émission et de la réception de données et de messages
</t>
        </r>
      </text>
    </comment>
    <comment ref="K21" authorId="0" shapeId="0" xr:uid="{18F5DC5F-5DD6-443F-B923-F933E70050CF}">
      <text>
        <r>
          <rPr>
            <sz val="9"/>
            <color indexed="81"/>
            <rFont val="Tahoma"/>
            <family val="2"/>
          </rPr>
          <t xml:space="preserve">GMAF : Gestion des moyens d'accès aux fichiers de données ou de programme
</t>
        </r>
      </text>
    </comment>
    <comment ref="M22" authorId="0" shapeId="0" xr:uid="{B374B002-BC7F-4B7C-839C-DAFB83F55F00}">
      <text>
        <r>
          <rPr>
            <sz val="9"/>
            <color indexed="81"/>
            <rFont val="Tahoma"/>
            <family val="2"/>
          </rPr>
          <t xml:space="preserve">SADC : Sauvegardes des données et configurations (non externalisées)
</t>
        </r>
      </text>
    </comment>
    <comment ref="J23" authorId="0" shapeId="0" xr:uid="{DBA36D13-DC38-4668-8558-F8383A6B2A79}">
      <text>
        <r>
          <rPr>
            <sz val="9"/>
            <color indexed="81"/>
            <rFont val="Tahoma"/>
            <family val="2"/>
          </rPr>
          <t xml:space="preserve">SULO : Surveillance des locaux sensibles
</t>
        </r>
      </text>
    </comment>
    <comment ref="K23" authorId="0" shapeId="0" xr:uid="{89A3B3AB-CAD6-439E-85A8-90BE4E24D3D2}">
      <text>
        <r>
          <rPr>
            <sz val="9"/>
            <color indexed="81"/>
            <rFont val="Tahoma"/>
            <family val="2"/>
          </rPr>
          <t xml:space="preserve">CALO : Contrôle d'accès aux locaux sensibles
</t>
        </r>
      </text>
    </comment>
    <comment ref="M23" authorId="0" shapeId="0" xr:uid="{6EC8A0B4-CB18-4E66-ADC5-308D3409C88D}">
      <text>
        <r>
          <rPr>
            <sz val="9"/>
            <color indexed="81"/>
            <rFont val="Tahoma"/>
            <family val="2"/>
          </rPr>
          <t xml:space="preserve">SADC : Sauvegardes des données et configurations (non externalisées)
</t>
        </r>
      </text>
    </comment>
    <comment ref="J24" authorId="0" shapeId="0" xr:uid="{6FE7DD5B-FEBD-4318-B18E-3BC3D1E4CBD0}">
      <text>
        <r>
          <rPr>
            <sz val="9"/>
            <color indexed="81"/>
            <rFont val="Tahoma"/>
            <family val="2"/>
          </rPr>
          <t xml:space="preserve">SULO : Surveillance des locaux sensibles
</t>
        </r>
      </text>
    </comment>
    <comment ref="M24" authorId="0" shapeId="0" xr:uid="{4B4B66BB-4276-46F5-B2B8-071B4C86EEBD}">
      <text>
        <r>
          <rPr>
            <sz val="9"/>
            <color indexed="81"/>
            <rFont val="Tahoma"/>
            <family val="2"/>
          </rPr>
          <t xml:space="preserve">SADC : Sauvegardes des données et configurations (non externalisées)
</t>
        </r>
      </text>
    </comment>
    <comment ref="K25" authorId="0" shapeId="0" xr:uid="{703412D3-F7EC-4DD3-A1ED-DA25088F7C9F}">
      <text>
        <r>
          <rPr>
            <sz val="9"/>
            <color indexed="81"/>
            <rFont val="Tahoma"/>
            <family val="2"/>
          </rPr>
          <t xml:space="preserve">CALO : Contrôle d'accès aux locaux sensibles
</t>
        </r>
      </text>
    </comment>
    <comment ref="M25" authorId="0" shapeId="0" xr:uid="{AAAB8DCF-3AA8-469F-92EE-A4EE03A0A8DB}">
      <text>
        <r>
          <rPr>
            <sz val="9"/>
            <color indexed="81"/>
            <rFont val="Tahoma"/>
            <family val="2"/>
          </rPr>
          <t xml:space="preserve">SADC : Sauvegardes des données et configurations (non externalisées)
</t>
        </r>
      </text>
    </comment>
    <comment ref="K26" authorId="0" shapeId="0" xr:uid="{749C628E-D0CC-48B2-9367-07BC77B9A5A3}">
      <text>
        <r>
          <rPr>
            <sz val="9"/>
            <color indexed="81"/>
            <rFont val="Tahoma"/>
            <family val="2"/>
          </rPr>
          <t xml:space="preserve">SMED : Sécurité physique des médias
</t>
        </r>
      </text>
    </comment>
    <comment ref="M26" authorId="0" shapeId="0" xr:uid="{E9382E33-45BA-49FC-B0F8-1DE576CB1F31}">
      <text>
        <r>
          <rPr>
            <sz val="9"/>
            <color indexed="81"/>
            <rFont val="Tahoma"/>
            <family val="2"/>
          </rPr>
          <t xml:space="preserve">SADC : Sauvegardes des données et configurations (non externalisées)
</t>
        </r>
      </text>
    </comment>
    <comment ref="K27" authorId="0" shapeId="0" xr:uid="{FB044589-F75D-426D-8450-82FFEC69D9BC}">
      <text>
        <r>
          <rPr>
            <sz val="9"/>
            <color indexed="81"/>
            <rFont val="Tahoma"/>
            <family val="2"/>
          </rPr>
          <t xml:space="preserve">SMED : Sécurité physique des médias
</t>
        </r>
      </text>
    </comment>
    <comment ref="L27" authorId="0" shapeId="0" xr:uid="{E32EB4C4-8631-4172-A7CA-4389C056210F}">
      <text>
        <r>
          <rPr>
            <sz val="9"/>
            <color indexed="81"/>
            <rFont val="Tahoma"/>
            <family val="2"/>
          </rPr>
          <t xml:space="preserve">PRED : Protection contre les risques environnementaux divers
</t>
        </r>
      </text>
    </comment>
    <comment ref="M27" authorId="0" shapeId="0" xr:uid="{FECBBF61-7C33-4040-B642-4B7B0F516058}">
      <text>
        <r>
          <rPr>
            <sz val="9"/>
            <color indexed="81"/>
            <rFont val="Tahoma"/>
            <family val="2"/>
          </rPr>
          <t xml:space="preserve">SADC : Sauvegardes des données et configurations (non externalisées)
</t>
        </r>
      </text>
    </comment>
    <comment ref="K28" authorId="0" shapeId="0" xr:uid="{3E852FB1-677B-433A-99F2-0455AC5C7C98}">
      <text>
        <r>
          <rPr>
            <sz val="9"/>
            <color indexed="81"/>
            <rFont val="Tahoma"/>
            <family val="2"/>
          </rPr>
          <t xml:space="preserve">GMAF : Gestion des moyens d'accès aux fichiers de données ou de programme
</t>
        </r>
      </text>
    </comment>
    <comment ref="K29" authorId="0" shapeId="0" xr:uid="{88581B18-E4BD-4F97-982A-F30FDD265E59}">
      <text>
        <r>
          <rPr>
            <sz val="9"/>
            <color indexed="81"/>
            <rFont val="Tahoma"/>
            <family val="2"/>
          </rPr>
          <t xml:space="preserve">GMAF : Gestion des moyens d'accès aux fichiers de données ou de programme
</t>
        </r>
      </text>
    </comment>
    <comment ref="J30" authorId="0" shapeId="0" xr:uid="{7C2D8B29-BB16-4F94-B0F8-DB0AAFB8E5BB}">
      <text>
        <r>
          <rPr>
            <sz val="9"/>
            <color indexed="81"/>
            <rFont val="Tahoma"/>
            <family val="2"/>
          </rPr>
          <t xml:space="preserve">SUAI : Surveillance de l'activité interne
</t>
        </r>
      </text>
    </comment>
    <comment ref="K30" authorId="0" shapeId="0" xr:uid="{0BCE3724-7B6E-4DAA-A4B9-CECF4C7347BE}">
      <text>
        <r>
          <rPr>
            <sz val="9"/>
            <color indexed="81"/>
            <rFont val="Tahoma"/>
            <family val="2"/>
          </rPr>
          <t xml:space="preserve">CASA : Contrôle d'accès aux systèmes et applications
CHDA : Chiffrement des données applicatives stockées
PIDA : Protection de l'intégrité des fichiers de données applicatives
</t>
        </r>
      </text>
    </comment>
    <comment ref="L30" authorId="0" shapeId="0" xr:uid="{E0B2BB1C-529A-4C23-9AB9-2C55AE28ED0A}">
      <text>
        <r>
          <rPr>
            <sz val="9"/>
            <color indexed="81"/>
            <rFont val="Tahoma"/>
            <family val="2"/>
          </rPr>
          <t xml:space="preserve">COPE : Contrôle permanent sur les données et traitements
</t>
        </r>
      </text>
    </comment>
    <comment ref="K31" authorId="0" shapeId="0" xr:uid="{CE5A42B7-4BDC-47F8-ACF7-89DEB164F7F4}">
      <text>
        <r>
          <rPr>
            <sz val="9"/>
            <color indexed="81"/>
            <rFont val="Tahoma"/>
            <family val="2"/>
          </rPr>
          <t xml:space="preserve">CASA : Contrôle d'accès aux systèmes et applications
CHDA : Chiffrement des données applicatives stockées
PIDA : Protection de l'intégrité des fichiers de données applicatives
</t>
        </r>
      </text>
    </comment>
    <comment ref="L31" authorId="0" shapeId="0" xr:uid="{0E619B1F-F59C-49AE-9EFF-CBB6550A9375}">
      <text>
        <r>
          <rPr>
            <sz val="9"/>
            <color indexed="81"/>
            <rFont val="Tahoma"/>
            <family val="2"/>
          </rPr>
          <t xml:space="preserve">COPE : Contrôle permanent sur les données et traitements
</t>
        </r>
      </text>
    </comment>
    <comment ref="J32" authorId="0" shapeId="0" xr:uid="{5937298C-497F-4CA0-AEE6-63BDD75CA76A}">
      <text>
        <r>
          <rPr>
            <sz val="9"/>
            <color indexed="81"/>
            <rFont val="Tahoma"/>
            <family val="2"/>
          </rPr>
          <t xml:space="preserve">SUAI : Surveillance de l'activité interne
</t>
        </r>
      </text>
    </comment>
    <comment ref="K32" authorId="0" shapeId="0" xr:uid="{364D1210-09E8-419C-ABC9-C8F9E18F6193}">
      <text>
        <r>
          <rPr>
            <sz val="9"/>
            <color indexed="81"/>
            <rFont val="Tahoma"/>
            <family val="2"/>
          </rPr>
          <t xml:space="preserve">PIDA : Protection de l'intégrité des fichiers de données applicatives
</t>
        </r>
      </text>
    </comment>
    <comment ref="L32" authorId="0" shapeId="0" xr:uid="{E4AFE0E3-EE7A-45EC-A4B2-82E25A055680}">
      <text>
        <r>
          <rPr>
            <sz val="9"/>
            <color indexed="81"/>
            <rFont val="Tahoma"/>
            <family val="2"/>
          </rPr>
          <t xml:space="preserve">COPE : Contrôle permanent sur les données et traitements
</t>
        </r>
      </text>
    </comment>
    <comment ref="K33" authorId="0" shapeId="0" xr:uid="{B84F7479-2DC5-4F89-A13B-41736628FA7C}">
      <text>
        <r>
          <rPr>
            <sz val="9"/>
            <color indexed="81"/>
            <rFont val="Tahoma"/>
            <family val="2"/>
          </rPr>
          <t xml:space="preserve">PIDA : Protection de l'intégrité des fichiers de données applicatives
COMA : Contrôle des opérations de maintenance
</t>
        </r>
      </text>
    </comment>
    <comment ref="L33" authorId="0" shapeId="0" xr:uid="{5337B462-A0C0-49B7-8B03-99057151F2A2}">
      <text>
        <r>
          <rPr>
            <sz val="9"/>
            <color indexed="81"/>
            <rFont val="Tahoma"/>
            <family val="2"/>
          </rPr>
          <t xml:space="preserve">COPE : Contrôle permanent sur les données et traitements
</t>
        </r>
      </text>
    </comment>
    <comment ref="K34" authorId="0" shapeId="0" xr:uid="{1684AA62-A96E-4F8F-9257-CDD9FEDD1706}">
      <text>
        <r>
          <rPr>
            <sz val="9"/>
            <color indexed="81"/>
            <rFont val="Tahoma"/>
            <family val="2"/>
          </rPr>
          <t xml:space="preserve">COMA : Contrôle des opérations de maintenance
</t>
        </r>
      </text>
    </comment>
    <comment ref="L34" authorId="0" shapeId="0" xr:uid="{38D1DBD8-E3A3-42E4-9F10-D80A6D27E331}">
      <text>
        <r>
          <rPr>
            <sz val="9"/>
            <color indexed="81"/>
            <rFont val="Tahoma"/>
            <family val="2"/>
          </rPr>
          <t xml:space="preserve">COPE : Contrôle permanent sur les données et traitements
</t>
        </r>
      </text>
    </comment>
    <comment ref="K35" authorId="0" shapeId="0" xr:uid="{A58DBEBD-1013-4549-A311-52EF2B0923D2}">
      <text>
        <r>
          <rPr>
            <sz val="9"/>
            <color indexed="81"/>
            <rFont val="Tahoma"/>
            <family val="2"/>
          </rPr>
          <t xml:space="preserve">PIDA : Protection de l'intégrité des fichiers de données applicatives
</t>
        </r>
      </text>
    </comment>
    <comment ref="L35" authorId="0" shapeId="0" xr:uid="{D2D82526-D772-4693-ADF9-979CFBAF00EC}">
      <text>
        <r>
          <rPr>
            <sz val="9"/>
            <color indexed="81"/>
            <rFont val="Tahoma"/>
            <family val="2"/>
          </rPr>
          <t xml:space="preserve">COPE : Contrôle permanent sur les données et traitements
</t>
        </r>
      </text>
    </comment>
    <comment ref="J36" authorId="0" shapeId="0" xr:uid="{FDF03FB5-086D-44B4-A1BD-9AF04C1E0CCC}">
      <text>
        <r>
          <rPr>
            <sz val="9"/>
            <color indexed="81"/>
            <rFont val="Tahoma"/>
            <family val="2"/>
          </rPr>
          <t xml:space="preserve">SUAI : Surveillance de l'activité interne
</t>
        </r>
      </text>
    </comment>
    <comment ref="K36" authorId="0" shapeId="0" xr:uid="{EE7E9EA3-0425-4AD4-9941-C3A5167EBC07}">
      <text>
        <r>
          <rPr>
            <sz val="9"/>
            <color indexed="81"/>
            <rFont val="Tahoma"/>
            <family val="2"/>
          </rPr>
          <t xml:space="preserve">CERD : Contrôle de l'émission et de la réception de données et de messages
PIED : Protection de l'intégrité des échanges de données
</t>
        </r>
      </text>
    </comment>
    <comment ref="M36" authorId="0" shapeId="0" xr:uid="{70BBB4F2-5470-487E-9156-E5E4C9FB2B0E}">
      <text>
        <r>
          <rPr>
            <sz val="9"/>
            <color indexed="81"/>
            <rFont val="Tahoma"/>
            <family val="2"/>
          </rPr>
          <t xml:space="preserve">CERD : Contrôle de l'émission et de la réception de données et de messages
</t>
        </r>
      </text>
    </comment>
    <comment ref="K37" authorId="0" shapeId="0" xr:uid="{78ACDE97-381A-4797-BE09-17357DA9EA98}">
      <text>
        <r>
          <rPr>
            <sz val="9"/>
            <color indexed="81"/>
            <rFont val="Tahoma"/>
            <family val="2"/>
          </rPr>
          <t xml:space="preserve">CHED : Chiffrement des échanges de données
PIED : Protection de l'intégrité des échanges de données
</t>
        </r>
      </text>
    </comment>
    <comment ref="M37" authorId="0" shapeId="0" xr:uid="{9BEBB841-85A2-486B-A7A1-E6A3BC78655A}">
      <text>
        <r>
          <rPr>
            <sz val="9"/>
            <color indexed="81"/>
            <rFont val="Tahoma"/>
            <family val="2"/>
          </rPr>
          <t xml:space="preserve">CERD : Contrôle de l'émission et de la réception de données et de messages
</t>
        </r>
      </text>
    </comment>
    <comment ref="J38" authorId="0" shapeId="0" xr:uid="{D962AE71-5B1B-42B4-9EA7-3F175D6BF576}">
      <text>
        <r>
          <rPr>
            <sz val="9"/>
            <color indexed="81"/>
            <rFont val="Tahoma"/>
            <family val="2"/>
          </rPr>
          <t xml:space="preserve">SUAI : Surveillance de l'activité interne
</t>
        </r>
      </text>
    </comment>
    <comment ref="K38" authorId="0" shapeId="0" xr:uid="{B61B9F2D-508B-479A-8CF6-729F7DC4512E}">
      <text>
        <r>
          <rPr>
            <sz val="9"/>
            <color indexed="81"/>
            <rFont val="Tahoma"/>
            <family val="2"/>
          </rPr>
          <t xml:space="preserve">CHED : Chiffrement des échanges de données
PIED : Protection de l'intégrité des échanges de données
</t>
        </r>
      </text>
    </comment>
    <comment ref="M38" authorId="0" shapeId="0" xr:uid="{35A0AD9E-401B-4946-90E2-22E3A3407FC0}">
      <text>
        <r>
          <rPr>
            <sz val="9"/>
            <color indexed="81"/>
            <rFont val="Tahoma"/>
            <family val="2"/>
          </rPr>
          <t xml:space="preserve">CERD : Contrôle de l'émission et de la réception de données et de messages
</t>
        </r>
      </text>
    </comment>
    <comment ref="K39" authorId="0" shapeId="0" xr:uid="{60C7ADEF-3C3C-40EA-A333-F9650A3B2E3B}">
      <text>
        <r>
          <rPr>
            <sz val="9"/>
            <color indexed="81"/>
            <rFont val="Tahoma"/>
            <family val="2"/>
          </rPr>
          <t xml:space="preserve">CERD : Contrôle de l'émission et de la réception de données et de messages
</t>
        </r>
      </text>
    </comment>
    <comment ref="K40" authorId="0" shapeId="0" xr:uid="{FAC2A300-AB92-4F60-AF0B-C701E2845439}">
      <text>
        <r>
          <rPr>
            <sz val="9"/>
            <color indexed="81"/>
            <rFont val="Tahoma"/>
            <family val="2"/>
          </rPr>
          <t xml:space="preserve">COSD : Contrôle de la saisie des données
</t>
        </r>
      </text>
    </comment>
    <comment ref="L40" authorId="0" shapeId="0" xr:uid="{397B5ED6-D492-4539-815A-798C0098E434}">
      <text>
        <r>
          <rPr>
            <sz val="9"/>
            <color indexed="81"/>
            <rFont val="Tahoma"/>
            <family val="2"/>
          </rPr>
          <t xml:space="preserve">COPE : Contrôle permanent sur les données et traitements
</t>
        </r>
      </text>
    </comment>
    <comment ref="J41" authorId="0" shapeId="0" xr:uid="{F9D583BE-DC4B-4163-BF5F-1F4161EDCB93}">
      <text>
        <r>
          <rPr>
            <sz val="9"/>
            <color indexed="81"/>
            <rFont val="Tahoma"/>
            <family val="2"/>
          </rPr>
          <t xml:space="preserve">SULO : Surveillance des locaux sensibles
</t>
        </r>
      </text>
    </comment>
    <comment ref="K41" authorId="0" shapeId="0" xr:uid="{5DDD96C6-700B-4253-B790-610B922B3C04}">
      <text>
        <r>
          <rPr>
            <sz val="9"/>
            <color indexed="81"/>
            <rFont val="Tahoma"/>
            <family val="2"/>
          </rPr>
          <t xml:space="preserve">CALO : Contrôle d'accès aux locaux sensibles
CHDA : Chiffrement des données applicatives stockées
PIDA : Protection de l'intégrité des fichiers de données applicatives
</t>
        </r>
      </text>
    </comment>
    <comment ref="L41" authorId="0" shapeId="0" xr:uid="{1D04A06A-7EBB-44E5-BBB0-02DEB7C12619}">
      <text>
        <r>
          <rPr>
            <sz val="9"/>
            <color indexed="81"/>
            <rFont val="Tahoma"/>
            <family val="2"/>
          </rPr>
          <t xml:space="preserve">COPE : Contrôle permanent sur les données et traitements
</t>
        </r>
      </text>
    </comment>
    <comment ref="J42" authorId="0" shapeId="0" xr:uid="{18D10325-5F8B-4C46-B89C-C615DE7E2E57}">
      <text>
        <r>
          <rPr>
            <sz val="9"/>
            <color indexed="81"/>
            <rFont val="Tahoma"/>
            <family val="2"/>
          </rPr>
          <t xml:space="preserve">SULO : Surveillance des locaux sensibles
</t>
        </r>
      </text>
    </comment>
    <comment ref="K42" authorId="0" shapeId="0" xr:uid="{4286B2C1-2FDA-46F6-8743-912AC89DFD25}">
      <text>
        <r>
          <rPr>
            <sz val="9"/>
            <color indexed="81"/>
            <rFont val="Tahoma"/>
            <family val="2"/>
          </rPr>
          <t xml:space="preserve">CHDA : Chiffrement des données applicatives stockées
PIDA : Protection de l'intégrité des fichiers de données applicatives
</t>
        </r>
      </text>
    </comment>
    <comment ref="L42" authorId="0" shapeId="0" xr:uid="{16B71E93-BB38-4719-B15B-8F96FF88A500}">
      <text>
        <r>
          <rPr>
            <sz val="9"/>
            <color indexed="81"/>
            <rFont val="Tahoma"/>
            <family val="2"/>
          </rPr>
          <t xml:space="preserve">COPE : Contrôle permanent sur les données et traitements
</t>
        </r>
      </text>
    </comment>
    <comment ref="J43" authorId="0" shapeId="0" xr:uid="{1A295546-06B8-4560-BE2A-FDE988F71EB2}">
      <text>
        <r>
          <rPr>
            <sz val="9"/>
            <color indexed="81"/>
            <rFont val="Tahoma"/>
            <family val="2"/>
          </rPr>
          <t xml:space="preserve">SULO : Surveillance des locaux sensibles
</t>
        </r>
      </text>
    </comment>
    <comment ref="K43" authorId="0" shapeId="0" xr:uid="{FA5D1187-4EBB-48FF-A345-F52DA2C2C4B7}">
      <text>
        <r>
          <rPr>
            <sz val="9"/>
            <color indexed="81"/>
            <rFont val="Tahoma"/>
            <family val="2"/>
          </rPr>
          <t xml:space="preserve">CALO : Contrôle d'accès aux locaux sensibles
CHDA : Chiffrement des données applicatives stockées
PIDA : Protection de l'intégrité des fichiers de données applicatives
</t>
        </r>
      </text>
    </comment>
    <comment ref="L43" authorId="0" shapeId="0" xr:uid="{DD39812C-2413-45AE-B4E5-46251563BEF7}">
      <text>
        <r>
          <rPr>
            <sz val="9"/>
            <color indexed="81"/>
            <rFont val="Tahoma"/>
            <family val="2"/>
          </rPr>
          <t xml:space="preserve">COPE : Contrôle permanent sur les données et traitements
</t>
        </r>
      </text>
    </comment>
    <comment ref="J44" authorId="0" shapeId="0" xr:uid="{E8337D83-D8DB-4001-8F6E-E42C6733C66D}">
      <text>
        <r>
          <rPr>
            <sz val="9"/>
            <color indexed="81"/>
            <rFont val="Tahoma"/>
            <family val="2"/>
          </rPr>
          <t xml:space="preserve">SUAI : Surveillance de l'activité interne
</t>
        </r>
      </text>
    </comment>
    <comment ref="K44" authorId="0" shapeId="0" xr:uid="{183701D5-41E3-4137-936E-F9A554231668}">
      <text>
        <r>
          <rPr>
            <sz val="9"/>
            <color indexed="81"/>
            <rFont val="Tahoma"/>
            <family val="2"/>
          </rPr>
          <t xml:space="preserve">CASA : Contrôle d'accès aux systèmes et applications
CHDA : Chiffrement des données applicatives stockées
COMA : Contrôle des opérations de maintenance
</t>
        </r>
      </text>
    </comment>
    <comment ref="J45" authorId="0" shapeId="0" xr:uid="{1F6D8F55-60EC-4632-9B24-90A800A0DFA8}">
      <text>
        <r>
          <rPr>
            <sz val="9"/>
            <color indexed="81"/>
            <rFont val="Tahoma"/>
            <family val="2"/>
          </rPr>
          <t xml:space="preserve">SUAI : Surveillance de l'activité interne
</t>
        </r>
      </text>
    </comment>
    <comment ref="K46" authorId="0" shapeId="0" xr:uid="{2EA6DB0C-6176-4CBD-9801-3A3B6D9060E6}">
      <text>
        <r>
          <rPr>
            <sz val="9"/>
            <color indexed="81"/>
            <rFont val="Tahoma"/>
            <family val="2"/>
          </rPr>
          <t xml:space="preserve">CASA : Contrôle d'accès aux systèmes et applications
CHDA : Chiffrement des données applicatives stockées
</t>
        </r>
      </text>
    </comment>
    <comment ref="K47" authorId="0" shapeId="0" xr:uid="{DEA4D5EC-A73C-48F8-AEBA-A92EA2025500}">
      <text>
        <r>
          <rPr>
            <sz val="9"/>
            <color indexed="81"/>
            <rFont val="Tahoma"/>
            <family val="2"/>
          </rPr>
          <t xml:space="preserve">CHDA : Chiffrement des données applicatives stockées
COMA : Contrôle des opérations de maintenance
</t>
        </r>
      </text>
    </comment>
    <comment ref="K48" authorId="0" shapeId="0" xr:uid="{4CFB6527-D22C-4CDE-835D-5032C8078394}">
      <text>
        <r>
          <rPr>
            <sz val="9"/>
            <color indexed="81"/>
            <rFont val="Tahoma"/>
            <family val="2"/>
          </rPr>
          <t xml:space="preserve">CHED : Chiffrement des échanges de données
</t>
        </r>
      </text>
    </comment>
    <comment ref="K49" authorId="0" shapeId="0" xr:uid="{583483BC-750D-4587-A796-418E5E7A6D13}">
      <text>
        <r>
          <rPr>
            <sz val="9"/>
            <color indexed="81"/>
            <rFont val="Tahoma"/>
            <family val="2"/>
          </rPr>
          <t xml:space="preserve">PCCV : Protection contre la captation visuelle des écrans
</t>
        </r>
      </text>
    </comment>
    <comment ref="J50" authorId="0" shapeId="0" xr:uid="{7E3573A2-2F52-456B-A75D-7A60D8D79580}">
      <text>
        <r>
          <rPr>
            <sz val="9"/>
            <color indexed="81"/>
            <rFont val="Tahoma"/>
            <family val="2"/>
          </rPr>
          <t xml:space="preserve">SULO : Surveillance des locaux sensibles
</t>
        </r>
      </text>
    </comment>
    <comment ref="K50" authorId="0" shapeId="0" xr:uid="{8E731ED4-283A-49D6-A47E-27681B4B7CD1}">
      <text>
        <r>
          <rPr>
            <sz val="9"/>
            <color indexed="81"/>
            <rFont val="Tahoma"/>
            <family val="2"/>
          </rPr>
          <t xml:space="preserve">CALO : Contrôle d'accès aux locaux sensibles
CHDA : Chiffrement des données applicatives stockées
</t>
        </r>
      </text>
    </comment>
    <comment ref="J51" authorId="0" shapeId="0" xr:uid="{1C0BD305-101A-4E76-9EC9-B5FBEFA79664}">
      <text>
        <r>
          <rPr>
            <sz val="9"/>
            <color indexed="81"/>
            <rFont val="Tahoma"/>
            <family val="2"/>
          </rPr>
          <t xml:space="preserve">SULO : Surveillance des locaux sensibles
</t>
        </r>
      </text>
    </comment>
    <comment ref="K51" authorId="0" shapeId="0" xr:uid="{5AB85CB4-5469-4916-A612-E93B60324544}">
      <text>
        <r>
          <rPr>
            <sz val="9"/>
            <color indexed="81"/>
            <rFont val="Tahoma"/>
            <family val="2"/>
          </rPr>
          <t xml:space="preserve">CHDA : Chiffrement des données applicatives stockées
</t>
        </r>
      </text>
    </comment>
    <comment ref="K52" authorId="0" shapeId="0" xr:uid="{FDCC6F59-FEAF-4E0F-AC45-15911243DC1E}">
      <text>
        <r>
          <rPr>
            <sz val="9"/>
            <color indexed="81"/>
            <rFont val="Tahoma"/>
            <family val="2"/>
          </rPr>
          <t xml:space="preserve">CALO : Contrôle d'accès aux locaux sensibles
CHDA : Chiffrement des données applicatives stockées
</t>
        </r>
      </text>
    </comment>
    <comment ref="K53" authorId="0" shapeId="0" xr:uid="{522DDA98-D4B3-49E5-AA84-BA380F364F4B}">
      <text>
        <r>
          <rPr>
            <sz val="9"/>
            <color indexed="81"/>
            <rFont val="Tahoma"/>
            <family val="2"/>
          </rPr>
          <t xml:space="preserve">CHDA : Chiffrement des données applicatives stockées
SDMR : Sécurité des données des médias réaffectés ou mis au rebut
</t>
        </r>
      </text>
    </comment>
    <comment ref="J55" authorId="0" shapeId="0" xr:uid="{7E7DA613-D904-4401-B91D-55B8C567F571}">
      <text>
        <r>
          <rPr>
            <sz val="9"/>
            <color indexed="81"/>
            <rFont val="Tahoma"/>
            <family val="2"/>
          </rPr>
          <t xml:space="preserve">SUAI : Surveillance de l'activité interne
SUBU : Surveillance des zones de bureaux sensibles
</t>
        </r>
      </text>
    </comment>
    <comment ref="K55" authorId="0" shapeId="0" xr:uid="{BF040122-7855-4F3D-AFA3-85EC0D31B1F2}">
      <text>
        <r>
          <rPr>
            <sz val="9"/>
            <color indexed="81"/>
            <rFont val="Tahoma"/>
            <family val="2"/>
          </rPr>
          <t xml:space="preserve">CASA : Contrôle d'accès aux systèmes et applications
PPDT : Protection du poste de travail
 : 
</t>
        </r>
      </text>
    </comment>
    <comment ref="M55" authorId="0" shapeId="0" xr:uid="{E00D3C44-2570-4183-81C4-63BE19810F77}">
      <text>
        <r>
          <rPr>
            <sz val="9"/>
            <color indexed="81"/>
            <rFont val="Tahoma"/>
            <family val="2"/>
          </rPr>
          <t xml:space="preserve">SADC : Sauvegardes des données et configurations (non externalisées)
</t>
        </r>
      </text>
    </comment>
    <comment ref="J56" authorId="0" shapeId="0" xr:uid="{749F18B8-90A6-453A-97FE-E6984B9135F4}">
      <text>
        <r>
          <rPr>
            <sz val="9"/>
            <color indexed="81"/>
            <rFont val="Tahoma"/>
            <family val="2"/>
          </rPr>
          <t xml:space="preserve">SUAI : Surveillance de l'activité interne
</t>
        </r>
      </text>
    </comment>
    <comment ref="M56" authorId="0" shapeId="0" xr:uid="{367B3FBB-ADB5-4926-9DAD-6B30B2B0A87A}">
      <text>
        <r>
          <rPr>
            <sz val="9"/>
            <color indexed="81"/>
            <rFont val="Tahoma"/>
            <family val="2"/>
          </rPr>
          <t xml:space="preserve">SADC : Sauvegardes des données et configurations (non externalisées)
</t>
        </r>
      </text>
    </comment>
    <comment ref="K57" authorId="0" shapeId="0" xr:uid="{C128DE0F-957A-4ADC-A6D5-75C03A2B12C8}">
      <text>
        <r>
          <rPr>
            <sz val="9"/>
            <color indexed="81"/>
            <rFont val="Tahoma"/>
            <family val="2"/>
          </rPr>
          <t xml:space="preserve">CASA : Contrôle d'accès aux systèmes et applications
</t>
        </r>
      </text>
    </comment>
    <comment ref="M57" authorId="0" shapeId="0" xr:uid="{35B850E3-D5E4-47D8-82F4-E5C6CA792D49}">
      <text>
        <r>
          <rPr>
            <sz val="9"/>
            <color indexed="81"/>
            <rFont val="Tahoma"/>
            <family val="2"/>
          </rPr>
          <t xml:space="preserve">SADC : Sauvegardes des données et configurations (non externalisées)
</t>
        </r>
      </text>
    </comment>
    <comment ref="J58" authorId="0" shapeId="0" xr:uid="{15447091-6EB0-45E2-BC49-66A9AF28D754}">
      <text>
        <r>
          <rPr>
            <sz val="9"/>
            <color indexed="81"/>
            <rFont val="Tahoma"/>
            <family val="2"/>
          </rPr>
          <t xml:space="preserve">SUBU : Surveillance des zones de bureaux sensibles
</t>
        </r>
      </text>
    </comment>
    <comment ref="K58" authorId="0" shapeId="0" xr:uid="{A0785D0E-A172-4E96-8878-EAAA87046C93}">
      <text>
        <r>
          <rPr>
            <sz val="9"/>
            <color indexed="81"/>
            <rFont val="Tahoma"/>
            <family val="2"/>
          </rPr>
          <t xml:space="preserve">PPDT : Protection du poste de travail
</t>
        </r>
      </text>
    </comment>
    <comment ref="M58" authorId="0" shapeId="0" xr:uid="{019A1847-28B7-4C33-A315-1A2C2ABEAB3D}">
      <text>
        <r>
          <rPr>
            <sz val="9"/>
            <color indexed="81"/>
            <rFont val="Tahoma"/>
            <family val="2"/>
          </rPr>
          <t xml:space="preserve">SADC : Sauvegardes des données et configurations (non externalisées)
</t>
        </r>
      </text>
    </comment>
    <comment ref="M59" authorId="0" shapeId="0" xr:uid="{85A47788-323D-4A22-A3C6-577418F2B176}">
      <text>
        <r>
          <rPr>
            <sz val="9"/>
            <color indexed="81"/>
            <rFont val="Tahoma"/>
            <family val="2"/>
          </rPr>
          <t xml:space="preserve">SADC : Sauvegardes des données et configurations (non externalisées)
</t>
        </r>
      </text>
    </comment>
    <comment ref="K60" authorId="0" shapeId="0" xr:uid="{8F3C3EE8-A17E-486D-B27A-6253326AE2DF}">
      <text>
        <r>
          <rPr>
            <sz val="9"/>
            <color indexed="81"/>
            <rFont val="Tahoma"/>
            <family val="2"/>
          </rPr>
          <t xml:space="preserve">PMAL : Protection contre les logiciels malveillants et actions malveillantes menées par voie électronique (hameçonnage), ou non (faux courrier)
</t>
        </r>
      </text>
    </comment>
    <comment ref="M60" authorId="0" shapeId="0" xr:uid="{04DF85D7-B333-4216-8E65-1645F7D0CD83}">
      <text>
        <r>
          <rPr>
            <sz val="9"/>
            <color indexed="81"/>
            <rFont val="Tahoma"/>
            <family val="2"/>
          </rPr>
          <t xml:space="preserve">SADC : Sauvegardes des données et configurations (non externalisées)
</t>
        </r>
      </text>
    </comment>
    <comment ref="J61" authorId="0" shapeId="0" xr:uid="{18F7A7E2-EE28-4DB9-B949-234B16DAF0F9}">
      <text>
        <r>
          <rPr>
            <sz val="9"/>
            <color indexed="81"/>
            <rFont val="Tahoma"/>
            <family val="2"/>
          </rPr>
          <t xml:space="preserve">SUAI : Surveillance de l'activité interne
</t>
        </r>
      </text>
    </comment>
    <comment ref="M62" authorId="0" shapeId="0" xr:uid="{7D71BA18-F4D9-4D12-A435-3E1549F9D5A3}">
      <text>
        <r>
          <rPr>
            <sz val="9"/>
            <color indexed="81"/>
            <rFont val="Tahoma"/>
            <family val="2"/>
          </rPr>
          <t xml:space="preserve">GMAF : Gestion des moyens d'accès aux fichiers de données ou de programme
</t>
        </r>
      </text>
    </comment>
    <comment ref="M63" authorId="0" shapeId="0" xr:uid="{55D1782B-919B-4674-865F-35C14E18DC36}">
      <text>
        <r>
          <rPr>
            <sz val="9"/>
            <color indexed="81"/>
            <rFont val="Tahoma"/>
            <family val="2"/>
          </rPr>
          <t xml:space="preserve">SADC : Sauvegardes des données et configurations (non externalisées)
</t>
        </r>
      </text>
    </comment>
    <comment ref="K64" authorId="0" shapeId="0" xr:uid="{FF496A1D-A9D2-4BF7-8150-FE1645501A2A}">
      <text>
        <r>
          <rPr>
            <sz val="9"/>
            <color indexed="81"/>
            <rFont val="Tahoma"/>
            <family val="2"/>
          </rPr>
          <t xml:space="preserve">CERD : Contrôle de l'émission et de la réception de données et de messages
</t>
        </r>
      </text>
    </comment>
    <comment ref="K65" authorId="0" shapeId="0" xr:uid="{54F35C37-F552-43BE-A50A-6574AAA04F24}">
      <text>
        <r>
          <rPr>
            <sz val="9"/>
            <color indexed="81"/>
            <rFont val="Tahoma"/>
            <family val="2"/>
          </rPr>
          <t xml:space="preserve">GMAF : Gestion des moyens d'accès aux fichiers de données ou de programme
</t>
        </r>
      </text>
    </comment>
    <comment ref="M66" authorId="0" shapeId="0" xr:uid="{5EB3B104-799B-4912-A45B-5A1FC15693BA}">
      <text>
        <r>
          <rPr>
            <sz val="9"/>
            <color indexed="81"/>
            <rFont val="Tahoma"/>
            <family val="2"/>
          </rPr>
          <t xml:space="preserve">SADC : Sauvegardes des données et configurations (non externalisées)
</t>
        </r>
      </text>
    </comment>
    <comment ref="J67" authorId="0" shapeId="0" xr:uid="{2DA29222-FE45-4B97-8D37-F2FA9775F41F}">
      <text>
        <r>
          <rPr>
            <sz val="9"/>
            <color indexed="81"/>
            <rFont val="Tahoma"/>
            <family val="2"/>
          </rPr>
          <t xml:space="preserve">SUBU : Surveillance des zones de bureaux sensibles
</t>
        </r>
      </text>
    </comment>
    <comment ref="K67" authorId="0" shapeId="0" xr:uid="{99928482-2FAF-4662-9798-D780527DAC89}">
      <text>
        <r>
          <rPr>
            <sz val="9"/>
            <color indexed="81"/>
            <rFont val="Tahoma"/>
            <family val="2"/>
          </rPr>
          <t xml:space="preserve">PDSS : Protection des documents et supports sensibles
SBUR : Sécurisation des zones de bureaux sensibles
</t>
        </r>
      </text>
    </comment>
    <comment ref="M67" authorId="0" shapeId="0" xr:uid="{14E51611-732D-4A27-95FB-14E25D2473CC}">
      <text>
        <r>
          <rPr>
            <sz val="9"/>
            <color indexed="81"/>
            <rFont val="Tahoma"/>
            <family val="2"/>
          </rPr>
          <t xml:space="preserve">SADC : Sauvegardes des données et configurations (non externalisées)
</t>
        </r>
      </text>
    </comment>
    <comment ref="J68" authorId="0" shapeId="0" xr:uid="{75D63BB1-9B94-47C6-9049-30EBC9A7EDDF}">
      <text>
        <r>
          <rPr>
            <sz val="9"/>
            <color indexed="81"/>
            <rFont val="Tahoma"/>
            <family val="2"/>
          </rPr>
          <t xml:space="preserve">SUBU : Surveillance des zones de bureaux sensibles
</t>
        </r>
      </text>
    </comment>
    <comment ref="K68" authorId="0" shapeId="0" xr:uid="{E6E8A637-AF0F-458F-A360-A8ACAD311883}">
      <text>
        <r>
          <rPr>
            <sz val="9"/>
            <color indexed="81"/>
            <rFont val="Tahoma"/>
            <family val="2"/>
          </rPr>
          <t xml:space="preserve">PDSS : Protection des documents et supports sensibles
SBUR : Sécurisation des zones de bureaux sensibles
</t>
        </r>
      </text>
    </comment>
    <comment ref="M68" authorId="0" shapeId="0" xr:uid="{2865785D-8C17-42C1-B1C9-922C1B94A2F3}">
      <text>
        <r>
          <rPr>
            <sz val="9"/>
            <color indexed="81"/>
            <rFont val="Tahoma"/>
            <family val="2"/>
          </rPr>
          <t xml:space="preserve">SADC : Sauvegardes des données et configurations (non externalisées)
</t>
        </r>
      </text>
    </comment>
    <comment ref="J69" authorId="0" shapeId="0" xr:uid="{23472FB2-B64A-44D6-96F5-0EE53228EC01}">
      <text>
        <r>
          <rPr>
            <sz val="9"/>
            <color indexed="81"/>
            <rFont val="Tahoma"/>
            <family val="2"/>
          </rPr>
          <t xml:space="preserve">SUBU : Surveillance des zones de bureaux sensibles
</t>
        </r>
      </text>
    </comment>
    <comment ref="K69" authorId="0" shapeId="0" xr:uid="{069FCE06-8079-45FF-B66D-E66F3619B3EF}">
      <text>
        <r>
          <rPr>
            <sz val="9"/>
            <color indexed="81"/>
            <rFont val="Tahoma"/>
            <family val="2"/>
          </rPr>
          <t xml:space="preserve">PDSS : Protection des documents et supports sensibles
</t>
        </r>
      </text>
    </comment>
    <comment ref="M69" authorId="0" shapeId="0" xr:uid="{74F2DC05-D402-4214-B922-111CB131AC01}">
      <text>
        <r>
          <rPr>
            <sz val="9"/>
            <color indexed="81"/>
            <rFont val="Tahoma"/>
            <family val="2"/>
          </rPr>
          <t xml:space="preserve">SADC : Sauvegardes des données et configurations (non externalisées)
</t>
        </r>
      </text>
    </comment>
    <comment ref="K70" authorId="0" shapeId="0" xr:uid="{17C8094E-7BF2-4090-8A4E-1DDED9C75AE3}">
      <text>
        <r>
          <rPr>
            <sz val="9"/>
            <color indexed="81"/>
            <rFont val="Tahoma"/>
            <family val="2"/>
          </rPr>
          <t xml:space="preserve">PDSS : Protection des documents et supports sensibles
</t>
        </r>
      </text>
    </comment>
    <comment ref="L70" authorId="0" shapeId="0" xr:uid="{C31B46BC-CD3A-426A-9816-9BDC94F2A92D}">
      <text>
        <r>
          <rPr>
            <sz val="9"/>
            <color indexed="81"/>
            <rFont val="Tahoma"/>
            <family val="2"/>
          </rPr>
          <t xml:space="preserve">PRED : Protection contre les risques environnementaux divers
</t>
        </r>
      </text>
    </comment>
    <comment ref="M70" authorId="0" shapeId="0" xr:uid="{4D28A3CA-9A5D-4EDC-8BC4-BFAB961EAC04}">
      <text>
        <r>
          <rPr>
            <sz val="9"/>
            <color indexed="81"/>
            <rFont val="Tahoma"/>
            <family val="2"/>
          </rPr>
          <t xml:space="preserve">SADC : Sauvegardes des données et configurations (non externalisées)
</t>
        </r>
      </text>
    </comment>
    <comment ref="K71" authorId="0" shapeId="0" xr:uid="{1D0F98C6-9F00-40B7-A225-9A90DA14B436}">
      <text>
        <r>
          <rPr>
            <sz val="9"/>
            <color indexed="81"/>
            <rFont val="Tahoma"/>
            <family val="2"/>
          </rPr>
          <t xml:space="preserve">PDSS : Protection des documents et supports sensibles
</t>
        </r>
      </text>
    </comment>
    <comment ref="M71" authorId="0" shapeId="0" xr:uid="{21FDCAB6-381C-4246-B5EE-1ABF466614CD}">
      <text>
        <r>
          <rPr>
            <sz val="9"/>
            <color indexed="81"/>
            <rFont val="Tahoma"/>
            <family val="2"/>
          </rPr>
          <t xml:space="preserve">SADC : Sauvegardes des données et configurations (non externalisées)
</t>
        </r>
      </text>
    </comment>
    <comment ref="K72" authorId="0" shapeId="0" xr:uid="{F2AAD0D7-8FA6-48A3-B237-66A27228CA98}">
      <text>
        <r>
          <rPr>
            <sz val="9"/>
            <color indexed="81"/>
            <rFont val="Tahoma"/>
            <family val="2"/>
          </rPr>
          <t xml:space="preserve">GMAF : Gestion des moyens d'accès aux fichiers de données ou de programme
</t>
        </r>
      </text>
    </comment>
    <comment ref="K73" authorId="0" shapeId="0" xr:uid="{A01538A9-2B16-4F3A-9F0A-647A1C5F3DB1}">
      <text>
        <r>
          <rPr>
            <sz val="9"/>
            <color indexed="81"/>
            <rFont val="Tahoma"/>
            <family val="2"/>
          </rPr>
          <t xml:space="preserve">GMAF : Gestion des moyens d'accès aux fichiers de données ou de programme
</t>
        </r>
      </text>
    </comment>
    <comment ref="J74" authorId="0" shapeId="0" xr:uid="{E38B0605-996C-4AF9-9F88-D68DF43F0017}">
      <text>
        <r>
          <rPr>
            <sz val="9"/>
            <color indexed="81"/>
            <rFont val="Tahoma"/>
            <family val="2"/>
          </rPr>
          <t xml:space="preserve">SUAI : Surveillance de l'activité interne
SUBU : Surveillance des zones de bureaux sensibles
</t>
        </r>
      </text>
    </comment>
    <comment ref="K74" authorId="0" shapeId="0" xr:uid="{194B48E4-F2BB-4B30-ADC4-57C8972D4F34}">
      <text>
        <r>
          <rPr>
            <sz val="9"/>
            <color indexed="81"/>
            <rFont val="Tahoma"/>
            <family val="2"/>
          </rPr>
          <t xml:space="preserve">CASA : Contrôle d'accès aux systèmes et applications
CHDB : Chiffrement des données bureautiques
PIDB : Protection de l'intégrité des fichiers de données bureautiques
PPDT : Protection du poste de travail
</t>
        </r>
      </text>
    </comment>
    <comment ref="K75" authorId="0" shapeId="0" xr:uid="{863E252A-D17F-4F4F-BE29-E953517B7FD0}">
      <text>
        <r>
          <rPr>
            <sz val="9"/>
            <color indexed="81"/>
            <rFont val="Tahoma"/>
            <family val="2"/>
          </rPr>
          <t xml:space="preserve">CASA : Contrôle d'accès aux systèmes et applications
CHDB : Chiffrement des données bureautiques
PIDB : Protection de l'intégrité des fichiers de données bureautiques
</t>
        </r>
      </text>
    </comment>
    <comment ref="J76" authorId="0" shapeId="0" xr:uid="{306B8A52-66B9-4781-B3E0-38771C228079}">
      <text>
        <r>
          <rPr>
            <sz val="9"/>
            <color indexed="81"/>
            <rFont val="Tahoma"/>
            <family val="2"/>
          </rPr>
          <t xml:space="preserve">SUAI : Surveillance de l'activité interne
</t>
        </r>
      </text>
    </comment>
    <comment ref="K76" authorId="0" shapeId="0" xr:uid="{A4CCFE14-B81A-48AD-AAC2-63888418BD1F}">
      <text>
        <r>
          <rPr>
            <sz val="9"/>
            <color indexed="81"/>
            <rFont val="Tahoma"/>
            <family val="2"/>
          </rPr>
          <t xml:space="preserve">CHDB : Chiffrement des données bureautiques
PIDB : Protection de l'intégrité des fichiers de données bureautiques
</t>
        </r>
      </text>
    </comment>
    <comment ref="J77" authorId="0" shapeId="0" xr:uid="{F2DB5D1A-6071-4482-B121-FE22B818C585}">
      <text>
        <r>
          <rPr>
            <sz val="9"/>
            <color indexed="81"/>
            <rFont val="Tahoma"/>
            <family val="2"/>
          </rPr>
          <t xml:space="preserve">SUBU : Surveillance des zones de bureaux sensibles
</t>
        </r>
      </text>
    </comment>
    <comment ref="K77" authorId="0" shapeId="0" xr:uid="{2E6A7D26-5A80-468F-8F9C-5F2ED5014A3D}">
      <text>
        <r>
          <rPr>
            <sz val="9"/>
            <color indexed="81"/>
            <rFont val="Tahoma"/>
            <family val="2"/>
          </rPr>
          <t xml:space="preserve">CHDB : Chiffrement des données bureautiques
PIDB : Protection de l'intégrité des fichiers de données bureautiques
PPDT : Protection du poste de travail
</t>
        </r>
      </text>
    </comment>
    <comment ref="K78" authorId="0" shapeId="0" xr:uid="{DEACD06C-0F7E-4A25-87F0-0160D6BD033B}">
      <text>
        <r>
          <rPr>
            <sz val="9"/>
            <color indexed="81"/>
            <rFont val="Tahoma"/>
            <family val="2"/>
          </rPr>
          <t xml:space="preserve">PIDB : Protection de l'intégrité des fichiers de données bureautiques
</t>
        </r>
      </text>
    </comment>
    <comment ref="J79" authorId="0" shapeId="0" xr:uid="{F88DD8D3-B2B1-4F89-8164-1C24045C1DA0}">
      <text>
        <r>
          <rPr>
            <sz val="9"/>
            <color indexed="81"/>
            <rFont val="Tahoma"/>
            <family val="2"/>
          </rPr>
          <t xml:space="preserve">SUAI : Surveillance de l'activité interne
</t>
        </r>
      </text>
    </comment>
    <comment ref="K79" authorId="0" shapeId="0" xr:uid="{C17D41B6-0063-40DE-8D2C-961118996DF3}">
      <text>
        <r>
          <rPr>
            <sz val="9"/>
            <color indexed="81"/>
            <rFont val="Tahoma"/>
            <family val="2"/>
          </rPr>
          <t xml:space="preserve">CHED : Chiffrement des échanges de données
PIED : Protection de l'intégrité des échanges de données
</t>
        </r>
      </text>
    </comment>
    <comment ref="M79" authorId="0" shapeId="0" xr:uid="{938F0717-D475-41F3-9966-2EC4E1304EE6}">
      <text>
        <r>
          <rPr>
            <sz val="9"/>
            <color indexed="81"/>
            <rFont val="Tahoma"/>
            <family val="2"/>
          </rPr>
          <t xml:space="preserve">CERD : Contrôle de l'émission et de la réception de données et de messages
</t>
        </r>
      </text>
    </comment>
    <comment ref="K80" authorId="0" shapeId="0" xr:uid="{4E921023-1EBA-4536-825D-CCEC1019D77B}">
      <text>
        <r>
          <rPr>
            <sz val="9"/>
            <color indexed="81"/>
            <rFont val="Tahoma"/>
            <family val="2"/>
          </rPr>
          <t xml:space="preserve">CHED : Chiffrement des échanges de données
PIED : Protection de l'intégrité des échanges de données
</t>
        </r>
      </text>
    </comment>
    <comment ref="M80" authorId="0" shapeId="0" xr:uid="{71B0A1A5-03F0-4E4C-B64D-83DA6FE323C2}">
      <text>
        <r>
          <rPr>
            <sz val="9"/>
            <color indexed="81"/>
            <rFont val="Tahoma"/>
            <family val="2"/>
          </rPr>
          <t xml:space="preserve">CERD : Contrôle de l'émission et de la réception de données et de messages
</t>
        </r>
      </text>
    </comment>
    <comment ref="J81" authorId="0" shapeId="0" xr:uid="{B99652AC-4F10-4478-BD41-36A0B237F293}">
      <text>
        <r>
          <rPr>
            <sz val="9"/>
            <color indexed="81"/>
            <rFont val="Tahoma"/>
            <family val="2"/>
          </rPr>
          <t xml:space="preserve">SUAI : Surveillance de l'activité interne
</t>
        </r>
      </text>
    </comment>
    <comment ref="K81" authorId="0" shapeId="0" xr:uid="{C022E72B-5994-45FF-9C8B-E344F3BB54D0}">
      <text>
        <r>
          <rPr>
            <sz val="9"/>
            <color indexed="81"/>
            <rFont val="Tahoma"/>
            <family val="2"/>
          </rPr>
          <t xml:space="preserve">CHED : Chiffrement des échanges de données
PIED : Protection de l'intégrité des échanges de données
</t>
        </r>
      </text>
    </comment>
    <comment ref="M81" authorId="0" shapeId="0" xr:uid="{84442740-2D6F-42BF-9559-63276624C2C3}">
      <text>
        <r>
          <rPr>
            <sz val="9"/>
            <color indexed="81"/>
            <rFont val="Tahoma"/>
            <family val="2"/>
          </rPr>
          <t xml:space="preserve">CERD : Contrôle de l'émission et de la réception de données et de messages
</t>
        </r>
      </text>
    </comment>
    <comment ref="K82" authorId="0" shapeId="0" xr:uid="{4AB01476-A1C2-432E-80C3-976397B9DBC5}">
      <text>
        <r>
          <rPr>
            <sz val="9"/>
            <color indexed="81"/>
            <rFont val="Tahoma"/>
            <family val="2"/>
          </rPr>
          <t xml:space="preserve">CHDB : Chiffrement des données bureautiques
PIDB : Protection de l'intégrité des fichiers de données bureautiques
</t>
        </r>
      </text>
    </comment>
    <comment ref="J83" authorId="0" shapeId="0" xr:uid="{1A0F5A6E-8F4F-4EFF-B874-B74501F3685D}">
      <text>
        <r>
          <rPr>
            <sz val="9"/>
            <color indexed="81"/>
            <rFont val="Tahoma"/>
            <family val="2"/>
          </rPr>
          <t xml:space="preserve">SUAI : Surveillance de l'activité interne
SUBU : Surveillance des zones de bureaux sensibles
</t>
        </r>
      </text>
    </comment>
    <comment ref="K83" authorId="0" shapeId="0" xr:uid="{C93CE821-CBF0-445A-B291-4B48943A266A}">
      <text>
        <r>
          <rPr>
            <sz val="9"/>
            <color indexed="81"/>
            <rFont val="Tahoma"/>
            <family val="2"/>
          </rPr>
          <t xml:space="preserve">CASA : Contrôle d'accès aux systèmes et applications
CHDB : Chiffrement des données bureautiques
COMA : Contrôle des opérations de maintenance
PPDT : Protection du poste de travail
</t>
        </r>
      </text>
    </comment>
    <comment ref="J84" authorId="0" shapeId="0" xr:uid="{5F4A8D9E-409E-40C7-B0A7-116C08FF700E}">
      <text>
        <r>
          <rPr>
            <sz val="9"/>
            <color indexed="81"/>
            <rFont val="Tahoma"/>
            <family val="2"/>
          </rPr>
          <t xml:space="preserve">SUAI : Surveillance de l'activité interne
</t>
        </r>
      </text>
    </comment>
    <comment ref="K84" authorId="0" shapeId="0" xr:uid="{23D3066A-B5F2-493A-990F-D23F76FE065E}">
      <text>
        <r>
          <rPr>
            <sz val="9"/>
            <color indexed="81"/>
            <rFont val="Tahoma"/>
            <family val="2"/>
          </rPr>
          <t xml:space="preserve">CHDB : Chiffrement des données bureautiques
</t>
        </r>
      </text>
    </comment>
    <comment ref="K85" authorId="0" shapeId="0" xr:uid="{8E2DBEA4-B174-480A-9DA9-6071199B2663}">
      <text>
        <r>
          <rPr>
            <sz val="9"/>
            <color indexed="81"/>
            <rFont val="Tahoma"/>
            <family val="2"/>
          </rPr>
          <t xml:space="preserve">CASA : Contrôle d'accès aux systèmes et applications
CHDB : Chiffrement des données bureautiques
</t>
        </r>
      </text>
    </comment>
    <comment ref="J86" authorId="0" shapeId="0" xr:uid="{69DC5207-21AC-4BB2-A689-41A9537F93E0}">
      <text>
        <r>
          <rPr>
            <sz val="9"/>
            <color indexed="81"/>
            <rFont val="Tahoma"/>
            <family val="2"/>
          </rPr>
          <t xml:space="preserve">SUBU : Surveillance des zones de bureaux sensibles
</t>
        </r>
      </text>
    </comment>
    <comment ref="K86" authorId="0" shapeId="0" xr:uid="{6CD24D03-1E1E-4792-A875-13D88A88375B}">
      <text>
        <r>
          <rPr>
            <sz val="9"/>
            <color indexed="81"/>
            <rFont val="Tahoma"/>
            <family val="2"/>
          </rPr>
          <t xml:space="preserve">CHDB : Chiffrement des données bureautiques
PPDT : Protection du poste de travail
</t>
        </r>
      </text>
    </comment>
    <comment ref="K87" authorId="0" shapeId="0" xr:uid="{A4A8DBDE-0E17-4DD3-A044-B544F0701CE1}">
      <text>
        <r>
          <rPr>
            <sz val="9"/>
            <color indexed="81"/>
            <rFont val="Tahoma"/>
            <family val="2"/>
          </rPr>
          <t xml:space="preserve">CHDB : Chiffrement des données bureautiques
COMA : Contrôle des opérations de maintenance
</t>
        </r>
      </text>
    </comment>
    <comment ref="K88" authorId="0" shapeId="0" xr:uid="{0D9D2A9B-A52D-4744-8DC6-1B6A1E14ED6A}">
      <text>
        <r>
          <rPr>
            <sz val="9"/>
            <color indexed="81"/>
            <rFont val="Tahoma"/>
            <family val="2"/>
          </rPr>
          <t xml:space="preserve">SAMP : Sécurité des appareils mobiles personnels
</t>
        </r>
      </text>
    </comment>
    <comment ref="K89" authorId="0" shapeId="0" xr:uid="{22E78292-B9E7-40FF-A82C-04B6944CD458}">
      <text>
        <r>
          <rPr>
            <sz val="9"/>
            <color indexed="81"/>
            <rFont val="Tahoma"/>
            <family val="2"/>
          </rPr>
          <t xml:space="preserve">CHDB : Chiffrement des données bureautiques
</t>
        </r>
      </text>
    </comment>
    <comment ref="K90" authorId="0" shapeId="0" xr:uid="{BFF5ABA9-2A77-4460-8B0F-83811F6760FF}">
      <text>
        <r>
          <rPr>
            <sz val="9"/>
            <color indexed="81"/>
            <rFont val="Tahoma"/>
            <family val="2"/>
          </rPr>
          <t xml:space="preserve">PMAL : Protection contre les logiciels malveillants et actions malveillantes menées par voie électronique (hameçonnage), ou non (faux courrier)
</t>
        </r>
      </text>
    </comment>
    <comment ref="K91" authorId="0" shapeId="0" xr:uid="{15EAC59D-9F05-49BA-AF2B-C9CD91120BCB}">
      <text>
        <r>
          <rPr>
            <sz val="9"/>
            <color indexed="81"/>
            <rFont val="Tahoma"/>
            <family val="2"/>
          </rPr>
          <t xml:space="preserve">CHDB : Chiffrement des données bureautiques
PMAL : Protection contre les logiciels malveillants et actions malveillantes menées par voie électronique (hameçonnage), ou non (faux courrier)
</t>
        </r>
      </text>
    </comment>
    <comment ref="K92" authorId="0" shapeId="0" xr:uid="{691AA745-3FC8-4428-99FC-5CCA7A537DD3}">
      <text>
        <r>
          <rPr>
            <sz val="9"/>
            <color indexed="81"/>
            <rFont val="Tahoma"/>
            <family val="2"/>
          </rPr>
          <t xml:space="preserve">CHED : Chiffrement des échanges de données
</t>
        </r>
      </text>
    </comment>
    <comment ref="K93" authorId="0" shapeId="0" xr:uid="{7EC7F510-7B2D-473A-91C4-F7D003B336A7}">
      <text>
        <r>
          <rPr>
            <sz val="9"/>
            <color indexed="81"/>
            <rFont val="Tahoma"/>
            <family val="2"/>
          </rPr>
          <t xml:space="preserve">PCCV : Protection contre la captation visuelle des écrans
</t>
        </r>
      </text>
    </comment>
    <comment ref="K94" authorId="0" shapeId="0" xr:uid="{F004D900-8BA5-44EE-A988-0CAB846F502F}">
      <text>
        <r>
          <rPr>
            <sz val="9"/>
            <color indexed="81"/>
            <rFont val="Tahoma"/>
            <family val="2"/>
          </rPr>
          <t xml:space="preserve">PMAL : Protection contre les logiciels malveillants et actions malveillantes menées par voie électronique (hameçonnage), ou non (faux courrier)
</t>
        </r>
      </text>
    </comment>
    <comment ref="K95" authorId="0" shapeId="0" xr:uid="{6E826640-F680-48A2-B1D3-FBCBA27A3F86}">
      <text>
        <r>
          <rPr>
            <sz val="9"/>
            <color indexed="81"/>
            <rFont val="Tahoma"/>
            <family val="2"/>
          </rPr>
          <t xml:space="preserve">PMAL : Protection contre les logiciels malveillants et actions malveillantes menées par voie électronique (hameçonnage), ou non (faux courrier)
</t>
        </r>
      </text>
    </comment>
    <comment ref="J96" authorId="0" shapeId="0" xr:uid="{BF4F5C20-FE8F-48D2-AA11-F2B3B0AB05AD}">
      <text>
        <r>
          <rPr>
            <sz val="9"/>
            <color indexed="81"/>
            <rFont val="Tahoma"/>
            <family val="2"/>
          </rPr>
          <t xml:space="preserve">SUBU : Surveillance des zones de bureaux sensibles
</t>
        </r>
      </text>
    </comment>
    <comment ref="K96" authorId="0" shapeId="0" xr:uid="{CE8D7A1A-1C56-41E6-9E88-D6654A17E1CB}">
      <text>
        <r>
          <rPr>
            <sz val="9"/>
            <color indexed="81"/>
            <rFont val="Tahoma"/>
            <family val="2"/>
          </rPr>
          <t xml:space="preserve">PPDT : Protection du poste de travail
SBUR : Sécurisation des zones de bureaux sensibles
</t>
        </r>
      </text>
    </comment>
    <comment ref="J97" authorId="0" shapeId="0" xr:uid="{E6567300-3AB8-4B26-9DBF-3C50A8704DAA}">
      <text>
        <r>
          <rPr>
            <sz val="9"/>
            <color indexed="81"/>
            <rFont val="Tahoma"/>
            <family val="2"/>
          </rPr>
          <t xml:space="preserve">SUBU : Surveillance des zones de bureaux sensibles
</t>
        </r>
      </text>
    </comment>
    <comment ref="K97" authorId="0" shapeId="0" xr:uid="{C63905AC-6BD7-4204-84ED-459CAB1224D7}">
      <text>
        <r>
          <rPr>
            <sz val="9"/>
            <color indexed="81"/>
            <rFont val="Tahoma"/>
            <family val="2"/>
          </rPr>
          <t xml:space="preserve">CHDB : Chiffrement des données bureautiques
SBUR : Sécurisation des zones de bureaux sensibles
SDMR : Sécurité des données des médias réaffectés ou mis au rebut
</t>
        </r>
      </text>
    </comment>
    <comment ref="J98" authorId="0" shapeId="0" xr:uid="{62FAD115-DAC2-4809-AC51-9A21AE2CD474}">
      <text>
        <r>
          <rPr>
            <sz val="9"/>
            <color indexed="81"/>
            <rFont val="Tahoma"/>
            <family val="2"/>
          </rPr>
          <t xml:space="preserve">SUBU : Surveillance des zones de bureaux sensibles
</t>
        </r>
      </text>
    </comment>
    <comment ref="K98" authorId="0" shapeId="0" xr:uid="{DB603FAB-B7E8-4588-814F-FA0FE42CE0D2}">
      <text>
        <r>
          <rPr>
            <sz val="9"/>
            <color indexed="81"/>
            <rFont val="Tahoma"/>
            <family val="2"/>
          </rPr>
          <t xml:space="preserve">CHDB : Chiffrement des données bureautiques
</t>
        </r>
      </text>
    </comment>
    <comment ref="J99" authorId="0" shapeId="0" xr:uid="{03F8391A-C394-4BFB-920B-9C822EA45053}">
      <text>
        <r>
          <rPr>
            <sz val="9"/>
            <color indexed="81"/>
            <rFont val="Tahoma"/>
            <family val="2"/>
          </rPr>
          <t xml:space="preserve">SUBU : Surveillance des zones de bureaux sensibles
</t>
        </r>
      </text>
    </comment>
    <comment ref="K99" authorId="0" shapeId="0" xr:uid="{1B4BCE21-AB42-465D-A57E-B75812CC9588}">
      <text>
        <r>
          <rPr>
            <sz val="9"/>
            <color indexed="81"/>
            <rFont val="Tahoma"/>
            <family val="2"/>
          </rPr>
          <t xml:space="preserve">CHDB : Chiffrement des données bureautiques
SBUR : Sécurisation des zones de bureaux sensibles
</t>
        </r>
      </text>
    </comment>
    <comment ref="K100" authorId="0" shapeId="0" xr:uid="{FF2DC607-678A-4AB4-9E5E-49CFD1E81E8D}">
      <text>
        <r>
          <rPr>
            <sz val="9"/>
            <color indexed="81"/>
            <rFont val="Tahoma"/>
            <family val="2"/>
          </rPr>
          <t xml:space="preserve">CHDB : Chiffrement des données bureautiques
SDMR : Sécurité des données des médias réaffectés ou mis au rebut
</t>
        </r>
      </text>
    </comment>
    <comment ref="J102" authorId="0" shapeId="0" xr:uid="{CE3EC012-63D2-48B8-BED8-C5F383AE56DC}">
      <text>
        <r>
          <rPr>
            <sz val="9"/>
            <color indexed="81"/>
            <rFont val="Tahoma"/>
            <family val="2"/>
          </rPr>
          <t xml:space="preserve">SUBU : Surveillance des zones de bureaux sensibles
</t>
        </r>
      </text>
    </comment>
    <comment ref="K102" authorId="0" shapeId="0" xr:uid="{E9192429-C02E-48BB-853A-8F28EB385EA4}">
      <text>
        <r>
          <rPr>
            <sz val="9"/>
            <color indexed="81"/>
            <rFont val="Tahoma"/>
            <family val="2"/>
          </rPr>
          <t xml:space="preserve">PDSS : Protection des documents et supports sensibles
SBUR : Sécurisation des zones de bureaux sensibles
PIMP : Protection des impressions sur imprimante partagée
</t>
        </r>
      </text>
    </comment>
    <comment ref="J103" authorId="0" shapeId="0" xr:uid="{CB83C26B-4E54-4682-B58E-94995153DA6C}">
      <text>
        <r>
          <rPr>
            <sz val="9"/>
            <color indexed="81"/>
            <rFont val="Tahoma"/>
            <family val="2"/>
          </rPr>
          <t xml:space="preserve">SUBU : Surveillance des zones de bureaux sensibles
</t>
        </r>
      </text>
    </comment>
    <comment ref="K103" authorId="0" shapeId="0" xr:uid="{D3AF5F26-66C3-4797-ABD4-FAEDD81C615C}">
      <text>
        <r>
          <rPr>
            <sz val="9"/>
            <color indexed="81"/>
            <rFont val="Tahoma"/>
            <family val="2"/>
          </rPr>
          <t xml:space="preserve">PDSS : Protection des documents et supports sensibles
</t>
        </r>
      </text>
    </comment>
    <comment ref="J104" authorId="0" shapeId="0" xr:uid="{2D93A977-C197-498E-A050-CBC181ECE5C0}">
      <text>
        <r>
          <rPr>
            <sz val="9"/>
            <color indexed="81"/>
            <rFont val="Tahoma"/>
            <family val="2"/>
          </rPr>
          <t xml:space="preserve">SUBU : Surveillance des zones de bureaux sensibles
</t>
        </r>
      </text>
    </comment>
    <comment ref="K104" authorId="0" shapeId="0" xr:uid="{AB6D2E71-747D-49AE-AC05-9B86D9967AA0}">
      <text>
        <r>
          <rPr>
            <sz val="9"/>
            <color indexed="81"/>
            <rFont val="Tahoma"/>
            <family val="2"/>
          </rPr>
          <t xml:space="preserve">PDSS : Protection des documents et supports sensibles
SBUR : Sécurisation des zones de bureaux sensibles
</t>
        </r>
      </text>
    </comment>
    <comment ref="K105" authorId="0" shapeId="0" xr:uid="{421003E2-39B9-45D3-8D55-405801B00458}">
      <text>
        <r>
          <rPr>
            <sz val="9"/>
            <color indexed="81"/>
            <rFont val="Tahoma"/>
            <family val="2"/>
          </rPr>
          <t xml:space="preserve">PIMP : Protection des impressions sur imprimante partagée
</t>
        </r>
      </text>
    </comment>
    <comment ref="K106" authorId="0" shapeId="0" xr:uid="{ABC664AD-C0F0-417E-9E0E-D6D0C605E20A}">
      <text>
        <r>
          <rPr>
            <sz val="9"/>
            <color indexed="81"/>
            <rFont val="Tahoma"/>
            <family val="2"/>
          </rPr>
          <t xml:space="preserve">PDSS : Protection des documents et supports sensibles
</t>
        </r>
      </text>
    </comment>
    <comment ref="L106" authorId="0" shapeId="0" xr:uid="{3FA6BEFF-2F38-4B31-BED9-84C9DD851939}">
      <text>
        <r>
          <rPr>
            <sz val="9"/>
            <color indexed="81"/>
            <rFont val="Tahoma"/>
            <family val="2"/>
          </rPr>
          <t xml:space="preserve">PRED : Protection contre les risques environnementaux divers
</t>
        </r>
      </text>
    </comment>
    <comment ref="K107" authorId="0" shapeId="0" xr:uid="{D056D38F-06CB-4E05-B1DE-334F161343AF}">
      <text>
        <r>
          <rPr>
            <sz val="9"/>
            <color indexed="81"/>
            <rFont val="Tahoma"/>
            <family val="2"/>
          </rPr>
          <t xml:space="preserve">PDSS : Protection des documents et supports sensibles
</t>
        </r>
      </text>
    </comment>
    <comment ref="J108" authorId="0" shapeId="0" xr:uid="{A67CFDAB-52DC-4987-BC78-E1859422C8EC}">
      <text>
        <r>
          <rPr>
            <sz val="9"/>
            <color indexed="81"/>
            <rFont val="Tahoma"/>
            <family val="2"/>
          </rPr>
          <t xml:space="preserve">SUBU : Surveillance des zones de bureaux sensibles
</t>
        </r>
      </text>
    </comment>
    <comment ref="K108" authorId="0" shapeId="0" xr:uid="{47FDBA26-6239-4906-AF33-0B82ACC5D02A}">
      <text>
        <r>
          <rPr>
            <sz val="9"/>
            <color indexed="81"/>
            <rFont val="Tahoma"/>
            <family val="2"/>
          </rPr>
          <t xml:space="preserve">PDSS : Protection des documents et supports sensibles
SBUR : Sécurisation des zones de bureaux sensibles
</t>
        </r>
      </text>
    </comment>
    <comment ref="J109" authorId="0" shapeId="0" xr:uid="{D6132817-B05C-4CB7-8346-B1199F72D2CA}">
      <text>
        <r>
          <rPr>
            <sz val="9"/>
            <color indexed="81"/>
            <rFont val="Tahoma"/>
            <family val="2"/>
          </rPr>
          <t xml:space="preserve">SUBU : Surveillance des zones de bureaux sensibles
</t>
        </r>
      </text>
    </comment>
    <comment ref="K109" authorId="0" shapeId="0" xr:uid="{B16F4F89-2CC5-4729-A984-1345D0C26299}">
      <text>
        <r>
          <rPr>
            <sz val="9"/>
            <color indexed="81"/>
            <rFont val="Tahoma"/>
            <family val="2"/>
          </rPr>
          <t xml:space="preserve">PDSS : Protection des documents et supports sensibles
SBUR : Sécurisation des zones de bureaux sensibles
PIMP : Protection des impressions sur imprimante partagée
</t>
        </r>
      </text>
    </comment>
    <comment ref="J110" authorId="0" shapeId="0" xr:uid="{AC2CFFD3-770B-4C13-9C20-3A5408182346}">
      <text>
        <r>
          <rPr>
            <sz val="9"/>
            <color indexed="81"/>
            <rFont val="Tahoma"/>
            <family val="2"/>
          </rPr>
          <t xml:space="preserve">SUBU : Surveillance des zones de bureaux sensibles
</t>
        </r>
      </text>
    </comment>
    <comment ref="K110" authorId="0" shapeId="0" xr:uid="{E4AD6F2F-564F-487A-A90F-C0B670853CC6}">
      <text>
        <r>
          <rPr>
            <sz val="9"/>
            <color indexed="81"/>
            <rFont val="Tahoma"/>
            <family val="2"/>
          </rPr>
          <t xml:space="preserve">PDSS : Protection des documents et supports sensibles
SBUR : Sécurisation des zones de bureaux sensibles
</t>
        </r>
      </text>
    </comment>
    <comment ref="J111" authorId="0" shapeId="0" xr:uid="{C3E2834B-1A46-4E6A-B4E4-FD52384F4F33}">
      <text>
        <r>
          <rPr>
            <sz val="9"/>
            <color indexed="81"/>
            <rFont val="Tahoma"/>
            <family val="2"/>
          </rPr>
          <t xml:space="preserve">SUBU : Surveillance des zones de bureaux sensibles
</t>
        </r>
      </text>
    </comment>
    <comment ref="K111" authorId="0" shapeId="0" xr:uid="{19F6C496-859C-4776-9A7F-DC2283FFBC91}">
      <text>
        <r>
          <rPr>
            <sz val="9"/>
            <color indexed="81"/>
            <rFont val="Tahoma"/>
            <family val="2"/>
          </rPr>
          <t xml:space="preserve">PDSS : Protection des documents et supports sensibles
</t>
        </r>
      </text>
    </comment>
    <comment ref="K112" authorId="0" shapeId="0" xr:uid="{6EE631D9-2653-4BF0-9C1F-BF1F0D82E35B}">
      <text>
        <r>
          <rPr>
            <sz val="9"/>
            <color indexed="81"/>
            <rFont val="Tahoma"/>
            <family val="2"/>
          </rPr>
          <t xml:space="preserve">PIMP : Protection des impressions sur imprimante partagée
</t>
        </r>
      </text>
    </comment>
    <comment ref="K113" authorId="0" shapeId="0" xr:uid="{562AE6EA-B3F2-4F79-892B-56DB88D24D8E}">
      <text>
        <r>
          <rPr>
            <sz val="9"/>
            <color indexed="81"/>
            <rFont val="Tahoma"/>
            <family val="2"/>
          </rPr>
          <t xml:space="preserve">PDSS : Protection des documents et supports sensibles
</t>
        </r>
      </text>
    </comment>
    <comment ref="K114" authorId="0" shapeId="0" xr:uid="{5ADFA8D4-2B50-4924-B022-D459D9A0019F}">
      <text>
        <r>
          <rPr>
            <sz val="9"/>
            <color indexed="81"/>
            <rFont val="Tahoma"/>
            <family val="2"/>
          </rPr>
          <t xml:space="preserve">PDSS : Protection des documents et supports sensibles
SBUR : Sécurisation des zones de bureaux sensibles
</t>
        </r>
      </text>
    </comment>
    <comment ref="M116" authorId="0" shapeId="0" xr:uid="{44587B19-41CC-4EBB-9894-60076936C03D}">
      <text>
        <r>
          <rPr>
            <sz val="9"/>
            <color indexed="81"/>
            <rFont val="Tahoma"/>
            <family val="2"/>
          </rPr>
          <t xml:space="preserve">SMEL : Sécurité des mails et des messages électroniques
</t>
        </r>
      </text>
    </comment>
    <comment ref="M117" authorId="0" shapeId="0" xr:uid="{E0487B41-C953-454E-A21F-D5119D426787}">
      <text>
        <r>
          <rPr>
            <sz val="9"/>
            <color indexed="81"/>
            <rFont val="Tahoma"/>
            <family val="2"/>
          </rPr>
          <t xml:space="preserve">SMEL : Sécurité des mails et des messages électroniques
</t>
        </r>
      </text>
    </comment>
    <comment ref="J118" authorId="0" shapeId="0" xr:uid="{B6923167-4C59-45D4-87F6-D311931C54A1}">
      <text>
        <r>
          <rPr>
            <sz val="9"/>
            <color indexed="81"/>
            <rFont val="Tahoma"/>
            <family val="2"/>
          </rPr>
          <t xml:space="preserve">SULO : Surveillance des locaux sensibles
</t>
        </r>
      </text>
    </comment>
    <comment ref="K118" authorId="0" shapeId="0" xr:uid="{FEA7B854-ADB2-4FF4-9DA2-4CBED7AF2D6F}">
      <text>
        <r>
          <rPr>
            <sz val="9"/>
            <color indexed="81"/>
            <rFont val="Tahoma"/>
            <family val="2"/>
          </rPr>
          <t xml:space="preserve">CALO : Contrôle d'accès aux locaux sensibles
SCPO : Sécurité du courrier postal
</t>
        </r>
      </text>
    </comment>
    <comment ref="M118" authorId="0" shapeId="0" xr:uid="{D680F029-4196-4686-BDD3-8F451FA99B62}">
      <text>
        <r>
          <rPr>
            <sz val="9"/>
            <color indexed="81"/>
            <rFont val="Tahoma"/>
            <family val="2"/>
          </rPr>
          <t xml:space="preserve">SCPO : Sécurité du courrier postal
</t>
        </r>
      </text>
    </comment>
    <comment ref="K119" authorId="0" shapeId="0" xr:uid="{2884EB5D-DD91-4E68-815D-21C1A9777010}">
      <text>
        <r>
          <rPr>
            <sz val="9"/>
            <color indexed="81"/>
            <rFont val="Tahoma"/>
            <family val="2"/>
          </rPr>
          <t xml:space="preserve">CALO : Contrôle d'accès aux locaux sensibles
</t>
        </r>
      </text>
    </comment>
    <comment ref="M119" authorId="0" shapeId="0" xr:uid="{2A764125-4D9D-450B-A69B-6890928C4BB1}">
      <text>
        <r>
          <rPr>
            <sz val="9"/>
            <color indexed="81"/>
            <rFont val="Tahoma"/>
            <family val="2"/>
          </rPr>
          <t xml:space="preserve">SCPO : Sécurité du courrier postal
</t>
        </r>
      </text>
    </comment>
    <comment ref="J120" authorId="0" shapeId="0" xr:uid="{387A6347-06FD-4329-94F5-D757886AAC09}">
      <text>
        <r>
          <rPr>
            <sz val="9"/>
            <color indexed="81"/>
            <rFont val="Tahoma"/>
            <family val="2"/>
          </rPr>
          <t xml:space="preserve">SULO : Surveillance des locaux sensibles
</t>
        </r>
      </text>
    </comment>
    <comment ref="K120" authorId="0" shapeId="0" xr:uid="{C5BF8C5B-A882-4EB8-B90B-02411E0A2CE6}">
      <text>
        <r>
          <rPr>
            <sz val="9"/>
            <color indexed="81"/>
            <rFont val="Tahoma"/>
            <family val="2"/>
          </rPr>
          <t xml:space="preserve">SCPO : Sécurité du courrier postal
</t>
        </r>
      </text>
    </comment>
    <comment ref="M120" authorId="0" shapeId="0" xr:uid="{D5CD63C9-7C82-4F0E-8DC2-3478EA2035C4}">
      <text>
        <r>
          <rPr>
            <sz val="9"/>
            <color indexed="81"/>
            <rFont val="Tahoma"/>
            <family val="2"/>
          </rPr>
          <t xml:space="preserve">SCPO : Sécurité du courrier postal
</t>
        </r>
      </text>
    </comment>
    <comment ref="K121" authorId="0" shapeId="0" xr:uid="{849EFC58-2461-49A5-81A2-6BBD9E0B8FDE}">
      <text>
        <r>
          <rPr>
            <sz val="9"/>
            <color indexed="81"/>
            <rFont val="Tahoma"/>
            <family val="2"/>
          </rPr>
          <t xml:space="preserve">SCPO : Sécurité du courrier postal
</t>
        </r>
      </text>
    </comment>
    <comment ref="K122" authorId="0" shapeId="0" xr:uid="{EDC562B8-9C12-464E-ABE4-686199390883}">
      <text>
        <r>
          <rPr>
            <sz val="9"/>
            <color indexed="81"/>
            <rFont val="Tahoma"/>
            <family val="2"/>
          </rPr>
          <t xml:space="preserve">SMEL : Sécurité des mails et des messages électroniques
</t>
        </r>
      </text>
    </comment>
    <comment ref="K123" authorId="0" shapeId="0" xr:uid="{3A033D8C-FADF-414A-B064-D79CE498D7D8}">
      <text>
        <r>
          <rPr>
            <sz val="9"/>
            <color indexed="81"/>
            <rFont val="Tahoma"/>
            <family val="2"/>
          </rPr>
          <t xml:space="preserve">SMEL : Sécurité des mails et des messages électroniques
</t>
        </r>
      </text>
    </comment>
    <comment ref="K124" authorId="0" shapeId="0" xr:uid="{97532391-A71A-458A-9117-DFB671541478}">
      <text>
        <r>
          <rPr>
            <sz val="9"/>
            <color indexed="81"/>
            <rFont val="Tahoma"/>
            <family val="2"/>
          </rPr>
          <t xml:space="preserve">PMAL : Protection contre les logiciels malveillants et actions malveillantes menées par voie électronique (hameçonnage), ou non (faux courrier)
</t>
        </r>
      </text>
    </comment>
    <comment ref="K125" authorId="0" shapeId="0" xr:uid="{2DF7B7D7-6965-4F04-B9A2-FDCAF6E986A1}">
      <text>
        <r>
          <rPr>
            <sz val="9"/>
            <color indexed="81"/>
            <rFont val="Tahoma"/>
            <family val="2"/>
          </rPr>
          <t xml:space="preserve">SMEL : Sécurité des mails et des messages électroniques
</t>
        </r>
      </text>
    </comment>
    <comment ref="K126" authorId="0" shapeId="0" xr:uid="{B5BC20C3-1878-4A2B-A71C-445470E58E57}">
      <text>
        <r>
          <rPr>
            <sz val="9"/>
            <color indexed="81"/>
            <rFont val="Tahoma"/>
            <family val="2"/>
          </rPr>
          <t xml:space="preserve">SMEL : Sécurité des mails et des messages électroniques
</t>
        </r>
      </text>
    </comment>
    <comment ref="K127" authorId="0" shapeId="0" xr:uid="{11ED4CBE-2F26-4BF4-A742-7B32AE549DE2}">
      <text>
        <r>
          <rPr>
            <sz val="9"/>
            <color indexed="81"/>
            <rFont val="Tahoma"/>
            <family val="2"/>
          </rPr>
          <t xml:space="preserve">SCPO : Sécurité du courrier postal
</t>
        </r>
      </text>
    </comment>
    <comment ref="J129" authorId="0" shapeId="0" xr:uid="{640CB8EE-8D6A-4406-94FF-A736A34E3FC8}">
      <text>
        <r>
          <rPr>
            <sz val="9"/>
            <color indexed="81"/>
            <rFont val="Tahoma"/>
            <family val="2"/>
          </rPr>
          <t xml:space="preserve">SUAI : Surveillance de l'activité interne
</t>
        </r>
      </text>
    </comment>
    <comment ref="K129" authorId="0" shapeId="0" xr:uid="{65C2E48B-47A2-4707-A6E3-39D152BBAFB4}">
      <text>
        <r>
          <rPr>
            <sz val="9"/>
            <color indexed="81"/>
            <rFont val="Tahoma"/>
            <family val="2"/>
          </rPr>
          <t xml:space="preserve">SARC : Sécurité des archives 
</t>
        </r>
      </text>
    </comment>
    <comment ref="K130" authorId="0" shapeId="0" xr:uid="{364DE1AB-EE47-4583-A38B-80BECA1D4928}">
      <text>
        <r>
          <rPr>
            <sz val="9"/>
            <color indexed="81"/>
            <rFont val="Tahoma"/>
            <family val="2"/>
          </rPr>
          <t xml:space="preserve">SARC : Sécurité des archives 
</t>
        </r>
      </text>
    </comment>
    <comment ref="K131" authorId="0" shapeId="0" xr:uid="{A68628EA-E79F-4A8B-9AA0-F488E8B12DE9}">
      <text>
        <r>
          <rPr>
            <sz val="9"/>
            <color indexed="81"/>
            <rFont val="Tahoma"/>
            <family val="2"/>
          </rPr>
          <t xml:space="preserve">SARC : Sécurité des archives 
</t>
        </r>
      </text>
    </comment>
    <comment ref="K132" authorId="0" shapeId="0" xr:uid="{AC80D5F2-87EA-4D32-9124-6DE6BAF8A59A}">
      <text>
        <r>
          <rPr>
            <sz val="9"/>
            <color indexed="81"/>
            <rFont val="Tahoma"/>
            <family val="2"/>
          </rPr>
          <t xml:space="preserve">SARC : Sécurité des archives 
</t>
        </r>
      </text>
    </comment>
    <comment ref="K133" authorId="0" shapeId="0" xr:uid="{56D3B57E-ECF9-4CDF-89F7-57D38F5B6ABF}">
      <text>
        <r>
          <rPr>
            <sz val="9"/>
            <color indexed="81"/>
            <rFont val="Tahoma"/>
            <family val="2"/>
          </rPr>
          <t xml:space="preserve">SARC : Sécurité des archives 
</t>
        </r>
      </text>
    </comment>
    <comment ref="K134" authorId="0" shapeId="0" xr:uid="{9C4B5A1D-9A8A-4A16-9984-0DBECD214A0D}">
      <text>
        <r>
          <rPr>
            <sz val="9"/>
            <color indexed="81"/>
            <rFont val="Tahoma"/>
            <family val="2"/>
          </rPr>
          <t xml:space="preserve">SARC : Sécurité des archives 
</t>
        </r>
      </text>
    </comment>
    <comment ref="L134" authorId="0" shapeId="0" xr:uid="{143AE194-6136-4DE4-A8E9-7A67DE59D0D2}">
      <text>
        <r>
          <rPr>
            <sz val="9"/>
            <color indexed="81"/>
            <rFont val="Tahoma"/>
            <family val="2"/>
          </rPr>
          <t xml:space="preserve">PRED : Protection contre les risques environnementaux divers
</t>
        </r>
      </text>
    </comment>
    <comment ref="K135" authorId="0" shapeId="0" xr:uid="{AE2D560B-89F0-4B20-A918-D10640E208C9}">
      <text>
        <r>
          <rPr>
            <sz val="9"/>
            <color indexed="81"/>
            <rFont val="Tahoma"/>
            <family val="2"/>
          </rPr>
          <t xml:space="preserve">SARC : Sécurité des archives 
</t>
        </r>
      </text>
    </comment>
    <comment ref="K136" authorId="0" shapeId="0" xr:uid="{0A3C6F86-DCC9-426B-86B9-13C8CBC4B89F}">
      <text>
        <r>
          <rPr>
            <sz val="9"/>
            <color indexed="81"/>
            <rFont val="Tahoma"/>
            <family val="2"/>
          </rPr>
          <t xml:space="preserve">SARC : Sécurité des archives 
</t>
        </r>
      </text>
    </comment>
    <comment ref="J137" authorId="0" shapeId="0" xr:uid="{FCF1841F-30E0-4C0D-B3C2-7FCF27CE5764}">
      <text>
        <r>
          <rPr>
            <sz val="9"/>
            <color indexed="81"/>
            <rFont val="Tahoma"/>
            <family val="2"/>
          </rPr>
          <t xml:space="preserve">SUAI : Surveillance de l'activité interne
</t>
        </r>
      </text>
    </comment>
    <comment ref="K137" authorId="0" shapeId="0" xr:uid="{53ABF8C6-5E13-4F5D-B061-149FE053CC58}">
      <text>
        <r>
          <rPr>
            <sz val="9"/>
            <color indexed="81"/>
            <rFont val="Tahoma"/>
            <family val="2"/>
          </rPr>
          <t xml:space="preserve">CHDA : Chiffrement des données applicatives stockées
SARC : Sécurité des archives 
</t>
        </r>
      </text>
    </comment>
    <comment ref="K138" authorId="0" shapeId="0" xr:uid="{B7688896-8C02-48F9-9488-FE4D967F841A}">
      <text>
        <r>
          <rPr>
            <sz val="9"/>
            <color indexed="81"/>
            <rFont val="Tahoma"/>
            <family val="2"/>
          </rPr>
          <t xml:space="preserve">CHDA : Chiffrement des données applicatives stockées
SARC : Sécurité des archives 
</t>
        </r>
      </text>
    </comment>
    <comment ref="J139" authorId="0" shapeId="0" xr:uid="{B08AE290-41BA-43E3-BC19-DDCC5EEFAE3B}">
      <text>
        <r>
          <rPr>
            <sz val="9"/>
            <color indexed="81"/>
            <rFont val="Tahoma"/>
            <family val="2"/>
          </rPr>
          <t xml:space="preserve">SUAI : Surveillance de l'activité interne
</t>
        </r>
      </text>
    </comment>
    <comment ref="K139" authorId="0" shapeId="0" xr:uid="{3C330B6F-06F3-4081-9CDF-CB2B160F447C}">
      <text>
        <r>
          <rPr>
            <sz val="9"/>
            <color indexed="81"/>
            <rFont val="Tahoma"/>
            <family val="2"/>
          </rPr>
          <t xml:space="preserve">CHDA : Chiffrement des données applicatives stockées
</t>
        </r>
      </text>
    </comment>
    <comment ref="K140" authorId="0" shapeId="0" xr:uid="{873C8F9F-7BAB-4585-B7F5-A2FAF5387BCF}">
      <text>
        <r>
          <rPr>
            <sz val="9"/>
            <color indexed="81"/>
            <rFont val="Tahoma"/>
            <family val="2"/>
          </rPr>
          <t xml:space="preserve">CHDA : Chiffrement des données applicatives stockées
SARC : Sécurité des archives 
</t>
        </r>
      </text>
    </comment>
    <comment ref="L142" authorId="0" shapeId="0" xr:uid="{47003E5E-3B36-4ACE-A4EF-276DE46D39DA}">
      <text>
        <r>
          <rPr>
            <sz val="9"/>
            <color indexed="81"/>
            <rFont val="Tahoma"/>
            <family val="2"/>
          </rPr>
          <t xml:space="preserve">SIPU : Surveillance des informations publiées sur un site web ou interne
</t>
        </r>
      </text>
    </comment>
    <comment ref="M142" authorId="0" shapeId="0" xr:uid="{F4B6457B-19B6-4CFE-A913-010BB82B782D}">
      <text>
        <r>
          <rPr>
            <sz val="9"/>
            <color indexed="81"/>
            <rFont val="Tahoma"/>
            <family val="2"/>
          </rPr>
          <t xml:space="preserve">SADC : Sauvegardes des données et configurations (non externalisées)
</t>
        </r>
      </text>
    </comment>
    <comment ref="J143" authorId="0" shapeId="0" xr:uid="{64B3FEE2-1160-4F5A-9EFE-E87076109FB8}">
      <text>
        <r>
          <rPr>
            <sz val="9"/>
            <color indexed="81"/>
            <rFont val="Tahoma"/>
            <family val="2"/>
          </rPr>
          <t xml:space="preserve">SUAI : Surveillance de l'activité interne
</t>
        </r>
      </text>
    </comment>
    <comment ref="K143" authorId="0" shapeId="0" xr:uid="{F5FDED44-7FBD-4636-9600-2D5D08821F9B}">
      <text>
        <r>
          <rPr>
            <sz val="9"/>
            <color indexed="81"/>
            <rFont val="Tahoma"/>
            <family val="2"/>
          </rPr>
          <t xml:space="preserve">CASA : Contrôle d'accès aux systèmes et applications
SIPU : Surveillance des informations publiées sur un site web ou interne
</t>
        </r>
      </text>
    </comment>
    <comment ref="L143" authorId="0" shapeId="0" xr:uid="{52A8A807-F65A-48DA-99FD-D4BE17F48FD2}">
      <text>
        <r>
          <rPr>
            <sz val="9"/>
            <color indexed="81"/>
            <rFont val="Tahoma"/>
            <family val="2"/>
          </rPr>
          <t xml:space="preserve">SIPU : Surveillance des informations publiées sur un site web ou interne
</t>
        </r>
      </text>
    </comment>
    <comment ref="J144" authorId="0" shapeId="0" xr:uid="{72D38260-9EF3-4B2C-B021-C95738DA39D8}">
      <text>
        <r>
          <rPr>
            <sz val="9"/>
            <color indexed="81"/>
            <rFont val="Tahoma"/>
            <family val="2"/>
          </rPr>
          <t xml:space="preserve">SUAI : Surveillance de l'activité interne
</t>
        </r>
      </text>
    </comment>
    <comment ref="K144" authorId="0" shapeId="0" xr:uid="{17062A0A-035B-45F6-BAC4-7346BE4C8ACC}">
      <text>
        <r>
          <rPr>
            <sz val="9"/>
            <color indexed="81"/>
            <rFont val="Tahoma"/>
            <family val="2"/>
          </rPr>
          <t xml:space="preserve">SIPU : Surveillance des informations publiées sur un site web ou interne
</t>
        </r>
      </text>
    </comment>
    <comment ref="L144" authorId="0" shapeId="0" xr:uid="{25D0C2D1-17C7-45B2-9C73-B6F3F6B522E6}">
      <text>
        <r>
          <rPr>
            <sz val="9"/>
            <color indexed="81"/>
            <rFont val="Tahoma"/>
            <family val="2"/>
          </rPr>
          <t xml:space="preserve">SIPU : Surveillance des informations publiées sur un site web ou interne
</t>
        </r>
      </text>
    </comment>
    <comment ref="K145" authorId="0" shapeId="0" xr:uid="{33022C67-882C-429E-A326-FF38FEED37B7}">
      <text>
        <r>
          <rPr>
            <sz val="9"/>
            <color indexed="81"/>
            <rFont val="Tahoma"/>
            <family val="2"/>
          </rPr>
          <t xml:space="preserve">CASA : Contrôle d'accès aux systèmes et applications
SIPU : Surveillance des informations publiées sur un site web ou interne
</t>
        </r>
      </text>
    </comment>
    <comment ref="L145" authorId="0" shapeId="0" xr:uid="{499B387D-C702-4D78-A8C0-896F82451CA4}">
      <text>
        <r>
          <rPr>
            <sz val="9"/>
            <color indexed="81"/>
            <rFont val="Tahoma"/>
            <family val="2"/>
          </rPr>
          <t xml:space="preserve">SIPU : Surveillance des informations publiées sur un site web ou interne
</t>
        </r>
      </text>
    </comment>
    <comment ref="M147" authorId="0" shapeId="0" xr:uid="{33B04A62-891D-431D-A662-56078C403439}">
      <text>
        <r>
          <rPr>
            <sz val="9"/>
            <color indexed="81"/>
            <rFont val="Tahoma"/>
            <family val="2"/>
          </rPr>
          <t xml:space="preserve">DDSE : Disponibilité des données et services externalisées
</t>
        </r>
      </text>
    </comment>
    <comment ref="K148" authorId="0" shapeId="0" xr:uid="{CA6031C9-94EC-40B6-9F3C-F05005289B37}">
      <text>
        <r>
          <rPr>
            <sz val="9"/>
            <color indexed="81"/>
            <rFont val="Tahoma"/>
            <family val="2"/>
          </rPr>
          <t xml:space="preserve">CASE : Contrôle d'accès aux systèmes et services externalisés
</t>
        </r>
      </text>
    </comment>
    <comment ref="M148" authorId="0" shapeId="0" xr:uid="{54981FB5-338D-43CF-B0E7-30CC4A2776E0}">
      <text>
        <r>
          <rPr>
            <sz val="9"/>
            <color indexed="81"/>
            <rFont val="Tahoma"/>
            <family val="2"/>
          </rPr>
          <t xml:space="preserve">DDSE : Disponibilité des données et services externalisées
</t>
        </r>
      </text>
    </comment>
    <comment ref="M149" authorId="0" shapeId="0" xr:uid="{9D9DA068-F20A-4158-96A2-3C7F3E432472}">
      <text>
        <r>
          <rPr>
            <sz val="9"/>
            <color indexed="81"/>
            <rFont val="Tahoma"/>
            <family val="2"/>
          </rPr>
          <t xml:space="preserve">DDSE : Disponibilité des données et services externalisées
</t>
        </r>
      </text>
    </comment>
    <comment ref="K150" authorId="0" shapeId="0" xr:uid="{C3BE2E8D-41C5-4087-AFE0-CF2B174EE75B}">
      <text>
        <r>
          <rPr>
            <sz val="9"/>
            <color indexed="81"/>
            <rFont val="Tahoma"/>
            <family val="2"/>
          </rPr>
          <t xml:space="preserve">CASE : Contrôle d'accès aux systèmes et services externalisés
</t>
        </r>
      </text>
    </comment>
    <comment ref="M150" authorId="0" shapeId="0" xr:uid="{04390181-7339-4BC9-84DE-01E55F338E70}">
      <text>
        <r>
          <rPr>
            <sz val="9"/>
            <color indexed="81"/>
            <rFont val="Tahoma"/>
            <family val="2"/>
          </rPr>
          <t xml:space="preserve">DDSE : Disponibilité des données et services externalisées
</t>
        </r>
      </text>
    </comment>
    <comment ref="K151" authorId="0" shapeId="0" xr:uid="{D6DAE040-B001-4AAD-9CA1-1DB6C5D5CFC9}">
      <text>
        <r>
          <rPr>
            <sz val="9"/>
            <color indexed="81"/>
            <rFont val="Tahoma"/>
            <family val="2"/>
          </rPr>
          <t xml:space="preserve">CERD : Contrôle de l'émission et de la réception de données et de messages
</t>
        </r>
      </text>
    </comment>
    <comment ref="K152" authorId="0" shapeId="0" xr:uid="{41D0CABF-822B-4A86-AF91-E5004F8FFD32}">
      <text>
        <r>
          <rPr>
            <sz val="9"/>
            <color indexed="81"/>
            <rFont val="Tahoma"/>
            <family val="2"/>
          </rPr>
          <t xml:space="preserve">CASE : Contrôle d'accès aux systèmes et services externalisés
PIDE : Protection de l'intégrité des fichiers de données externalisées
</t>
        </r>
      </text>
    </comment>
    <comment ref="K153" authorId="0" shapeId="0" xr:uid="{724397EF-3C58-4657-A667-62F322C6857B}">
      <text>
        <r>
          <rPr>
            <sz val="9"/>
            <color indexed="81"/>
            <rFont val="Tahoma"/>
            <family val="2"/>
          </rPr>
          <t xml:space="preserve">PIEE : Protection des données externalisées échangées
</t>
        </r>
      </text>
    </comment>
    <comment ref="K154" authorId="0" shapeId="0" xr:uid="{D9680E30-B260-454C-A333-3190720C3504}">
      <text>
        <r>
          <rPr>
            <sz val="9"/>
            <color indexed="81"/>
            <rFont val="Tahoma"/>
            <family val="2"/>
          </rPr>
          <t xml:space="preserve">PIEE : Protection des données externalisées échangées
</t>
        </r>
      </text>
    </comment>
    <comment ref="K155" authorId="0" shapeId="0" xr:uid="{AC330439-17B5-467D-A9C2-0912E320976C}">
      <text>
        <r>
          <rPr>
            <sz val="9"/>
            <color indexed="81"/>
            <rFont val="Tahoma"/>
            <family val="2"/>
          </rPr>
          <t xml:space="preserve">CASE : Contrôle d'accès aux systèmes et services externalisés
PCDE : Protection de la confidentialité des fichiers de données externalisées
</t>
        </r>
      </text>
    </comment>
    <comment ref="K156" authorId="0" shapeId="0" xr:uid="{C12A04C1-7615-476D-B93A-0D0EBE945EE4}">
      <text>
        <r>
          <rPr>
            <sz val="9"/>
            <color indexed="81"/>
            <rFont val="Tahoma"/>
            <family val="2"/>
          </rPr>
          <t xml:space="preserve">PIEE : Protection des données externalisées échangées
</t>
        </r>
      </text>
    </comment>
    <comment ref="K157" authorId="0" shapeId="0" xr:uid="{098523A5-5C67-4809-BC96-9334CE0D34A7}">
      <text>
        <r>
          <rPr>
            <sz val="9"/>
            <color indexed="81"/>
            <rFont val="Tahoma"/>
            <family val="2"/>
          </rPr>
          <t xml:space="preserve">PCCV : Protection contre la captation visuelle des écrans
</t>
        </r>
      </text>
    </comment>
    <comment ref="J159" authorId="0" shapeId="0" xr:uid="{4A467274-3C97-4013-B246-EEB53809F8CA}">
      <text>
        <r>
          <rPr>
            <sz val="9"/>
            <color indexed="81"/>
            <rFont val="Tahoma"/>
            <family val="2"/>
          </rPr>
          <t xml:space="preserve">SUAI : Surveillance de l'activité interne
</t>
        </r>
      </text>
    </comment>
    <comment ref="K159" authorId="0" shapeId="0" xr:uid="{F4FBB9F3-61A5-4955-84E5-66D3BA22CD12}">
      <text>
        <r>
          <rPr>
            <sz val="9"/>
            <color indexed="81"/>
            <rFont val="Tahoma"/>
            <family val="2"/>
          </rPr>
          <t xml:space="preserve">CASA : Contrôle d'accès aux systèmes et applications
</t>
        </r>
      </text>
    </comment>
    <comment ref="M159" authorId="0" shapeId="0" xr:uid="{41BE2278-2966-44F3-9B9D-96820F4B5A60}">
      <text>
        <r>
          <rPr>
            <sz val="9"/>
            <color indexed="81"/>
            <rFont val="Tahoma"/>
            <family val="2"/>
          </rPr>
          <t xml:space="preserve">SADC : Sauvegardes des données et configurations (non externalisées)
</t>
        </r>
      </text>
    </comment>
    <comment ref="J160" authorId="0" shapeId="0" xr:uid="{9CC6A027-393E-420F-BB2A-352E261AAE02}">
      <text>
        <r>
          <rPr>
            <sz val="9"/>
            <color indexed="81"/>
            <rFont val="Tahoma"/>
            <family val="2"/>
          </rPr>
          <t xml:space="preserve">SUAI : Surveillance de l'activité interne
</t>
        </r>
      </text>
    </comment>
    <comment ref="K160" authorId="0" shapeId="0" xr:uid="{1B359498-9E4E-419C-AE45-9F24E6CE539F}">
      <text>
        <r>
          <rPr>
            <sz val="9"/>
            <color indexed="81"/>
            <rFont val="Tahoma"/>
            <family val="2"/>
          </rPr>
          <t xml:space="preserve">CASA : Contrôle d'accès aux systèmes et applications
</t>
        </r>
      </text>
    </comment>
    <comment ref="M160" authorId="0" shapeId="0" xr:uid="{15D29B93-63A1-4161-A3FB-551327AE3729}">
      <text>
        <r>
          <rPr>
            <sz val="9"/>
            <color indexed="81"/>
            <rFont val="Tahoma"/>
            <family val="2"/>
          </rPr>
          <t xml:space="preserve">SADC : Sauvegardes des données et configurations (non externalisées)
</t>
        </r>
      </text>
    </comment>
    <comment ref="J161" authorId="0" shapeId="0" xr:uid="{9D7E0C31-EFE9-43A5-B0FE-7052116E8F71}">
      <text>
        <r>
          <rPr>
            <sz val="9"/>
            <color indexed="81"/>
            <rFont val="Tahoma"/>
            <family val="2"/>
          </rPr>
          <t xml:space="preserve">SUAI : Surveillance de l'activité interne
</t>
        </r>
      </text>
    </comment>
    <comment ref="M161" authorId="0" shapeId="0" xr:uid="{0426E757-BA8C-4A16-8C0B-5085370A126C}">
      <text>
        <r>
          <rPr>
            <sz val="9"/>
            <color indexed="81"/>
            <rFont val="Tahoma"/>
            <family val="2"/>
          </rPr>
          <t xml:space="preserve">SADC : Sauvegardes des données et configurations (non externalisées)
</t>
        </r>
      </text>
    </comment>
    <comment ref="K162" authorId="0" shapeId="0" xr:uid="{E5E4B3BB-A0A1-4D0D-A667-CED62B6A2409}">
      <text>
        <r>
          <rPr>
            <sz val="9"/>
            <color indexed="81"/>
            <rFont val="Tahoma"/>
            <family val="2"/>
          </rPr>
          <t xml:space="preserve">GMAF : Gestion des moyens d'accès aux fichiers de données ou de programme
</t>
        </r>
      </text>
    </comment>
    <comment ref="M163" authorId="0" shapeId="0" xr:uid="{477A93A9-9635-4E4A-A70D-122291A5B956}">
      <text>
        <r>
          <rPr>
            <sz val="9"/>
            <color indexed="81"/>
            <rFont val="Tahoma"/>
            <family val="2"/>
          </rPr>
          <t xml:space="preserve">GPES : Gestion du personnel stratégique
</t>
        </r>
      </text>
    </comment>
    <comment ref="K164" authorId="0" shapeId="0" xr:uid="{69C4BD3D-A0A3-468E-8349-7B998F876651}">
      <text>
        <r>
          <rPr>
            <sz val="9"/>
            <color indexed="81"/>
            <rFont val="Tahoma"/>
            <family val="2"/>
          </rPr>
          <t xml:space="preserve">COPR : Contrôle des programmes
</t>
        </r>
      </text>
    </comment>
    <comment ref="M165" authorId="0" shapeId="0" xr:uid="{E6A08E4B-2BA6-4315-9519-6B3815193CA4}">
      <text>
        <r>
          <rPr>
            <sz val="9"/>
            <color indexed="81"/>
            <rFont val="Tahoma"/>
            <family val="2"/>
          </rPr>
          <t xml:space="preserve">MASA : Organisation de la maintenance des systèmes et applications
</t>
        </r>
      </text>
    </comment>
    <comment ref="L166" authorId="0" shapeId="0" xr:uid="{951E9B79-B58A-4170-BF9D-81E4F49E2A59}">
      <text>
        <r>
          <rPr>
            <sz val="9"/>
            <color indexed="81"/>
            <rFont val="Tahoma"/>
            <family val="2"/>
          </rPr>
          <t xml:space="preserve">SUEE : Surveillance des événements externes
</t>
        </r>
      </text>
    </comment>
    <comment ref="M166" authorId="0" shapeId="0" xr:uid="{90294FBB-F29E-49D2-B48F-92255F797DE4}">
      <text>
        <r>
          <rPr>
            <sz val="9"/>
            <color indexed="81"/>
            <rFont val="Tahoma"/>
            <family val="2"/>
          </rPr>
          <t xml:space="preserve">SUEE : Surveillance des événements externes
</t>
        </r>
      </text>
    </comment>
    <comment ref="L167" authorId="0" shapeId="0" xr:uid="{F17F4461-FC80-47FE-9B7B-3DA8F49C1E4F}">
      <text>
        <r>
          <rPr>
            <sz val="9"/>
            <color indexed="81"/>
            <rFont val="Tahoma"/>
            <family val="2"/>
          </rPr>
          <t xml:space="preserve">COPE : Contrôle permanent sur les données et traitements
</t>
        </r>
      </text>
    </comment>
    <comment ref="M167" authorId="0" shapeId="0" xr:uid="{5D564425-90D3-4AF2-9A50-BABA311DA062}">
      <text>
        <r>
          <rPr>
            <sz val="9"/>
            <color indexed="81"/>
            <rFont val="Tahoma"/>
            <family val="2"/>
          </rPr>
          <t xml:space="preserve">SADC : Sauvegardes des données et configurations (non externalisées)
</t>
        </r>
      </text>
    </comment>
    <comment ref="M168" authorId="0" shapeId="0" xr:uid="{6296F93A-DEE5-402B-89AA-8D72433308BD}">
      <text>
        <r>
          <rPr>
            <sz val="9"/>
            <color indexed="81"/>
            <rFont val="Tahoma"/>
            <family val="2"/>
          </rPr>
          <t xml:space="preserve">MASA : Organisation de la maintenance des systèmes et applications
</t>
        </r>
      </text>
    </comment>
    <comment ref="K169" authorId="0" shapeId="0" xr:uid="{BB906346-99DF-47AD-A6EA-78A9C4960310}">
      <text>
        <r>
          <rPr>
            <sz val="9"/>
            <color indexed="81"/>
            <rFont val="Tahoma"/>
            <family val="2"/>
          </rPr>
          <t xml:space="preserve">GMAF : Gestion des moyens d'accès aux fichiers de données ou de programme
</t>
        </r>
      </text>
    </comment>
    <comment ref="M169" authorId="0" shapeId="0" xr:uid="{3A492ED9-5FAD-4D86-BA97-397AEB4019F9}">
      <text>
        <r>
          <rPr>
            <sz val="9"/>
            <color indexed="81"/>
            <rFont val="Tahoma"/>
            <family val="2"/>
          </rPr>
          <t xml:space="preserve">COPR : Contrôle des programmes
</t>
        </r>
      </text>
    </comment>
    <comment ref="M170" authorId="0" shapeId="0" xr:uid="{091FD2D2-CDC4-4A95-9847-96208830BA61}">
      <text>
        <r>
          <rPr>
            <sz val="9"/>
            <color indexed="81"/>
            <rFont val="Tahoma"/>
            <family val="2"/>
          </rPr>
          <t xml:space="preserve">COPR : Contrôle des programmes
</t>
        </r>
      </text>
    </comment>
    <comment ref="J171" authorId="0" shapeId="0" xr:uid="{ECA6016E-9071-4C41-8EFA-B007A1D7AD9E}">
      <text>
        <r>
          <rPr>
            <sz val="9"/>
            <color indexed="81"/>
            <rFont val="Tahoma"/>
            <family val="2"/>
          </rPr>
          <t xml:space="preserve">SULO : Surveillance des locaux sensibles
</t>
        </r>
      </text>
    </comment>
    <comment ref="K171" authorId="0" shapeId="0" xr:uid="{663C8333-6900-4A7D-8D35-B7E23B713C99}">
      <text>
        <r>
          <rPr>
            <sz val="9"/>
            <color indexed="81"/>
            <rFont val="Tahoma"/>
            <family val="2"/>
          </rPr>
          <t xml:space="preserve">CALO : Contrôle d'accès aux locaux sensibles
</t>
        </r>
      </text>
    </comment>
    <comment ref="M171" authorId="0" shapeId="0" xr:uid="{CE7EE64B-A610-4538-96C1-261BD39173BE}">
      <text>
        <r>
          <rPr>
            <sz val="9"/>
            <color indexed="81"/>
            <rFont val="Tahoma"/>
            <family val="2"/>
          </rPr>
          <t xml:space="preserve">COPR : Contrôle des programmes
</t>
        </r>
      </text>
    </comment>
    <comment ref="J172" authorId="0" shapeId="0" xr:uid="{1300E598-D541-48C3-A080-B0A95615C94D}">
      <text>
        <r>
          <rPr>
            <sz val="9"/>
            <color indexed="81"/>
            <rFont val="Tahoma"/>
            <family val="2"/>
          </rPr>
          <t xml:space="preserve">SULO : Surveillance des locaux sensibles
</t>
        </r>
      </text>
    </comment>
    <comment ref="K172" authorId="0" shapeId="0" xr:uid="{E3994507-3276-4092-966A-1862F5A044EB}">
      <text>
        <r>
          <rPr>
            <sz val="9"/>
            <color indexed="81"/>
            <rFont val="Tahoma"/>
            <family val="2"/>
          </rPr>
          <t xml:space="preserve">CALO : Contrôle d'accès aux locaux sensibles
</t>
        </r>
      </text>
    </comment>
    <comment ref="M172" authorId="0" shapeId="0" xr:uid="{FB437B09-4F5B-4EDE-9A9B-BD7D0FCA6252}">
      <text>
        <r>
          <rPr>
            <sz val="9"/>
            <color indexed="81"/>
            <rFont val="Tahoma"/>
            <family val="2"/>
          </rPr>
          <t xml:space="preserve">COPR : Contrôle des programmes
</t>
        </r>
      </text>
    </comment>
    <comment ref="J173" authorId="0" shapeId="0" xr:uid="{DF9470CB-12C6-4BF3-A374-702076A527EB}">
      <text>
        <r>
          <rPr>
            <sz val="9"/>
            <color indexed="81"/>
            <rFont val="Tahoma"/>
            <family val="2"/>
          </rPr>
          <t xml:space="preserve">SULO : Surveillance des locaux sensibles
</t>
        </r>
      </text>
    </comment>
    <comment ref="M173" authorId="0" shapeId="0" xr:uid="{52E553DC-109D-4AA6-9FF9-8E992D31FACA}">
      <text>
        <r>
          <rPr>
            <sz val="9"/>
            <color indexed="81"/>
            <rFont val="Tahoma"/>
            <family val="2"/>
          </rPr>
          <t xml:space="preserve">COPR : Contrôle des programmes
</t>
        </r>
      </text>
    </comment>
    <comment ref="K174" authorId="0" shapeId="0" xr:uid="{6F79B245-6C9F-4C63-AD2B-B0B0D2B08DB7}">
      <text>
        <r>
          <rPr>
            <sz val="9"/>
            <color indexed="81"/>
            <rFont val="Tahoma"/>
            <family val="2"/>
          </rPr>
          <t xml:space="preserve">SMED : Sécurité physique des médias
</t>
        </r>
      </text>
    </comment>
    <comment ref="M174" authorId="0" shapeId="0" xr:uid="{E37C3D0D-F212-4A0E-8BE4-497C1BDBAAA4}">
      <text>
        <r>
          <rPr>
            <sz val="9"/>
            <color indexed="81"/>
            <rFont val="Tahoma"/>
            <family val="2"/>
          </rPr>
          <t xml:space="preserve">COPR : Contrôle des programmes
</t>
        </r>
      </text>
    </comment>
    <comment ref="K175" authorId="0" shapeId="0" xr:uid="{01A99FC4-29B4-48B9-80F0-6B3892A54D35}">
      <text>
        <r>
          <rPr>
            <sz val="9"/>
            <color indexed="81"/>
            <rFont val="Tahoma"/>
            <family val="2"/>
          </rPr>
          <t xml:space="preserve">SMED : Sécurité physique des médias
</t>
        </r>
      </text>
    </comment>
    <comment ref="L175" authorId="0" shapeId="0" xr:uid="{63E89EAD-8F6A-48F3-9AA5-ACADEA62A6C6}">
      <text>
        <r>
          <rPr>
            <sz val="9"/>
            <color indexed="81"/>
            <rFont val="Tahoma"/>
            <family val="2"/>
          </rPr>
          <t xml:space="preserve">PRED : Protection contre les risques environnementaux divers
</t>
        </r>
      </text>
    </comment>
    <comment ref="M175" authorId="0" shapeId="0" xr:uid="{9058198C-EA59-4F01-BA90-E96A41CA73D3}">
      <text>
        <r>
          <rPr>
            <sz val="9"/>
            <color indexed="81"/>
            <rFont val="Tahoma"/>
            <family val="2"/>
          </rPr>
          <t xml:space="preserve">COPR : Contrôle des programmes
</t>
        </r>
      </text>
    </comment>
    <comment ref="K176" authorId="0" shapeId="0" xr:uid="{3988DF4C-E755-4043-AD7E-B1C4673CC1FE}">
      <text>
        <r>
          <rPr>
            <sz val="9"/>
            <color indexed="81"/>
            <rFont val="Tahoma"/>
            <family val="2"/>
          </rPr>
          <t xml:space="preserve">GMAF : Gestion des moyens d'accès aux fichiers de données ou de programme
</t>
        </r>
      </text>
    </comment>
    <comment ref="K177" authorId="0" shapeId="0" xr:uid="{98C70917-8777-4527-B371-A30EE23FE109}">
      <text>
        <r>
          <rPr>
            <sz val="9"/>
            <color indexed="81"/>
            <rFont val="Tahoma"/>
            <family val="2"/>
          </rPr>
          <t xml:space="preserve">GMAF : Gestion des moyens d'accès aux fichiers de données ou de programme
</t>
        </r>
      </text>
    </comment>
    <comment ref="J178" authorId="0" shapeId="0" xr:uid="{9BEB1C34-439E-4604-8397-328BFBD0A630}">
      <text>
        <r>
          <rPr>
            <sz val="9"/>
            <color indexed="81"/>
            <rFont val="Tahoma"/>
            <family val="2"/>
          </rPr>
          <t xml:space="preserve">SULO : Surveillance des locaux sensibles
</t>
        </r>
      </text>
    </comment>
    <comment ref="K178" authorId="0" shapeId="0" xr:uid="{AF871F64-FB27-4A29-B8AD-5BC2E0F5E14B}">
      <text>
        <r>
          <rPr>
            <sz val="9"/>
            <color indexed="81"/>
            <rFont val="Tahoma"/>
            <family val="2"/>
          </rPr>
          <t xml:space="preserve">CALO : Contrôle d'accès aux locaux sensibles
</t>
        </r>
      </text>
    </comment>
    <comment ref="M178" authorId="0" shapeId="0" xr:uid="{EE5B97CC-1CD9-4035-A391-ED03EB1A1F29}">
      <text>
        <r>
          <rPr>
            <sz val="9"/>
            <color indexed="81"/>
            <rFont val="Tahoma"/>
            <family val="2"/>
          </rPr>
          <t xml:space="preserve">SFIN : Sûreté de fonctionnement des éléments de l'infrastructure
</t>
        </r>
      </text>
    </comment>
    <comment ref="J179" authorId="0" shapeId="0" xr:uid="{8941575D-028D-4256-822B-760F428A9BA0}">
      <text>
        <r>
          <rPr>
            <sz val="9"/>
            <color indexed="81"/>
            <rFont val="Tahoma"/>
            <family val="2"/>
          </rPr>
          <t xml:space="preserve">SULO : Surveillance des locaux sensibles
</t>
        </r>
      </text>
    </comment>
    <comment ref="M179" authorId="0" shapeId="0" xr:uid="{113405C0-8EE5-4CD6-AA3C-98EEE5A3C0FA}">
      <text>
        <r>
          <rPr>
            <sz val="9"/>
            <color indexed="81"/>
            <rFont val="Tahoma"/>
            <family val="2"/>
          </rPr>
          <t xml:space="preserve">SFIN : Sûreté de fonctionnement des éléments de l'infrastructure
</t>
        </r>
      </text>
    </comment>
    <comment ref="J180" authorId="0" shapeId="0" xr:uid="{911E1E3B-D727-4929-B10F-E43EC6153CE8}">
      <text>
        <r>
          <rPr>
            <sz val="9"/>
            <color indexed="81"/>
            <rFont val="Tahoma"/>
            <family val="2"/>
          </rPr>
          <t xml:space="preserve">SULO : Surveillance des locaux sensibles
</t>
        </r>
      </text>
    </comment>
    <comment ref="K180" authorId="0" shapeId="0" xr:uid="{EB25D77E-CE04-421A-9536-DB8BA6634E89}">
      <text>
        <r>
          <rPr>
            <sz val="9"/>
            <color indexed="81"/>
            <rFont val="Tahoma"/>
            <family val="2"/>
          </rPr>
          <t xml:space="preserve">CALO : Contrôle d'accès aux locaux sensibles
</t>
        </r>
      </text>
    </comment>
    <comment ref="M180" authorId="0" shapeId="0" xr:uid="{9EC8B461-975A-437D-B573-4AD787826FF4}">
      <text>
        <r>
          <rPr>
            <sz val="9"/>
            <color indexed="81"/>
            <rFont val="Tahoma"/>
            <family val="2"/>
          </rPr>
          <t xml:space="preserve">SFIN : Sûreté de fonctionnement des éléments de l'infrastructure
</t>
        </r>
      </text>
    </comment>
    <comment ref="M181" authorId="0" shapeId="0" xr:uid="{7507C9F4-B692-4406-B9DD-5E9D39E19EE1}">
      <text>
        <r>
          <rPr>
            <sz val="9"/>
            <color indexed="81"/>
            <rFont val="Tahoma"/>
            <family val="2"/>
          </rPr>
          <t xml:space="preserve">MASA : Organisation de la maintenance des systèmes et applications
</t>
        </r>
      </text>
    </comment>
    <comment ref="L182" authorId="0" shapeId="0" xr:uid="{37712C93-4360-41C7-A340-61209EBC09BA}">
      <text>
        <r>
          <rPr>
            <sz val="9"/>
            <color indexed="81"/>
            <rFont val="Tahoma"/>
            <family val="2"/>
          </rPr>
          <t xml:space="preserve">PRED : Protection contre les risques environnementaux divers
</t>
        </r>
      </text>
    </comment>
    <comment ref="M182" authorId="0" shapeId="0" xr:uid="{1271C2CA-623B-4A04-9A5E-84C6C7CE36B7}">
      <text>
        <r>
          <rPr>
            <sz val="9"/>
            <color indexed="81"/>
            <rFont val="Tahoma"/>
            <family val="2"/>
          </rPr>
          <t xml:space="preserve">PSSA : Plans de secours des systèmes et applications
</t>
        </r>
      </text>
    </comment>
    <comment ref="M183" authorId="0" shapeId="0" xr:uid="{EFE07657-4091-42E8-8593-4AFA89BBA706}">
      <text>
        <r>
          <rPr>
            <sz val="9"/>
            <color indexed="81"/>
            <rFont val="Tahoma"/>
            <family val="2"/>
          </rPr>
          <t xml:space="preserve">GPES : Gestion du personnel stratégique
PCAC : Plan de continuité de l'activité
</t>
        </r>
      </text>
    </comment>
    <comment ref="K184" authorId="0" shapeId="0" xr:uid="{02FD4285-1AA2-4709-BE54-BF8D9385744E}">
      <text>
        <r>
          <rPr>
            <sz val="9"/>
            <color indexed="81"/>
            <rFont val="Tahoma"/>
            <family val="2"/>
          </rPr>
          <t xml:space="preserve">SFIN : Sûreté de fonctionnement des éléments de l'infrastructure
</t>
        </r>
      </text>
    </comment>
    <comment ref="M184" authorId="0" shapeId="0" xr:uid="{1A0AC9FF-2E5E-4F38-8217-4DFF57039127}">
      <text>
        <r>
          <rPr>
            <sz val="9"/>
            <color indexed="81"/>
            <rFont val="Tahoma"/>
            <family val="2"/>
          </rPr>
          <t xml:space="preserve">PSSA : Plans de secours des systèmes et applications
</t>
        </r>
      </text>
    </comment>
    <comment ref="K185" authorId="0" shapeId="0" xr:uid="{8248316B-7FB0-4650-B0BB-4E24F285468E}">
      <text>
        <r>
          <rPr>
            <sz val="9"/>
            <color indexed="81"/>
            <rFont val="Tahoma"/>
            <family val="2"/>
          </rPr>
          <t xml:space="preserve">SFIN : Sûreté de fonctionnement des éléments de l'infrastructure
</t>
        </r>
      </text>
    </comment>
    <comment ref="M185" authorId="0" shapeId="0" xr:uid="{7870B484-139A-4C79-B71F-AF652E0B2C35}">
      <text>
        <r>
          <rPr>
            <sz val="9"/>
            <color indexed="81"/>
            <rFont val="Tahoma"/>
            <family val="2"/>
          </rPr>
          <t xml:space="preserve">MASA : Organisation de la maintenance des systèmes et applications
</t>
        </r>
      </text>
    </comment>
    <comment ref="M186" authorId="0" shapeId="0" xr:uid="{97687F7F-2166-4458-8F70-58B12B33D112}">
      <text>
        <r>
          <rPr>
            <sz val="9"/>
            <color indexed="81"/>
            <rFont val="Tahoma"/>
            <family val="2"/>
          </rPr>
          <t xml:space="preserve">SUEE : Surveillance des événements externes
</t>
        </r>
      </text>
    </comment>
    <comment ref="J187" authorId="0" shapeId="0" xr:uid="{549571CB-CB9D-445A-99EC-300B0B8BE462}">
      <text>
        <r>
          <rPr>
            <sz val="9"/>
            <color indexed="81"/>
            <rFont val="Tahoma"/>
            <family val="2"/>
          </rPr>
          <t xml:space="preserve">SUAI : Surveillance de l'activité interne
</t>
        </r>
      </text>
    </comment>
    <comment ref="M187" authorId="0" shapeId="0" xr:uid="{747768B2-3CE2-4358-9299-A6360F7411BE}">
      <text>
        <r>
          <rPr>
            <sz val="9"/>
            <color indexed="81"/>
            <rFont val="Tahoma"/>
            <family val="2"/>
          </rPr>
          <t xml:space="preserve">SADC : Sauvegardes des données et configurations (non externalisées)
</t>
        </r>
      </text>
    </comment>
    <comment ref="K188" authorId="0" shapeId="0" xr:uid="{CE56C410-B99B-4A7E-955F-A21DE440B012}">
      <text>
        <r>
          <rPr>
            <sz val="9"/>
            <color indexed="81"/>
            <rFont val="Tahoma"/>
            <family val="2"/>
          </rPr>
          <t xml:space="preserve">PMAL : Protection contre les logiciels malveillants et actions malveillantes menées par voie électronique (hameçonnage), ou non (faux courrier)
</t>
        </r>
      </text>
    </comment>
    <comment ref="M188" authorId="0" shapeId="0" xr:uid="{B7A50FD2-0B81-4668-B600-179851E8AC90}">
      <text>
        <r>
          <rPr>
            <sz val="9"/>
            <color indexed="81"/>
            <rFont val="Tahoma"/>
            <family val="2"/>
          </rPr>
          <t xml:space="preserve">SADC : Sauvegardes des données et configurations (non externalisées)
</t>
        </r>
      </text>
    </comment>
    <comment ref="M189" authorId="0" shapeId="0" xr:uid="{8002E870-50EF-4255-8D8D-730DF5D96892}">
      <text>
        <r>
          <rPr>
            <sz val="9"/>
            <color indexed="81"/>
            <rFont val="Tahoma"/>
            <family val="2"/>
          </rPr>
          <t xml:space="preserve">PCET : Plan de continuité de l'environnement de travail
</t>
        </r>
      </text>
    </comment>
    <comment ref="K190" authorId="0" shapeId="0" xr:uid="{C4518728-CF27-4939-B8C5-579B99B582B6}">
      <text>
        <r>
          <rPr>
            <sz val="9"/>
            <color indexed="81"/>
            <rFont val="Tahoma"/>
            <family val="2"/>
          </rPr>
          <t xml:space="preserve">SFIN : Sûreté de fonctionnement des éléments de l'infrastructure
</t>
        </r>
      </text>
    </comment>
    <comment ref="M190" authorId="0" shapeId="0" xr:uid="{6C545E24-010B-415B-B951-1121FB61F795}">
      <text>
        <r>
          <rPr>
            <sz val="9"/>
            <color indexed="81"/>
            <rFont val="Tahoma"/>
            <family val="2"/>
          </rPr>
          <t xml:space="preserve">PCET : Plan de continuité de l'environnement de travail
</t>
        </r>
      </text>
    </comment>
    <comment ref="J191" authorId="0" shapeId="0" xr:uid="{704BC743-A010-4436-B68A-C939B91E0A45}">
      <text>
        <r>
          <rPr>
            <sz val="9"/>
            <color indexed="81"/>
            <rFont val="Tahoma"/>
            <family val="2"/>
          </rPr>
          <t xml:space="preserve">COMA : Contrôle des opérations de maintenance
SUAI : Surveillance de l'activité interne
</t>
        </r>
      </text>
    </comment>
    <comment ref="K191" authorId="0" shapeId="0" xr:uid="{E0E90DB5-1A2D-4DDA-979E-95EFC88B0294}">
      <text>
        <r>
          <rPr>
            <sz val="9"/>
            <color indexed="81"/>
            <rFont val="Tahoma"/>
            <family val="2"/>
          </rPr>
          <t xml:space="preserve">CASA : Contrôle d'accès aux systèmes et applications
COCF : Contrôle des configurations systèmes et applicatives
SMAI : Sécurité de la maintenance logicielle
</t>
        </r>
      </text>
    </comment>
    <comment ref="J192" authorId="0" shapeId="0" xr:uid="{B812E816-F40E-4671-B924-9D44741F113D}">
      <text>
        <r>
          <rPr>
            <sz val="9"/>
            <color indexed="81"/>
            <rFont val="Tahoma"/>
            <family val="2"/>
          </rPr>
          <t xml:space="preserve">SUAI : Surveillance de l'activité interne
</t>
        </r>
      </text>
    </comment>
    <comment ref="J193" authorId="0" shapeId="0" xr:uid="{4AE95535-80EF-42CF-98AF-33A62D00EB51}">
      <text>
        <r>
          <rPr>
            <sz val="9"/>
            <color indexed="81"/>
            <rFont val="Tahoma"/>
            <family val="2"/>
          </rPr>
          <t xml:space="preserve">COMA : Contrôle des opérations de maintenance
</t>
        </r>
      </text>
    </comment>
    <comment ref="K193" authorId="0" shapeId="0" xr:uid="{6A3E3E7D-98B9-4287-8A95-14B146E79CA8}">
      <text>
        <r>
          <rPr>
            <sz val="9"/>
            <color indexed="81"/>
            <rFont val="Tahoma"/>
            <family val="2"/>
          </rPr>
          <t xml:space="preserve">SMAI : Sécurité de la maintenance logicielle
</t>
        </r>
      </text>
    </comment>
    <comment ref="K194" authorId="0" shapeId="0" xr:uid="{62373BEB-7379-4C6E-94B8-E1C59897B3D4}">
      <text>
        <r>
          <rPr>
            <sz val="9"/>
            <color indexed="81"/>
            <rFont val="Tahoma"/>
            <family val="2"/>
          </rPr>
          <t xml:space="preserve">CASA : Contrôle d'accès aux systèmes et applications
COCF : Contrôle des configurations systèmes et applicatives
</t>
        </r>
      </text>
    </comment>
    <comment ref="K195" authorId="0" shapeId="0" xr:uid="{3FFACF76-6936-4831-BC76-436A10CED96A}">
      <text>
        <r>
          <rPr>
            <sz val="9"/>
            <color indexed="81"/>
            <rFont val="Tahoma"/>
            <family val="2"/>
          </rPr>
          <t xml:space="preserve">CERD : Contrôle de l'émission et de la réception de données et de messages
</t>
        </r>
      </text>
    </comment>
    <comment ref="J196" authorId="0" shapeId="0" xr:uid="{1E0DFE33-4033-427B-BABE-50513E83FEC3}">
      <text>
        <r>
          <rPr>
            <sz val="9"/>
            <color indexed="81"/>
            <rFont val="Tahoma"/>
            <family val="2"/>
          </rPr>
          <t xml:space="preserve">SULO : Surveillance des locaux sensibles
</t>
        </r>
      </text>
    </comment>
    <comment ref="K196" authorId="0" shapeId="0" xr:uid="{4B35EDB6-CFF0-46EF-94F0-C055A4F9B545}">
      <text>
        <r>
          <rPr>
            <sz val="9"/>
            <color indexed="81"/>
            <rFont val="Tahoma"/>
            <family val="2"/>
          </rPr>
          <t xml:space="preserve">CALO : Contrôle d'accès aux locaux sensibles
COCF : Contrôle des configurations systèmes et applicatives
</t>
        </r>
      </text>
    </comment>
    <comment ref="J197" authorId="0" shapeId="0" xr:uid="{68D3FE6A-7783-4CD6-BDD1-75E01AA3091F}">
      <text>
        <r>
          <rPr>
            <sz val="9"/>
            <color indexed="81"/>
            <rFont val="Tahoma"/>
            <family val="2"/>
          </rPr>
          <t xml:space="preserve">SULO : Surveillance des locaux sensibles
</t>
        </r>
      </text>
    </comment>
    <comment ref="K197" authorId="0" shapeId="0" xr:uid="{7BA5D786-4318-4944-8118-E00C9883FDAF}">
      <text>
        <r>
          <rPr>
            <sz val="9"/>
            <color indexed="81"/>
            <rFont val="Tahoma"/>
            <family val="2"/>
          </rPr>
          <t xml:space="preserve">COCF : Contrôle des configurations systèmes et applicatives
</t>
        </r>
      </text>
    </comment>
    <comment ref="J198" authorId="0" shapeId="0" xr:uid="{31DF16DB-6F7F-41F4-B38D-D6C78B9EF30E}">
      <text>
        <r>
          <rPr>
            <sz val="9"/>
            <color indexed="81"/>
            <rFont val="Tahoma"/>
            <family val="2"/>
          </rPr>
          <t xml:space="preserve">SULO : Surveillance des locaux sensibles
</t>
        </r>
      </text>
    </comment>
    <comment ref="K198" authorId="0" shapeId="0" xr:uid="{92CC428A-1DB2-4A22-9513-0B4FD14B47DF}">
      <text>
        <r>
          <rPr>
            <sz val="9"/>
            <color indexed="81"/>
            <rFont val="Tahoma"/>
            <family val="2"/>
          </rPr>
          <t xml:space="preserve">CALO : Contrôle d'accès aux locaux sensibles
COCF : Contrôle des configurations systèmes et applicatives
</t>
        </r>
      </text>
    </comment>
    <comment ref="J199" authorId="0" shapeId="0" xr:uid="{1DC3DC0A-5C26-4B09-B408-5E9E442FC3D7}">
      <text>
        <r>
          <rPr>
            <sz val="9"/>
            <color indexed="81"/>
            <rFont val="Tahoma"/>
            <family val="2"/>
          </rPr>
          <t xml:space="preserve">SULO : Surveillance des locaux sensibles
</t>
        </r>
      </text>
    </comment>
    <comment ref="K199" authorId="0" shapeId="0" xr:uid="{561D89A1-1488-42B4-8922-9753575BBFBC}">
      <text>
        <r>
          <rPr>
            <sz val="9"/>
            <color indexed="81"/>
            <rFont val="Tahoma"/>
            <family val="2"/>
          </rPr>
          <t xml:space="preserve">CALO : Contrôle d'accès aux locaux sensibles
</t>
        </r>
      </text>
    </comment>
    <comment ref="J200" authorId="0" shapeId="0" xr:uid="{005F54FD-24BD-444C-A523-861E89C73D25}">
      <text>
        <r>
          <rPr>
            <sz val="9"/>
            <color indexed="81"/>
            <rFont val="Tahoma"/>
            <family val="2"/>
          </rPr>
          <t xml:space="preserve">SULO : Surveillance des locaux sensibles
</t>
        </r>
      </text>
    </comment>
    <comment ref="J201" authorId="0" shapeId="0" xr:uid="{79557064-66EB-4642-8D9E-1BB101F1E34F}">
      <text>
        <r>
          <rPr>
            <sz val="9"/>
            <color indexed="81"/>
            <rFont val="Tahoma"/>
            <family val="2"/>
          </rPr>
          <t xml:space="preserve">SULO : Surveillance des locaux sensibles
</t>
        </r>
      </text>
    </comment>
    <comment ref="K201" authorId="0" shapeId="0" xr:uid="{B72E6DA7-0D0C-4DB4-9105-18F3161D239D}">
      <text>
        <r>
          <rPr>
            <sz val="9"/>
            <color indexed="81"/>
            <rFont val="Tahoma"/>
            <family val="2"/>
          </rPr>
          <t xml:space="preserve">CALO : Contrôle d'accès aux locaux sensibles
</t>
        </r>
      </text>
    </comment>
    <comment ref="J202" authorId="0" shapeId="0" xr:uid="{15BA564C-F0D8-4A95-BEDB-E057987C990C}">
      <text>
        <r>
          <rPr>
            <sz val="9"/>
            <color indexed="81"/>
            <rFont val="Tahoma"/>
            <family val="2"/>
          </rPr>
          <t xml:space="preserve">COMA : Contrôle des opérations de maintenance
SUBU : Surveillance des zones de bureaux sensibles
</t>
        </r>
      </text>
    </comment>
    <comment ref="K202" authorId="0" shapeId="0" xr:uid="{820903FC-6147-4202-ABA2-139E9BA5DD9E}">
      <text>
        <r>
          <rPr>
            <sz val="9"/>
            <color indexed="81"/>
            <rFont val="Tahoma"/>
            <family val="2"/>
          </rPr>
          <t xml:space="preserve">PPDT : Protection du poste de travail
SBUR : Sécurisation des zones de bureaux sensibles
</t>
        </r>
      </text>
    </comment>
    <comment ref="J203" authorId="0" shapeId="0" xr:uid="{6DE2F85C-5809-45D2-B852-0EDC907D175C}">
      <text>
        <r>
          <rPr>
            <sz val="9"/>
            <color indexed="81"/>
            <rFont val="Tahoma"/>
            <family val="2"/>
          </rPr>
          <t xml:space="preserve">SUBU : Surveillance des zones de bureaux sensibles
</t>
        </r>
      </text>
    </comment>
    <comment ref="K203" authorId="0" shapeId="0" xr:uid="{C081C4F5-E8AC-4BCF-8377-A89B2AA819AD}">
      <text>
        <r>
          <rPr>
            <sz val="9"/>
            <color indexed="81"/>
            <rFont val="Tahoma"/>
            <family val="2"/>
          </rPr>
          <t xml:space="preserve">PPDT : Protection du poste de travail
</t>
        </r>
      </text>
    </comment>
    <comment ref="J204" authorId="0" shapeId="0" xr:uid="{5134DC19-3D06-4DA8-A64D-D0F24E3D8F99}">
      <text>
        <r>
          <rPr>
            <sz val="9"/>
            <color indexed="81"/>
            <rFont val="Tahoma"/>
            <family val="2"/>
          </rPr>
          <t xml:space="preserve">SUBU : Surveillance des zones de bureaux sensibles
</t>
        </r>
      </text>
    </comment>
    <comment ref="K204" authorId="0" shapeId="0" xr:uid="{2FB99765-7AE4-47A3-B167-3815EBB23532}">
      <text>
        <r>
          <rPr>
            <sz val="9"/>
            <color indexed="81"/>
            <rFont val="Tahoma"/>
            <family val="2"/>
          </rPr>
          <t xml:space="preserve">PPDT : Protection du poste de travail
SBUR : Sécurisation des zones de bureaux sensibles
</t>
        </r>
      </text>
    </comment>
    <comment ref="J205" authorId="0" shapeId="0" xr:uid="{9BA8C891-874C-4646-B07E-6A9937D444AA}">
      <text>
        <r>
          <rPr>
            <sz val="9"/>
            <color indexed="81"/>
            <rFont val="Tahoma"/>
            <family val="2"/>
          </rPr>
          <t xml:space="preserve">COMA : Contrôle des opérations de maintenance
</t>
        </r>
      </text>
    </comment>
    <comment ref="K206" authorId="0" shapeId="0" xr:uid="{E52625E9-B99A-41C2-92DE-03EF8394BF2E}">
      <text>
        <r>
          <rPr>
            <sz val="9"/>
            <color indexed="81"/>
            <rFont val="Tahoma"/>
            <family val="2"/>
          </rPr>
          <t xml:space="preserve">PPDT : Protection du poste de travail
</t>
        </r>
      </text>
    </comment>
    <comment ref="J207" authorId="0" shapeId="0" xr:uid="{2E43450D-8160-4BC9-B783-0703953037C6}">
      <text>
        <r>
          <rPr>
            <sz val="9"/>
            <color indexed="81"/>
            <rFont val="Tahoma"/>
            <family val="2"/>
          </rPr>
          <t xml:space="preserve">PCCS : Protection de la confidentialité des codes sources
SUAI : Surveillance de l'activité interne
</t>
        </r>
      </text>
    </comment>
    <comment ref="K207" authorId="0" shapeId="0" xr:uid="{6953C3EF-AE13-4E9C-B0C4-D2605165C59B}">
      <text>
        <r>
          <rPr>
            <sz val="9"/>
            <color indexed="81"/>
            <rFont val="Tahoma"/>
            <family val="2"/>
          </rPr>
          <t xml:space="preserve">CASA : Contrôle d'accès aux systèmes et applications
</t>
        </r>
      </text>
    </comment>
    <comment ref="K208" authorId="0" shapeId="0" xr:uid="{3801D5A5-6A86-4037-B7A1-ED10D74614FE}">
      <text>
        <r>
          <rPr>
            <sz val="9"/>
            <color indexed="81"/>
            <rFont val="Tahoma"/>
            <family val="2"/>
          </rPr>
          <t xml:space="preserve">CASA : Contrôle d'accès aux systèmes et applications
</t>
        </r>
      </text>
    </comment>
    <comment ref="J209" authorId="0" shapeId="0" xr:uid="{87DB4F52-4F76-4FD5-A922-E4762F55D1C5}">
      <text>
        <r>
          <rPr>
            <sz val="9"/>
            <color indexed="81"/>
            <rFont val="Tahoma"/>
            <family val="2"/>
          </rPr>
          <t xml:space="preserve">SUAI : Surveillance de l'activité interne
</t>
        </r>
      </text>
    </comment>
    <comment ref="J210" authorId="0" shapeId="0" xr:uid="{CA8D793A-C92D-44C3-90CF-0C4E288E07B4}">
      <text>
        <r>
          <rPr>
            <sz val="9"/>
            <color indexed="81"/>
            <rFont val="Tahoma"/>
            <family val="2"/>
          </rPr>
          <t xml:space="preserve">PCCS : Protection de la confidentialité des codes sources
</t>
        </r>
      </text>
    </comment>
    <comment ref="J211" authorId="0" shapeId="0" xr:uid="{DC855A2E-6F2F-438A-87E9-9DB0A331D665}">
      <text>
        <r>
          <rPr>
            <sz val="9"/>
            <color indexed="81"/>
            <rFont val="Tahoma"/>
            <family val="2"/>
          </rPr>
          <t xml:space="preserve">SULO : Surveillance des locaux sensibles
</t>
        </r>
      </text>
    </comment>
    <comment ref="K211" authorId="0" shapeId="0" xr:uid="{A584C73F-F3E7-42A7-A8CD-FBAB69A6BACC}">
      <text>
        <r>
          <rPr>
            <sz val="9"/>
            <color indexed="81"/>
            <rFont val="Tahoma"/>
            <family val="2"/>
          </rPr>
          <t xml:space="preserve">CALO : Contrôle d'accès aux locaux sensibles
CHDA : Chiffrement des données applicatives stockées
SDMR : Sécurité des données des médias réaffectés ou mis au rebut
</t>
        </r>
      </text>
    </comment>
    <comment ref="J212" authorId="0" shapeId="0" xr:uid="{01BF73D7-EED3-4B13-B938-384E138403C8}">
      <text>
        <r>
          <rPr>
            <sz val="9"/>
            <color indexed="81"/>
            <rFont val="Tahoma"/>
            <family val="2"/>
          </rPr>
          <t xml:space="preserve">SULO : Surveillance des locaux sensibles
</t>
        </r>
      </text>
    </comment>
    <comment ref="J213" authorId="0" shapeId="0" xr:uid="{C356B719-DDD5-411A-A669-5CC318F2C174}">
      <text>
        <r>
          <rPr>
            <sz val="9"/>
            <color indexed="81"/>
            <rFont val="Tahoma"/>
            <family val="2"/>
          </rPr>
          <t xml:space="preserve">SULO : Surveillance des locaux sensibles
</t>
        </r>
      </text>
    </comment>
    <comment ref="K213" authorId="0" shapeId="0" xr:uid="{82A1F78D-65A9-4DD9-97D1-8DD7DE7D8E61}">
      <text>
        <r>
          <rPr>
            <sz val="9"/>
            <color indexed="81"/>
            <rFont val="Tahoma"/>
            <family val="2"/>
          </rPr>
          <t xml:space="preserve">CALO : Contrôle d'accès aux locaux sensibles
CHDA : Chiffrement des données applicatives stockées
</t>
        </r>
      </text>
    </comment>
    <comment ref="K214" authorId="0" shapeId="0" xr:uid="{73AE32A9-F20F-418F-A0EF-0E4B00EC3445}">
      <text>
        <r>
          <rPr>
            <sz val="9"/>
            <color indexed="81"/>
            <rFont val="Tahoma"/>
            <family val="2"/>
          </rPr>
          <t xml:space="preserve">SDMR : Sécurité des données des médias réaffectés ou mis au rebut
</t>
        </r>
      </text>
    </comment>
    <comment ref="M216" authorId="0" shapeId="0" xr:uid="{42B3FE22-E42F-45B1-BD57-1561348010B6}">
      <text>
        <r>
          <rPr>
            <sz val="9"/>
            <color indexed="81"/>
            <rFont val="Tahoma"/>
            <family val="2"/>
          </rPr>
          <t xml:space="preserve">GPES : Gestion du personnel stratégique
PSSE : Plans de secours des systèmes externalisés
</t>
        </r>
      </text>
    </comment>
    <comment ref="M217" authorId="0" shapeId="0" xr:uid="{F5870634-9B27-483A-BA27-603A332E0027}">
      <text>
        <r>
          <rPr>
            <sz val="9"/>
            <color indexed="81"/>
            <rFont val="Tahoma"/>
            <family val="2"/>
          </rPr>
          <t xml:space="preserve">PSSE : Plans de secours des systèmes externalisés
</t>
        </r>
      </text>
    </comment>
    <comment ref="K218" authorId="0" shapeId="0" xr:uid="{193F3D23-B7CF-47FF-A56C-1BA9801DEEC9}">
      <text>
        <r>
          <rPr>
            <sz val="9"/>
            <color indexed="81"/>
            <rFont val="Tahoma"/>
            <family val="2"/>
          </rPr>
          <t xml:space="preserve">PISE : Contrôle de l'intégrité des services externalisés
</t>
        </r>
      </text>
    </comment>
    <comment ref="M220" authorId="0" shapeId="0" xr:uid="{E04986B4-1233-4B39-AB20-3AF2CDF2E63A}">
      <text>
        <r>
          <rPr>
            <sz val="9"/>
            <color indexed="81"/>
            <rFont val="Tahoma"/>
            <family val="2"/>
          </rPr>
          <t xml:space="preserve">SUEE : Surveillance des événements externes
</t>
        </r>
      </text>
    </comment>
    <comment ref="J221" authorId="0" shapeId="0" xr:uid="{4294F573-623C-4924-BEF6-2C03E13909D8}">
      <text>
        <r>
          <rPr>
            <sz val="9"/>
            <color indexed="81"/>
            <rFont val="Tahoma"/>
            <family val="2"/>
          </rPr>
          <t xml:space="preserve">SUAI : Surveillance de l'activité interne
</t>
        </r>
      </text>
    </comment>
    <comment ref="K221" authorId="0" shapeId="0" xr:uid="{4A61C59D-A6ED-4105-96D3-8797047E58FE}">
      <text>
        <r>
          <rPr>
            <sz val="9"/>
            <color indexed="81"/>
            <rFont val="Tahoma"/>
            <family val="2"/>
          </rPr>
          <t xml:space="preserve">CASA : Contrôle d'accès aux systèmes et applications
COCF : Contrôle des configurations systèmes et applicatives
</t>
        </r>
      </text>
    </comment>
    <comment ref="J222" authorId="0" shapeId="0" xr:uid="{74ACCA8A-6C3A-4DEE-890E-E0AB6025E8DC}">
      <text>
        <r>
          <rPr>
            <sz val="9"/>
            <color indexed="81"/>
            <rFont val="Tahoma"/>
            <family val="2"/>
          </rPr>
          <t xml:space="preserve">SUAI : Surveillance de l'activité interne
</t>
        </r>
      </text>
    </comment>
    <comment ref="K222" authorId="0" shapeId="0" xr:uid="{3CB94C4D-D83B-49EB-9000-83175C3DE156}">
      <text>
        <r>
          <rPr>
            <sz val="9"/>
            <color indexed="81"/>
            <rFont val="Tahoma"/>
            <family val="2"/>
          </rPr>
          <t xml:space="preserve">COCF : Contrôle des configurations systèmes et applicatives
</t>
        </r>
      </text>
    </comment>
    <comment ref="K223" authorId="0" shapeId="0" xr:uid="{941A8993-D854-4E1D-BE05-804FCB3355AB}">
      <text>
        <r>
          <rPr>
            <sz val="9"/>
            <color indexed="81"/>
            <rFont val="Tahoma"/>
            <family val="2"/>
          </rPr>
          <t xml:space="preserve">COCF : Contrôle des configurations systèmes et applicatives
</t>
        </r>
      </text>
    </comment>
    <comment ref="J224" authorId="0" shapeId="0" xr:uid="{D2CB705C-EF56-4101-88BD-15C9A4C8D6FB}">
      <text>
        <r>
          <rPr>
            <sz val="9"/>
            <color indexed="81"/>
            <rFont val="Tahoma"/>
            <family val="2"/>
          </rPr>
          <t xml:space="preserve">SUAI : Surveillance de l'activité interne
</t>
        </r>
      </text>
    </comment>
    <comment ref="K224" authorId="0" shapeId="0" xr:uid="{BE4E29F8-00D4-4723-9724-571F99DC69E9}">
      <text>
        <r>
          <rPr>
            <sz val="9"/>
            <color indexed="81"/>
            <rFont val="Tahoma"/>
            <family val="2"/>
          </rPr>
          <t xml:space="preserve">CASA : Contrôle d'accès aux systèmes et applications
COCF : Contrôle des configurations systèmes et applicatives
</t>
        </r>
      </text>
    </comment>
    <comment ref="K226" authorId="0" shapeId="0" xr:uid="{96F909F8-F925-4ED0-A3A5-97F0E6F7107C}">
      <text>
        <r>
          <rPr>
            <sz val="9"/>
            <color indexed="81"/>
            <rFont val="Tahoma"/>
            <family val="2"/>
          </rPr>
          <t xml:space="preserve">CPEX : Conformité aux exigences légales ou contractuelles
</t>
        </r>
      </text>
    </comment>
    <comment ref="J227" authorId="0" shapeId="0" xr:uid="{CCA9EB3B-7A8E-4DD5-ADCB-9B89DD28E638}">
      <text>
        <r>
          <rPr>
            <sz val="9"/>
            <color indexed="81"/>
            <rFont val="Tahoma"/>
            <family val="2"/>
          </rPr>
          <t xml:space="preserve">CPEX : Conformité aux exigences légales ou contractuelles
</t>
        </r>
      </text>
    </comment>
    <comment ref="K228" authorId="0" shapeId="0" xr:uid="{B46A0029-735D-4A24-BF51-97B10B9B271C}">
      <text>
        <r>
          <rPr>
            <sz val="9"/>
            <color indexed="81"/>
            <rFont val="Tahoma"/>
            <family val="2"/>
          </rPr>
          <t xml:space="preserve">CPEX : Conformité aux exigences légales ou contractuelles
</t>
        </r>
      </text>
    </comment>
    <comment ref="K230" authorId="0" shapeId="0" xr:uid="{8AC8750A-34AE-4B25-AC4E-3F476BD35D08}">
      <text>
        <r>
          <rPr>
            <sz val="9"/>
            <color indexed="81"/>
            <rFont val="Tahoma"/>
            <family val="2"/>
          </rPr>
          <t xml:space="preserve">CRGD : Conformité aux règles de gouvernance et de prise de décision
</t>
        </r>
      </text>
    </comment>
    <comment ref="J231" authorId="0" shapeId="0" xr:uid="{B0C63369-B925-44E4-A3CF-8B3A74194C68}">
      <text>
        <r>
          <rPr>
            <sz val="9"/>
            <color indexed="81"/>
            <rFont val="Tahoma"/>
            <family val="2"/>
          </rPr>
          <t xml:space="preserve">CRGD : Conformité aux règles de gouvernance et de prise de décision
</t>
        </r>
      </text>
    </comment>
    <comment ref="K232" authorId="0" shapeId="0" xr:uid="{6DB33749-9A66-4AC0-BFBD-B04A9548E4CA}">
      <text>
        <r>
          <rPr>
            <sz val="9"/>
            <color indexed="81"/>
            <rFont val="Tahoma"/>
            <family val="2"/>
          </rPr>
          <t xml:space="preserve">CRGD : Conformité aux règles de gouvernance et de prise de décision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<sst xmlns="http://schemas.openxmlformats.org/spreadsheetml/2006/main" count="6240" uniqueCount="2809">
  <si>
    <t>Gestion des supports amovibles</t>
  </si>
  <si>
    <t>Politique de contrôle d'accès</t>
  </si>
  <si>
    <t>Contrôle de la circulation des visiteurs et des prestataires occasionnels amenés à intervenir dans les bureaux</t>
  </si>
  <si>
    <t>Gestion des vulnérabilités techniques</t>
  </si>
  <si>
    <t>Droits de propriété intellectuelle</t>
  </si>
  <si>
    <t>Revue indépendante de la sécurité de l'information</t>
  </si>
  <si>
    <t>Gestion du personnel et des partenaires ou prestataires stratégiques</t>
  </si>
  <si>
    <t>Gestion des accès aux archives</t>
  </si>
  <si>
    <t>Absence de service : Impossibilité d'accès aux locaux</t>
  </si>
  <si>
    <t>Processus disciplinaire</t>
  </si>
  <si>
    <t>Sécurité du câblage</t>
  </si>
  <si>
    <t>Sécurité des services réseaux</t>
  </si>
  <si>
    <t>Procédures et plans de reprise des applications sur incidents</t>
  </si>
  <si>
    <t>Protection des réseaux de stockage</t>
  </si>
  <si>
    <t>ACTIF</t>
  </si>
  <si>
    <t>Disparition</t>
  </si>
  <si>
    <t>Gestion et traitement des incidents systèmes et applicatifs</t>
  </si>
  <si>
    <t>Enregistrements de Très Haute Sécurité (THS)</t>
  </si>
  <si>
    <t>Plans de Continuité des processus applicatifs</t>
  </si>
  <si>
    <t>Individualisation des messages empêchant leur duplication (numérotation, séquencement,...)</t>
  </si>
  <si>
    <t>Saturation malveillante d'équipements informatiques ou réseaux</t>
  </si>
  <si>
    <t>Plans de Reprise de l'Environnement de Travail</t>
  </si>
  <si>
    <t>B - Contrôle des configurations matérielles et logicielles</t>
  </si>
  <si>
    <t>I</t>
  </si>
  <si>
    <t>A - Contrôle d'accès aux systèmes et applications</t>
  </si>
  <si>
    <t>Gestion des archives documentaires</t>
  </si>
  <si>
    <t>DOMAINES</t>
  </si>
  <si>
    <t>SERVICES</t>
  </si>
  <si>
    <t>SOUS-SERVICES</t>
  </si>
  <si>
    <t>Protection des impressions sur imprimantes partagées</t>
  </si>
  <si>
    <t>Plans de continuité de l'activité</t>
  </si>
  <si>
    <t xml:space="preserve">Accusé de réception </t>
  </si>
  <si>
    <t>A - Organisation des développements, de la maintenance et de la gestion des changements</t>
  </si>
  <si>
    <t>Gestion des changements</t>
  </si>
  <si>
    <t>C</t>
  </si>
  <si>
    <t>D05</t>
  </si>
  <si>
    <t>S03</t>
  </si>
  <si>
    <t xml:space="preserve">Contrôle des opérations de maintenance </t>
  </si>
  <si>
    <t>D02</t>
  </si>
  <si>
    <t>D03</t>
  </si>
  <si>
    <t>Détection des intrusions sur le site ou dans l'immeuble</t>
  </si>
  <si>
    <t>E</t>
  </si>
  <si>
    <t>Contrôle des accès aux locaux sensibles</t>
  </si>
  <si>
    <t>B - Sécurité des processus de développement et de maintenance</t>
  </si>
  <si>
    <t>Sécurité de la maintenance applicative</t>
  </si>
  <si>
    <t xml:space="preserve">Maintenance à chaud </t>
  </si>
  <si>
    <t>Détection des intrusions dans les zones de bureaux protégées</t>
  </si>
  <si>
    <t>Surveillance des zones de bureaux protégées</t>
  </si>
  <si>
    <t>Ramassage des corbeilles à papier et destruction des documents</t>
  </si>
  <si>
    <t>Sûreté de fonctionnement des éléments d'architecture</t>
  </si>
  <si>
    <t>Contrôle d'accès au poste de travail</t>
  </si>
  <si>
    <t>Protection de l'intégrité des fichiers contenus sur le poste de travail ou sur un serveur de données (disque logique pour le poste de travail)</t>
  </si>
  <si>
    <t>Travail en dehors des locaux de l'entreprise</t>
  </si>
  <si>
    <t>S01</t>
  </si>
  <si>
    <t>Divulgation</t>
  </si>
  <si>
    <t>Contrôle de la saisie des données</t>
  </si>
  <si>
    <t>A - Sécurité des procédures d'exploitation</t>
  </si>
  <si>
    <t>Perte ou oubli de document ou de media</t>
  </si>
  <si>
    <t>Système général de reporting et de suivi des incidents</t>
  </si>
  <si>
    <t>Sécurité physique des media en transit</t>
  </si>
  <si>
    <t>D - Continuité de fonctionnement</t>
  </si>
  <si>
    <t>Attaque en blocage de comptes</t>
  </si>
  <si>
    <t>C - Continuité de fonctionnement</t>
  </si>
  <si>
    <t xml:space="preserve">Continuité de la fourniture de l'énergie </t>
  </si>
  <si>
    <t xml:space="preserve">Détection des intrusions dans les locaux sensibles </t>
  </si>
  <si>
    <t>Gestion des actifs</t>
  </si>
  <si>
    <t xml:space="preserve">C - Gestion des ressources humaines </t>
  </si>
  <si>
    <t>Maintien des comptes d'accès</t>
  </si>
  <si>
    <t>Document</t>
  </si>
  <si>
    <t>S02</t>
  </si>
  <si>
    <t>D04</t>
  </si>
  <si>
    <t>D07</t>
  </si>
  <si>
    <t xml:space="preserve">Type </t>
  </si>
  <si>
    <t>DIC</t>
  </si>
  <si>
    <t>Code</t>
  </si>
  <si>
    <t>D01</t>
  </si>
  <si>
    <t>D</t>
  </si>
  <si>
    <t>Inexploitabilité</t>
  </si>
  <si>
    <t>Surveillance des locaux sensibles</t>
  </si>
  <si>
    <t>Engagement du personnel - clauses contractuelles</t>
  </si>
  <si>
    <t>Sensibilisation et formation à la sécurité</t>
  </si>
  <si>
    <t>Organisation du management et du pilotage de la sécurité des systèmes d'information</t>
  </si>
  <si>
    <t>Sécurité des équipements de servitude</t>
  </si>
  <si>
    <t>Protection contre les risques environnementaux divers</t>
  </si>
  <si>
    <t>Base de référence des scénarios</t>
  </si>
  <si>
    <t>Garantie d'origine, signature, électronique</t>
  </si>
  <si>
    <t>2A04</t>
  </si>
  <si>
    <t>2D03</t>
  </si>
  <si>
    <t>2C02</t>
  </si>
  <si>
    <t>2C04</t>
  </si>
  <si>
    <t>2B02</t>
  </si>
  <si>
    <t>2B03</t>
  </si>
  <si>
    <t>4C01</t>
  </si>
  <si>
    <t>4C03</t>
  </si>
  <si>
    <t>4C05</t>
  </si>
  <si>
    <t>4A03</t>
  </si>
  <si>
    <t>4A11</t>
  </si>
  <si>
    <t>4A10</t>
  </si>
  <si>
    <t>4A05</t>
  </si>
  <si>
    <t>4A09</t>
  </si>
  <si>
    <t>4B01</t>
  </si>
  <si>
    <t>3A04</t>
  </si>
  <si>
    <t>3A02</t>
  </si>
  <si>
    <t>3B01</t>
  </si>
  <si>
    <t>4A12</t>
  </si>
  <si>
    <t>2A03</t>
  </si>
  <si>
    <t>4C02</t>
  </si>
  <si>
    <t>4C06</t>
  </si>
  <si>
    <t>4F02</t>
  </si>
  <si>
    <t>4F03</t>
  </si>
  <si>
    <t>4F01</t>
  </si>
  <si>
    <t>5A03</t>
  </si>
  <si>
    <t>5A04</t>
  </si>
  <si>
    <t>5B01</t>
  </si>
  <si>
    <t>5B02</t>
  </si>
  <si>
    <t>5C02</t>
  </si>
  <si>
    <t>5C01</t>
  </si>
  <si>
    <t>6A01</t>
  </si>
  <si>
    <t>6A02</t>
  </si>
  <si>
    <t>6B01</t>
  </si>
  <si>
    <t>6B02</t>
  </si>
  <si>
    <t>6B03</t>
  </si>
  <si>
    <t>6B04</t>
  </si>
  <si>
    <t>4A02</t>
  </si>
  <si>
    <t>4E01</t>
  </si>
  <si>
    <t>2E01</t>
  </si>
  <si>
    <t>1A01</t>
  </si>
  <si>
    <t>Politiques de sécurité</t>
  </si>
  <si>
    <t>1A02</t>
  </si>
  <si>
    <t>Revue des politiques de sécurité</t>
  </si>
  <si>
    <t>B - Organisation de la sécurité de l'information</t>
  </si>
  <si>
    <t>1B01</t>
  </si>
  <si>
    <t>1B02</t>
  </si>
  <si>
    <t>Utilisation des mobles et télétravail</t>
  </si>
  <si>
    <t>1B03</t>
  </si>
  <si>
    <t>Organisation du management et du pilotage de la sécurité des réseaux</t>
  </si>
  <si>
    <t>1B04</t>
  </si>
  <si>
    <t>1B05</t>
  </si>
  <si>
    <t>1B06</t>
  </si>
  <si>
    <t>Politiques et procédures de transfert d'information</t>
  </si>
  <si>
    <t>1B07</t>
  </si>
  <si>
    <t>Agréments pour le transfert d'information</t>
  </si>
  <si>
    <t>1B08</t>
  </si>
  <si>
    <t>Messagerie électronique, utilisation des réseaux publics et réseaux sociaux</t>
  </si>
  <si>
    <t>1B09</t>
  </si>
  <si>
    <t>Confidentialité et "non-disclosure agreements"</t>
  </si>
  <si>
    <t>1B10</t>
  </si>
  <si>
    <t>D - Gestion des actifs</t>
  </si>
  <si>
    <t>1D02</t>
  </si>
  <si>
    <t>Classification des actifs</t>
  </si>
  <si>
    <t>1D01</t>
  </si>
  <si>
    <t>1C01</t>
  </si>
  <si>
    <t>1C02</t>
  </si>
  <si>
    <t>1C03</t>
  </si>
  <si>
    <t>1C04</t>
  </si>
  <si>
    <t>1C05</t>
  </si>
  <si>
    <t>Cessation ou changement de fonction</t>
  </si>
  <si>
    <t>F - Relations avec les fournisseurs</t>
  </si>
  <si>
    <t>1F01</t>
  </si>
  <si>
    <t>Politique de sécurité de l'information dans les relations avec les fournisseurs</t>
  </si>
  <si>
    <t>1F02</t>
  </si>
  <si>
    <t>Prise en compte de la sécurité dans les agréments avec les founisseurs</t>
  </si>
  <si>
    <t>1F03</t>
  </si>
  <si>
    <t>Approvisionnement de produits informatiques ou de télécommunication</t>
  </si>
  <si>
    <t>1F04</t>
  </si>
  <si>
    <t>Management du niveau de service et de la sécurité du service d'approvisionnement</t>
  </si>
  <si>
    <t>1F05</t>
  </si>
  <si>
    <t>Management des changements aux services d'approvisionnement</t>
  </si>
  <si>
    <t>1E01</t>
  </si>
  <si>
    <t>5D01</t>
  </si>
  <si>
    <t>1E02</t>
  </si>
  <si>
    <t>5D02</t>
  </si>
  <si>
    <t>1E03</t>
  </si>
  <si>
    <t>5D03</t>
  </si>
  <si>
    <t>A - Sécurité des sites et bâtiments</t>
  </si>
  <si>
    <t>2A01</t>
  </si>
  <si>
    <t>Sécurisation du site et des bâtiments</t>
  </si>
  <si>
    <t>2A02</t>
  </si>
  <si>
    <t>Sécurisation des zones de déchargement ou chargement</t>
  </si>
  <si>
    <t>D - Contrôle  des accès aux zones de bureaux sensibles</t>
  </si>
  <si>
    <t>2D01</t>
  </si>
  <si>
    <t>Contrôle d'accès physique aux zones de bureaux sensibles</t>
  </si>
  <si>
    <t>2D02</t>
  </si>
  <si>
    <t>2D04</t>
  </si>
  <si>
    <t>E - Protection de l'information écrite</t>
  </si>
  <si>
    <t>2C01</t>
  </si>
  <si>
    <t>2E02</t>
  </si>
  <si>
    <t>2E03</t>
  </si>
  <si>
    <t>Polititique de "bureau propre et écran muet"</t>
  </si>
  <si>
    <t>2E04</t>
  </si>
  <si>
    <t>C - Sécurité des équipements</t>
  </si>
  <si>
    <t>Protection des équipements</t>
  </si>
  <si>
    <t>2C03</t>
  </si>
  <si>
    <t>2C05</t>
  </si>
  <si>
    <t>Sorties de matériels</t>
  </si>
  <si>
    <t>2B01</t>
  </si>
  <si>
    <t>2B04</t>
  </si>
  <si>
    <t>Règles de travail dans les locaux sensibles</t>
  </si>
  <si>
    <t>Paramétrage des systèmes et contrôle de la conformité et paramétrages des configurations systèmes</t>
  </si>
  <si>
    <t>3A01</t>
  </si>
  <si>
    <t>3A03</t>
  </si>
  <si>
    <t>Responsabilité des utilisateurs</t>
  </si>
  <si>
    <t>Contrôle d'accès aux systèmes et applications</t>
  </si>
  <si>
    <t>3A05</t>
  </si>
  <si>
    <t>3A06</t>
  </si>
  <si>
    <t>3C01</t>
  </si>
  <si>
    <t>4A01</t>
  </si>
  <si>
    <t>Procédures opérationnelles et responsabilités</t>
  </si>
  <si>
    <t>Protection contre les malwares</t>
  </si>
  <si>
    <t>Sauvegardes des données et configurations</t>
  </si>
  <si>
    <t>4A04</t>
  </si>
  <si>
    <t>Sauvegardes des données externalisées</t>
  </si>
  <si>
    <t>Surveillance en temps réel du bon fonctionnement de l'infrastructure et gestion des anomlies</t>
  </si>
  <si>
    <t>Journalisationtion et contrôle des journaux</t>
  </si>
  <si>
    <t>Contrôle des logiciels opérationnels</t>
  </si>
  <si>
    <t>4A06</t>
  </si>
  <si>
    <t>4A07</t>
  </si>
  <si>
    <t>Audit des systèmes d'information</t>
  </si>
  <si>
    <t>4A08</t>
  </si>
  <si>
    <t>Destruction ou réutilisation d'équipements ou medias</t>
  </si>
  <si>
    <t>4B02</t>
  </si>
  <si>
    <t>E  - Gestion des supports informatiques de données et programmes</t>
  </si>
  <si>
    <t>4E02</t>
  </si>
  <si>
    <t>Destruction des medias</t>
  </si>
  <si>
    <t>4E04</t>
  </si>
  <si>
    <t>4E03</t>
  </si>
  <si>
    <t>4C04</t>
  </si>
  <si>
    <t>Plans de Reprise d'Activité de l'infrastructure informatique et des systèmes</t>
  </si>
  <si>
    <t>Plans de Reprise d'Activité de l'infrastructure informatique externalisée</t>
  </si>
  <si>
    <t>D - Gestion et traitement des incidents</t>
  </si>
  <si>
    <t>4D01</t>
  </si>
  <si>
    <t>F - Gestion des archives informatiques</t>
  </si>
  <si>
    <t>A - Contrôle de l'intégrité des données</t>
  </si>
  <si>
    <t>5A01</t>
  </si>
  <si>
    <t>5A02</t>
  </si>
  <si>
    <t>Contrôles permanents  (vraisemblance, ...) sur les données et traitements</t>
  </si>
  <si>
    <t>C - Disponibilité des données</t>
  </si>
  <si>
    <t>Plan de continuité des services externalisés</t>
  </si>
  <si>
    <t>Continuité de la sécurité de l'information dans les plans de continuité de l'activité</t>
  </si>
  <si>
    <t>E - Contrôle de l'émission et de la réception de données</t>
  </si>
  <si>
    <t>5E01</t>
  </si>
  <si>
    <t>5E02</t>
  </si>
  <si>
    <t>5E03</t>
  </si>
  <si>
    <t>7A01</t>
  </si>
  <si>
    <t>Analyse et spécification des exigences de sécurité de l'information</t>
  </si>
  <si>
    <t>7A02</t>
  </si>
  <si>
    <t>Sécurisation des services applicatifs utilisant des réseaux publics</t>
  </si>
  <si>
    <t>7A03</t>
  </si>
  <si>
    <t>Protection des transactions des services applicatifs</t>
  </si>
  <si>
    <t>7B01</t>
  </si>
  <si>
    <t>Politique de développement sécurisé</t>
  </si>
  <si>
    <t>7B02</t>
  </si>
  <si>
    <t>Procédures de contrôles des changements</t>
  </si>
  <si>
    <t>7B03</t>
  </si>
  <si>
    <t>7B04</t>
  </si>
  <si>
    <t>Restrictions aux changements de packages logiciels</t>
  </si>
  <si>
    <t>7B05</t>
  </si>
  <si>
    <t>7B06</t>
  </si>
  <si>
    <t>Environnement de développement sécurisé</t>
  </si>
  <si>
    <t>7B07</t>
  </si>
  <si>
    <t>Développement externalisé</t>
  </si>
  <si>
    <t>7B08</t>
  </si>
  <si>
    <t>7B09</t>
  </si>
  <si>
    <t>Protection des données de test</t>
  </si>
  <si>
    <t>A - Protection des postes de travail</t>
  </si>
  <si>
    <t>B - Protection des données du poste de travail</t>
  </si>
  <si>
    <t>6B05</t>
  </si>
  <si>
    <t>A Conformité aux exigences légales et contractuelles</t>
  </si>
  <si>
    <t>8A01</t>
  </si>
  <si>
    <t>Identification des exigences légales et contractuelles applicables</t>
  </si>
  <si>
    <t>8A02</t>
  </si>
  <si>
    <t>8A03</t>
  </si>
  <si>
    <t>Protection des enregistrements</t>
  </si>
  <si>
    <t>8A04</t>
  </si>
  <si>
    <t>Protection de l'information privée</t>
  </si>
  <si>
    <t>8A05</t>
  </si>
  <si>
    <t>Utilisation de procédés cryptologiques</t>
  </si>
  <si>
    <t>B Revue de la sécurité de l'information</t>
  </si>
  <si>
    <t>8B01</t>
  </si>
  <si>
    <t>8B02</t>
  </si>
  <si>
    <t>Conformité avec les politiques de sécurité et les standards</t>
  </si>
  <si>
    <t>8B03</t>
  </si>
  <si>
    <t>Revue des conformités techniques</t>
  </si>
  <si>
    <t>C Contrôle de l'application des procédures de conformité</t>
  </si>
  <si>
    <t>8C01</t>
  </si>
  <si>
    <t>Programme de formation et de sensibilisation aux processus de respect des exigences légales et contractuelles</t>
  </si>
  <si>
    <t>8C02</t>
  </si>
  <si>
    <t>Applicabilité des processus de respect des exigences légales et contractuelles</t>
  </si>
  <si>
    <t>8C03</t>
  </si>
  <si>
    <t>Contrôle de l'application des processus de respect des exigences légales et contractuelles</t>
  </si>
  <si>
    <t>3A07</t>
  </si>
  <si>
    <t>3A08</t>
  </si>
  <si>
    <t>Contrôle des accès privilégiés</t>
  </si>
  <si>
    <t>Protection des états imprimés sensibles</t>
  </si>
  <si>
    <t>4A13</t>
  </si>
  <si>
    <t>4A14</t>
  </si>
  <si>
    <t>Accès aux programmes sources</t>
  </si>
  <si>
    <t>4D02</t>
  </si>
  <si>
    <t>Gestion et traitement des incidents de sécurité</t>
  </si>
  <si>
    <t xml:space="preserve">Protection de l'intégrité des données applicatives échangées </t>
  </si>
  <si>
    <t xml:space="preserve">E - Continuité de l'activité </t>
  </si>
  <si>
    <t>Utilisation des programmes privilégiés</t>
  </si>
  <si>
    <t>Sécurité physique des medias</t>
  </si>
  <si>
    <t>4E05</t>
  </si>
  <si>
    <t>Inaccessibilité</t>
  </si>
  <si>
    <t>Responsabilité de la Direction</t>
  </si>
  <si>
    <t>Protection de la confidentialité de données externalisées</t>
  </si>
  <si>
    <t xml:space="preserve">Protection de l'intégrité des échanges lors des accès aux services externalisés
</t>
  </si>
  <si>
    <t>F - Contrôle de l'intégrité des données externalisées</t>
  </si>
  <si>
    <t>5F01</t>
  </si>
  <si>
    <t>5F02</t>
  </si>
  <si>
    <t>G - Contrôle de la confidentialité des données externalisées</t>
  </si>
  <si>
    <t>5G01</t>
  </si>
  <si>
    <t>5G02</t>
  </si>
  <si>
    <t>Sûreté de fonctionnement des éléments d'architecture des services externalisés</t>
  </si>
  <si>
    <t xml:space="preserve">Chiffrement des échanges de données applicatives </t>
  </si>
  <si>
    <t>Chiffrement des données applicatives stockées</t>
  </si>
  <si>
    <t>2B05</t>
  </si>
  <si>
    <t>Sécurisation générale des bureaux et locaux sensibles</t>
  </si>
  <si>
    <t>Test des systèmes</t>
  </si>
  <si>
    <t>Protection de l'intégrité des fichiers de données sensibles externalisés</t>
  </si>
  <si>
    <t>Protection de l'intégrité des fichiers de données applicatives sensibles</t>
  </si>
  <si>
    <t>Contrôle de l'application de la politique relative à la Communication financière</t>
  </si>
  <si>
    <t>6B06</t>
  </si>
  <si>
    <t>Sauvegarde des courriels émis ou reçus sur les serveurs de l'entreprise</t>
  </si>
  <si>
    <t>6C01</t>
  </si>
  <si>
    <t>Politique relative à l'utilisation d'appareils personnels</t>
  </si>
  <si>
    <t>6C02</t>
  </si>
  <si>
    <t>Dispositifs de sécurité relatifs aux appareils mobiles personnels</t>
  </si>
  <si>
    <t>C - Utilisation d'équipement personnel</t>
  </si>
  <si>
    <t>INCIDENT</t>
  </si>
  <si>
    <t xml:space="preserve">Protection de la confidentialité des échanges, lors de l'utilisation des services externalisés
</t>
  </si>
  <si>
    <t xml:space="preserve"> MEHARI EXPERT</t>
  </si>
  <si>
    <t>MEHARI PRO</t>
  </si>
  <si>
    <t>A - Rôles et structures de la sécurité</t>
  </si>
  <si>
    <t>01A01</t>
  </si>
  <si>
    <t>Organisation du management et du pilotage de la sécurité générale</t>
  </si>
  <si>
    <t>01A02</t>
  </si>
  <si>
    <t>Ségrégation des réseaux</t>
  </si>
  <si>
    <t>01A03</t>
  </si>
  <si>
    <t>01A04</t>
  </si>
  <si>
    <t>Organisation des audits et du plan d'audit</t>
  </si>
  <si>
    <t>01A05</t>
  </si>
  <si>
    <t>Gestion de crise liée à la sécurité de l'information</t>
  </si>
  <si>
    <t>B - Référentiel de sécurité</t>
  </si>
  <si>
    <t>01B01</t>
  </si>
  <si>
    <t>Devoirs et responsabilités du personnel et du management</t>
  </si>
  <si>
    <t>01B02</t>
  </si>
  <si>
    <t>Directives générales relatives à la protection de l'information</t>
  </si>
  <si>
    <t>01B03</t>
  </si>
  <si>
    <t>Classification les ressources</t>
  </si>
  <si>
    <t>01B04</t>
  </si>
  <si>
    <t>01B05</t>
  </si>
  <si>
    <t>Protection des actifs ayant valeur de preuve</t>
  </si>
  <si>
    <t>01C01</t>
  </si>
  <si>
    <t>01C02</t>
  </si>
  <si>
    <t>Prise en compte de la sécurité dans les relations avec le personnel informatique (salariés et prestataires)</t>
  </si>
  <si>
    <t>01C03</t>
  </si>
  <si>
    <t>Procédure d'habilitation du personnel</t>
  </si>
  <si>
    <t>01C04</t>
  </si>
  <si>
    <t>01C05</t>
  </si>
  <si>
    <t>Gestion des tierces parties</t>
  </si>
  <si>
    <t>01C06</t>
  </si>
  <si>
    <t>Enregistrement des personnes</t>
  </si>
  <si>
    <t xml:space="preserve">D - Assurances </t>
  </si>
  <si>
    <t>01D01</t>
  </si>
  <si>
    <t>Assurance des dommages matériels</t>
  </si>
  <si>
    <t>01D02</t>
  </si>
  <si>
    <t>Assurance des dommages immatériels</t>
  </si>
  <si>
    <t>01D03</t>
  </si>
  <si>
    <t>Assurance RC</t>
  </si>
  <si>
    <t>01D04</t>
  </si>
  <si>
    <t>Assurance Perte de Personnages clés</t>
  </si>
  <si>
    <t>01D05</t>
  </si>
  <si>
    <t>Gestion des contrats d'assurance</t>
  </si>
  <si>
    <t>E - Continuité de l'activité</t>
  </si>
  <si>
    <t>Report des services de continuité d'activité dans le même domaine que la sécurité applicative, domaine renommé sécurité applicative et continuité de l'activité</t>
  </si>
  <si>
    <t>01E01</t>
  </si>
  <si>
    <t>Prise en compte des besoins de continuité de l'activité</t>
  </si>
  <si>
    <t>01E02</t>
  </si>
  <si>
    <t>01E03</t>
  </si>
  <si>
    <t>02 Sécurité physique et environnementale (des sites, bâtiments et locaux)</t>
  </si>
  <si>
    <t>A - Contrôle d'accès physique au site et aux bâtiments</t>
  </si>
  <si>
    <t>02A01</t>
  </si>
  <si>
    <t>Gestion des droits d'accès au site ou à l'immeuble</t>
  </si>
  <si>
    <t>regroupé avec 2A01</t>
  </si>
  <si>
    <t>02A02</t>
  </si>
  <si>
    <t>Gestion des autorisations d'accès au site ou à l'immeuble</t>
  </si>
  <si>
    <t>02A03</t>
  </si>
  <si>
    <t>Contrôle d'accès au site ou à l'immeuble</t>
  </si>
  <si>
    <t>02A04</t>
  </si>
  <si>
    <t>02A05</t>
  </si>
  <si>
    <t>Accès aux zones de déchargement ou chargement</t>
  </si>
  <si>
    <t>B - Protection contre les risques environnementaux divers</t>
  </si>
  <si>
    <t>A - Protection contre les risques environnementaux divers</t>
  </si>
  <si>
    <t>02B01</t>
  </si>
  <si>
    <t>C - Contrôle  des accès aux zones de bureaux</t>
  </si>
  <si>
    <t>02C01</t>
  </si>
  <si>
    <t>Partitionnement des zones de bureaux en zones protégées</t>
  </si>
  <si>
    <t>regroupé avec suivant</t>
  </si>
  <si>
    <t>02C02</t>
  </si>
  <si>
    <t>Contrôle d'accès physique aux zones de bureaux protégées</t>
  </si>
  <si>
    <t>02C03</t>
  </si>
  <si>
    <t>Gestion des autorisations d'accès aux zones de bureaux protégées</t>
  </si>
  <si>
    <t>regroupé avec précédent</t>
  </si>
  <si>
    <t>02C04</t>
  </si>
  <si>
    <t>02C05</t>
  </si>
  <si>
    <t>02C06</t>
  </si>
  <si>
    <t>D - Protection de l'information écrite</t>
  </si>
  <si>
    <t>02D01</t>
  </si>
  <si>
    <t>Conservation et protection des documents courants importants</t>
  </si>
  <si>
    <t>02D02</t>
  </si>
  <si>
    <t>Protection des documents et supports amovibles</t>
  </si>
  <si>
    <t>02D03</t>
  </si>
  <si>
    <t>02D04</t>
  </si>
  <si>
    <t>Sécurité du courrier</t>
  </si>
  <si>
    <t>02D05</t>
  </si>
  <si>
    <t xml:space="preserve">Sécurité des télécopies </t>
  </si>
  <si>
    <t>02D06</t>
  </si>
  <si>
    <t xml:space="preserve">Conservation et protection des pièces originales et éléments de preuve </t>
  </si>
  <si>
    <t>02D07</t>
  </si>
  <si>
    <t>03A01</t>
  </si>
  <si>
    <t xml:space="preserve">Qualité de la fourniture de l'énergie </t>
  </si>
  <si>
    <t>03A02</t>
  </si>
  <si>
    <t>03A03</t>
  </si>
  <si>
    <t>Sécurité de la climatisation</t>
  </si>
  <si>
    <t>03A04</t>
  </si>
  <si>
    <t>Qualité du câblage</t>
  </si>
  <si>
    <t>03A05</t>
  </si>
  <si>
    <t>Protection contre la foudre</t>
  </si>
  <si>
    <t>03A06</t>
  </si>
  <si>
    <t>B - Contrôle d'accès aux locaux sensibles</t>
  </si>
  <si>
    <t>03B01</t>
  </si>
  <si>
    <t>Gestion des droits d'accès aux locaux sensibles</t>
  </si>
  <si>
    <t>regroupé avec 02B01</t>
  </si>
  <si>
    <t>03B02</t>
  </si>
  <si>
    <t>Gestion des autorisations d'accès aux locaux sensibles</t>
  </si>
  <si>
    <t>03B03</t>
  </si>
  <si>
    <t>03B04</t>
  </si>
  <si>
    <t>03B05</t>
  </si>
  <si>
    <t>Surveillance périmétrique (surveillance des issues et des abords immédiats des locaux sensibles)</t>
  </si>
  <si>
    <t>supprimé</t>
  </si>
  <si>
    <t>03B06</t>
  </si>
  <si>
    <t>03B07</t>
  </si>
  <si>
    <t>Contrôle d'accès au câblage</t>
  </si>
  <si>
    <t>03B08</t>
  </si>
  <si>
    <t>Localisation des locaux sensibles</t>
  </si>
  <si>
    <t>C - Sécurité contre les dégâts des eaux</t>
  </si>
  <si>
    <t>03C01</t>
  </si>
  <si>
    <t>Prévention des risques de dégâts des eaux</t>
  </si>
  <si>
    <t>regroupé avec risques environnementaux divers (2A01)</t>
  </si>
  <si>
    <t>03C02</t>
  </si>
  <si>
    <t>Détection des dégâts des eaux</t>
  </si>
  <si>
    <t>03C03</t>
  </si>
  <si>
    <t>Évacuation de l'eau</t>
  </si>
  <si>
    <t>D - Sécurité incendie</t>
  </si>
  <si>
    <t>03D01</t>
  </si>
  <si>
    <t>Prévention des risques d'incendie</t>
  </si>
  <si>
    <t>03D02</t>
  </si>
  <si>
    <t>Détection d'incendie</t>
  </si>
  <si>
    <t>03D03</t>
  </si>
  <si>
    <t>Extinction d'incendie</t>
  </si>
  <si>
    <t>A - Sécurité de l'architecture réseau et continuité du service</t>
  </si>
  <si>
    <t>04A01</t>
  </si>
  <si>
    <t xml:space="preserve">Sûreté de fonctionnement des éléments d'architecture du réseau étendu </t>
  </si>
  <si>
    <t>04A02</t>
  </si>
  <si>
    <t>Organisation de la maintenance des équipements du réseau étendu</t>
  </si>
  <si>
    <t>04A03</t>
  </si>
  <si>
    <t>Procédures et plans de reprise du réseau étendu sur incidents</t>
  </si>
  <si>
    <t>04A04</t>
  </si>
  <si>
    <t xml:space="preserve">Plan de sauvegarde des configurations du réseau étendu </t>
  </si>
  <si>
    <t>04A05</t>
  </si>
  <si>
    <t>Plan de Reprise d'Activité (PRA) du réseau étendu</t>
  </si>
  <si>
    <t>04A06</t>
  </si>
  <si>
    <t>Gestion des fournisseurs critiques vis-à-vis de la permanence de la maintenance</t>
  </si>
  <si>
    <t>B - Contrôle des connexions sur le réseau étendu</t>
  </si>
  <si>
    <t>04B01</t>
  </si>
  <si>
    <t>Profils de sécurité des entités connectées au réseau étendu</t>
  </si>
  <si>
    <t>04B02</t>
  </si>
  <si>
    <t>Authentification de l'entité accédante lors des accès entrants depuis le réseau étendu</t>
  </si>
  <si>
    <t>04B03</t>
  </si>
  <si>
    <t>Authentification de l'entité accédée lors des accès sortants vers d'autres entités par le réseau étendu</t>
  </si>
  <si>
    <t>C - Sécurité des données lors des échanges et des communications</t>
  </si>
  <si>
    <t>04C01</t>
  </si>
  <si>
    <t>Chiffrement des échanges sur le réseau étendu</t>
  </si>
  <si>
    <t>04C02</t>
  </si>
  <si>
    <t>Contrôle de l'intégrité des échanges sur le réseau étendu</t>
  </si>
  <si>
    <t>D - Contrôle, détection et traitement des incidents sur le réseau étendu</t>
  </si>
  <si>
    <t>04D01</t>
  </si>
  <si>
    <t>Surveillance (en temps réel) du réseau étendu</t>
  </si>
  <si>
    <t>regroupé avec  systèmes en 4A10</t>
  </si>
  <si>
    <t>04D02</t>
  </si>
  <si>
    <t>Analyse (en temps différé) des traces, logs et journaux d'événements sur le réseau étendu</t>
  </si>
  <si>
    <t>regroupé avec  systèmes en 4A11</t>
  </si>
  <si>
    <t>04D03</t>
  </si>
  <si>
    <t>Traitement des incidents du réseau étendu</t>
  </si>
  <si>
    <t>A - Sécurité de l'architecture du réseau local</t>
  </si>
  <si>
    <t>05A01</t>
  </si>
  <si>
    <t>Partitionnement du réseau local en domaines de sécurité</t>
  </si>
  <si>
    <t>05A02</t>
  </si>
  <si>
    <t>Sûreté de fonctionnement des éléments d'architecture du réseau local</t>
  </si>
  <si>
    <t>05A03</t>
  </si>
  <si>
    <t>Organisation de la maintenance des équipements du réseau local</t>
  </si>
  <si>
    <t>05A04</t>
  </si>
  <si>
    <t>Procédures et plans de reprise du réseau local sur incidents</t>
  </si>
  <si>
    <t>05A05</t>
  </si>
  <si>
    <t>Plan de sauvegarde des configurations du réseau local</t>
  </si>
  <si>
    <t>05A06</t>
  </si>
  <si>
    <t>Plan de Reprise d'Activité (PRA) du réseau local</t>
  </si>
  <si>
    <t>05A07</t>
  </si>
  <si>
    <t>B - Contrôles d'accès sur le réseau local de "données"</t>
  </si>
  <si>
    <t>05B01</t>
  </si>
  <si>
    <t>Gestion des profils d'accès au réseau local de données</t>
  </si>
  <si>
    <t>05B02</t>
  </si>
  <si>
    <t>Gestion des autorisations d'accès et privilèges (attribution, délégation, retrait)</t>
  </si>
  <si>
    <t>05B03</t>
  </si>
  <si>
    <t xml:space="preserve">Authentification de l'accédant lors des accès au réseau local depuis un point d'accès interne
Ce mécanisme correspond à l'authentification réalisée sous Windows par un contrôleur de domaine </t>
  </si>
  <si>
    <t>05B04</t>
  </si>
  <si>
    <t>Authentification de l'accédant lors des accès au réseau local depuis un site distant via le réseau étendu</t>
  </si>
  <si>
    <t>05B05</t>
  </si>
  <si>
    <t xml:space="preserve">Authentification de l'accédant lors des accès au réseau local depuis l'extérieur
(depuis le Réseau Téléphonique Commuté, X25, RNIS, ADSL, Internet, etc.) </t>
  </si>
  <si>
    <t>05B06</t>
  </si>
  <si>
    <t>Authentification de l'accédant lors des accès au réseau local depuis un sous-réseau WiFi</t>
  </si>
  <si>
    <t>05B07</t>
  </si>
  <si>
    <t>Filtrage général des accès au réseau local</t>
  </si>
  <si>
    <t>05B08</t>
  </si>
  <si>
    <t>Contrôle du routage des accès sortants</t>
  </si>
  <si>
    <t>05B09</t>
  </si>
  <si>
    <t>Authentification de l'entité accédée lors des accès sortants vers des sites sensibles</t>
  </si>
  <si>
    <t>C - Sécurité des données lors des échanges et des communications sur le réseau local</t>
  </si>
  <si>
    <t>05C01</t>
  </si>
  <si>
    <t>Chiffrement des échanges sur le réseau local</t>
  </si>
  <si>
    <t>regroupé avec 5B01</t>
  </si>
  <si>
    <t>05C02</t>
  </si>
  <si>
    <t>Protection de l'intégrité des échanges sur le réseau local</t>
  </si>
  <si>
    <t>regroupé avec 5A01</t>
  </si>
  <si>
    <t>05C03</t>
  </si>
  <si>
    <t xml:space="preserve">Chiffrement des échanges lors des accès distants au réseau local
</t>
  </si>
  <si>
    <t>05C04</t>
  </si>
  <si>
    <t>Protection de l'intégrité des échanges lors des accès distants au réseau local</t>
  </si>
  <si>
    <t>D - Contrôle, détection et traitement des incidents du réseau local</t>
  </si>
  <si>
    <t>05D01</t>
  </si>
  <si>
    <t>Surveillance (en temps réel) du réseau local</t>
  </si>
  <si>
    <t>05D02</t>
  </si>
  <si>
    <t>Analyse (en temps différé) des traces, logs et journaux d'événements sur le réseau local</t>
  </si>
  <si>
    <t>05D03</t>
  </si>
  <si>
    <t>Traitement des incidents du réseau local</t>
  </si>
  <si>
    <t>06A01</t>
  </si>
  <si>
    <t>Prise en compte de la sécurité dans les relations avec le personnel d'exploitation (salariés et prestataires)</t>
  </si>
  <si>
    <t>06A02</t>
  </si>
  <si>
    <t>Contrôle de la mise en production de nouveaux logiciels ou matériels ou d'évolutions de logiciels ou matériels</t>
  </si>
  <si>
    <t>06A03</t>
  </si>
  <si>
    <t>06A04</t>
  </si>
  <si>
    <t xml:space="preserve">Contrôle de la télémaintenance </t>
  </si>
  <si>
    <t>06A05</t>
  </si>
  <si>
    <t>Gestion des procédures opérationnelles d'exploitation des réseaux</t>
  </si>
  <si>
    <t>06A06</t>
  </si>
  <si>
    <t>Gestion des prestataires de services liés aux réseaux</t>
  </si>
  <si>
    <t>06A07</t>
  </si>
  <si>
    <t>Prise en compte de la confidentialité lors des opérations de maintenance sur les équipements de réseau</t>
  </si>
  <si>
    <t>06A08</t>
  </si>
  <si>
    <t>Gestion des contrats de services réseaux</t>
  </si>
  <si>
    <t>B - Paramétrage et contrôle des configurations matérielles et logicielles</t>
  </si>
  <si>
    <t>06B01</t>
  </si>
  <si>
    <t xml:space="preserve">Paramétrage des équipements de réseau et contrôle de la conformité des configurations </t>
  </si>
  <si>
    <t>06B02</t>
  </si>
  <si>
    <t>Contrôle de la conformité des configurations utilisateurs</t>
  </si>
  <si>
    <t>C - Contrôle des droits d'administration</t>
  </si>
  <si>
    <t>06C01</t>
  </si>
  <si>
    <t xml:space="preserve">Gestion des droits privilégiés sur les équipements de réseau </t>
  </si>
  <si>
    <t>regroupé avec contrôle d'accès en 3A02</t>
  </si>
  <si>
    <t>06C02</t>
  </si>
  <si>
    <t>Authentification des administrateurs et personnels d'exploitation</t>
  </si>
  <si>
    <t>regroupé avec contrôle d'accès en 3A04</t>
  </si>
  <si>
    <t>06C03</t>
  </si>
  <si>
    <t>Surveillance des actions d'administration des réseaux</t>
  </si>
  <si>
    <t>06C04</t>
  </si>
  <si>
    <t>Contrôle des outils et utilitaires de l'exploitation</t>
  </si>
  <si>
    <t>D - Procédures d'audit et de contrôle des réseaux</t>
  </si>
  <si>
    <t>06D01</t>
  </si>
  <si>
    <t>Fonctionnement des contrôles d'audit</t>
  </si>
  <si>
    <t>06D02</t>
  </si>
  <si>
    <t>Protection des outils et résultats d'audit</t>
  </si>
  <si>
    <t>07A01</t>
  </si>
  <si>
    <t>Gestion des profils d'accès (droits et privilèges accordés en fonction des profils de fonction)</t>
  </si>
  <si>
    <t>Contrôle des accès aux systèmes, aplications et données (gestion des droits, authentification et filtrage)</t>
  </si>
  <si>
    <t>07A02</t>
  </si>
  <si>
    <t>07A03</t>
  </si>
  <si>
    <t>Authentification de l'accédant</t>
  </si>
  <si>
    <t>07A04</t>
  </si>
  <si>
    <t>Filtrage des accès et gestion des associations</t>
  </si>
  <si>
    <t>07A05</t>
  </si>
  <si>
    <t>Authentification du serveur lors des accès à des serveurs sensibles</t>
  </si>
  <si>
    <t>B - Confinement des environnements</t>
  </si>
  <si>
    <t>07B01</t>
  </si>
  <si>
    <t>Contrôle des accès aux résidus</t>
  </si>
  <si>
    <t>C - Gestion et enregistrement des traces</t>
  </si>
  <si>
    <t>07C01</t>
  </si>
  <si>
    <t>Enregistrement des accès aux ressources sensibles</t>
  </si>
  <si>
    <t>regroupé en 4A11</t>
  </si>
  <si>
    <t>07C02</t>
  </si>
  <si>
    <t xml:space="preserve">Enregistrement des appels aux procédures privilégiées </t>
  </si>
  <si>
    <t xml:space="preserve">D - Sécurité de l'architecture </t>
  </si>
  <si>
    <t>B - Sécurité de l'architecture interne</t>
  </si>
  <si>
    <t xml:space="preserve">B - Sécurité de l'architecture </t>
  </si>
  <si>
    <t>07D01</t>
  </si>
  <si>
    <t>07D02</t>
  </si>
  <si>
    <t>Isolement des systèmes sensibles</t>
  </si>
  <si>
    <t>C - Sécurité des services externalisés (réseau étendu, Cloud, etc.)</t>
  </si>
  <si>
    <t>04 Exploitation des systèmes informatiques</t>
  </si>
  <si>
    <t>08D04</t>
  </si>
  <si>
    <t>08A01</t>
  </si>
  <si>
    <t>reporté dans domaine 1 : 1C02</t>
  </si>
  <si>
    <t>reporté dans domaine 1</t>
  </si>
  <si>
    <t>08A02</t>
  </si>
  <si>
    <t>08A03</t>
  </si>
  <si>
    <t>Contrôle de la mise en production de nouveaux systèmes ou d'évolutions de systèmes existants</t>
  </si>
  <si>
    <t>08A04</t>
  </si>
  <si>
    <t>08A05</t>
  </si>
  <si>
    <t>Prise en compte de la confidentialité lors des opérations de maintenance</t>
  </si>
  <si>
    <t>regroupé avec précéent</t>
  </si>
  <si>
    <t>Prise en compte de la confidentialité lors des opérations de maintenance (sur systèmes de production ou postes utilisateurs)</t>
  </si>
  <si>
    <t>08A06</t>
  </si>
  <si>
    <t>08A07</t>
  </si>
  <si>
    <t>08A08</t>
  </si>
  <si>
    <t>Gestion des procédures opérationnelles d'exploitation informatique</t>
  </si>
  <si>
    <t>reporté en 4A01</t>
  </si>
  <si>
    <t>08A09</t>
  </si>
  <si>
    <t>Gestion des prestataires de services liés à la production informatique</t>
  </si>
  <si>
    <t>regroupé avec 1C02</t>
  </si>
  <si>
    <t>08B01</t>
  </si>
  <si>
    <t>Paramétrage des systèmes et contrôle de la conformité des configurations systèmes</t>
  </si>
  <si>
    <t>08B02</t>
  </si>
  <si>
    <t>Contrôle de la conformité des configurations applicatives (logiciels et progiciels)</t>
  </si>
  <si>
    <t>Contrôle de la conformité des configurationset paramétrages applicatifs (logiciels et progiciels)</t>
  </si>
  <si>
    <t>08B03</t>
  </si>
  <si>
    <t>Contrôle de la conformité des programmes de référence (Sources et exécutables)</t>
  </si>
  <si>
    <t>C - Gestion des supports informatiques de données et programmes</t>
  </si>
  <si>
    <t>B  - Gestion des supports informatiques de données et programmes</t>
  </si>
  <si>
    <t>08C01</t>
  </si>
  <si>
    <t>Administration des supports</t>
  </si>
  <si>
    <t>regroupé avec sécurité physique des supports</t>
  </si>
  <si>
    <t>08C02</t>
  </si>
  <si>
    <t>Marquage des supports de production (vivants, sauvegardes et archives)</t>
  </si>
  <si>
    <t>08C03</t>
  </si>
  <si>
    <t xml:space="preserve">Sécurité physique des supports stockés sur site </t>
  </si>
  <si>
    <t xml:space="preserve">Sécurité physique des supports </t>
  </si>
  <si>
    <t>08C04</t>
  </si>
  <si>
    <t>Sécurité physique des supports externalisés (stockés sur un site externe)</t>
  </si>
  <si>
    <t>regroupé avec gestion des supports</t>
  </si>
  <si>
    <t>08C05</t>
  </si>
  <si>
    <t>Vérification et rotation des supports d'archivage</t>
  </si>
  <si>
    <t>08C06</t>
  </si>
  <si>
    <t>08C07</t>
  </si>
  <si>
    <t>08D01</t>
  </si>
  <si>
    <t xml:space="preserve">Organisation de la maintenance du matériel </t>
  </si>
  <si>
    <t>Organisation de la maintenance des systèmes informatiques (matériel et logiciel) et des équipements de réseaux</t>
  </si>
  <si>
    <t>Organisation de la maintenance des systèmes informatiques (matériel et logiciel)</t>
  </si>
  <si>
    <t>08D02</t>
  </si>
  <si>
    <t>Organisation de la maintenance du logiciel (système, middleware et progiciel applicatif)</t>
  </si>
  <si>
    <t>08D03</t>
  </si>
  <si>
    <t>Sauvegarde des configurations logicielles (logiciels de base et applicatifs et paramètres de configuration)</t>
  </si>
  <si>
    <t>08D05</t>
  </si>
  <si>
    <t>Sauvegarde des données applicatives</t>
  </si>
  <si>
    <t>Sauvegarde des données informatiques</t>
  </si>
  <si>
    <t>08D06</t>
  </si>
  <si>
    <t>Plans de Reprise d'Activité</t>
  </si>
  <si>
    <t>08D07</t>
  </si>
  <si>
    <t>Protection antivirale des serveurs de production</t>
  </si>
  <si>
    <t>reporté en 4A02</t>
  </si>
  <si>
    <t>Protection antivirale des serveurs et des postes de travail</t>
  </si>
  <si>
    <t>08D08</t>
  </si>
  <si>
    <t>Gestion des systèmes critiques (vis-à-vis de la permanence de la maintenance)</t>
  </si>
  <si>
    <t>08D09</t>
  </si>
  <si>
    <t>Sauvegardes de recours externalisées</t>
  </si>
  <si>
    <t>regroupé avec sauvegardes</t>
  </si>
  <si>
    <t>08D10</t>
  </si>
  <si>
    <t>4C07</t>
  </si>
  <si>
    <t>E - Gestion et traitement des incidents</t>
  </si>
  <si>
    <t>08E01</t>
  </si>
  <si>
    <t>Détection et traitement (en temps réel) des anomalies et incidents</t>
  </si>
  <si>
    <t>repotré en 4A10</t>
  </si>
  <si>
    <t>08E02</t>
  </si>
  <si>
    <t>Surveillance, en temps différé, des traces, logs et journaux</t>
  </si>
  <si>
    <t>repotré en 4A11</t>
  </si>
  <si>
    <t>08E03</t>
  </si>
  <si>
    <t>F - Contrôle des droits d'administration</t>
  </si>
  <si>
    <t>08F01</t>
  </si>
  <si>
    <t>Gestion des attributions de droits privilégiés sur les systèmes (droits d'administrateur)</t>
  </si>
  <si>
    <t>Gestion des autorisations d'accès privilégiés (droits d'administrateur)</t>
  </si>
  <si>
    <t>regroupé avec contrôle d'accès</t>
  </si>
  <si>
    <t>08F02</t>
  </si>
  <si>
    <t>08F03</t>
  </si>
  <si>
    <t>Surveillance des actions d'administration des systèmes</t>
  </si>
  <si>
    <t>Surveillance des actions effectuées avec des accès privilégiés</t>
  </si>
  <si>
    <t>G - Procédures d'audit et de contrôle des systèmes de traitement de l'information</t>
  </si>
  <si>
    <t>08G01</t>
  </si>
  <si>
    <t>08G02</t>
  </si>
  <si>
    <t>H - Gestion des archives informatiques</t>
  </si>
  <si>
    <t>08H01</t>
  </si>
  <si>
    <t>Organisation de gestion des archives informatiques</t>
  </si>
  <si>
    <t>08H02</t>
  </si>
  <si>
    <t>08H03</t>
  </si>
  <si>
    <t>Gestion de la sécurité des archives</t>
  </si>
  <si>
    <t>05 Sécurité applicative et continuité de l'activité</t>
  </si>
  <si>
    <t>A - Contrôle d'accès applicatif</t>
  </si>
  <si>
    <t>regroupé avec contrôle d'accès systèmes et applis</t>
  </si>
  <si>
    <t>09A01</t>
  </si>
  <si>
    <t>Gestion des profils d'accès aux données applicatives</t>
  </si>
  <si>
    <t>09A02</t>
  </si>
  <si>
    <t>Gestion des autorisations d'accès aux données applicatives (attribution, délégation, retrait)</t>
  </si>
  <si>
    <t>09A03</t>
  </si>
  <si>
    <t>09A04</t>
  </si>
  <si>
    <t>09A05</t>
  </si>
  <si>
    <t>Authentification de l'application lors des accès à des applications sensibles</t>
  </si>
  <si>
    <t>B - Contrôle de l'intégrité des données</t>
  </si>
  <si>
    <t>09B01</t>
  </si>
  <si>
    <t>Scellement des données sensibles</t>
  </si>
  <si>
    <t>09B02</t>
  </si>
  <si>
    <t xml:space="preserve">Protection de l'intégrité des données échangées </t>
  </si>
  <si>
    <t>09B03</t>
  </si>
  <si>
    <t>09B04</t>
  </si>
  <si>
    <t>09B05</t>
  </si>
  <si>
    <t>Contrôles permanents  (vraisemblance, ...) sur les traitements</t>
  </si>
  <si>
    <t>C - Contrôle de la confidentialité des données</t>
  </si>
  <si>
    <t>B- Contrôle de la confidentialité des données</t>
  </si>
  <si>
    <t>09C01</t>
  </si>
  <si>
    <t>Chiffrement des échanges (ponctuel ou en totalité)</t>
  </si>
  <si>
    <t>09C02</t>
  </si>
  <si>
    <t>Chiffrement des données stockées</t>
  </si>
  <si>
    <t>09C03</t>
  </si>
  <si>
    <t xml:space="preserve">Dispositif anti-rayonnement </t>
  </si>
  <si>
    <t>D - Disponibilité des données</t>
  </si>
  <si>
    <t>09D01</t>
  </si>
  <si>
    <t>09D02</t>
  </si>
  <si>
    <t>Gestion des moyens d'accès aux données applicatives</t>
  </si>
  <si>
    <t xml:space="preserve">Gestion des moyens d'accès aux données </t>
  </si>
  <si>
    <t>E - Continuité de fonctionnement</t>
  </si>
  <si>
    <t>09E01</t>
  </si>
  <si>
    <t>Reconfiguration matérielle</t>
  </si>
  <si>
    <t>09E02</t>
  </si>
  <si>
    <t>09E03</t>
  </si>
  <si>
    <t>Gestion des applications critiques (vis-à-vis de la permanence de la maintenance)</t>
  </si>
  <si>
    <t>regroupé avec systèmes en 4C06</t>
  </si>
  <si>
    <t>F - Contrôle de l'émission et de la réception de données</t>
  </si>
  <si>
    <t>09F01</t>
  </si>
  <si>
    <t>09F02</t>
  </si>
  <si>
    <t>09F03</t>
  </si>
  <si>
    <t>G - Détection et gestion des incidents et anomalies applicatifs</t>
  </si>
  <si>
    <t>09G01</t>
  </si>
  <si>
    <t>Détection des anomalies applicatives</t>
  </si>
  <si>
    <t>H - Commerce électronique</t>
  </si>
  <si>
    <t>09H01</t>
  </si>
  <si>
    <t>Sécurité des sites de commerce électroniques</t>
  </si>
  <si>
    <t>Tout modifié pour suivre l'ISO</t>
  </si>
  <si>
    <t>10A01</t>
  </si>
  <si>
    <t>Prise en compte de la sécurité dans les méthodes de développement</t>
  </si>
  <si>
    <t>10A02</t>
  </si>
  <si>
    <t>10A03</t>
  </si>
  <si>
    <t>Externalisation du développement logiciel</t>
  </si>
  <si>
    <t>10A04</t>
  </si>
  <si>
    <t>Organisation de la maintenance applicative</t>
  </si>
  <si>
    <t>10A05</t>
  </si>
  <si>
    <t>Modification des progiciels</t>
  </si>
  <si>
    <t>10B02</t>
  </si>
  <si>
    <t>Protection de la confidentialité des développements applicatifs</t>
  </si>
  <si>
    <t>10B03</t>
  </si>
  <si>
    <t>Sécurité relative aux traitements internes des applications</t>
  </si>
  <si>
    <t>A - Spécifications des exigences de sécurité des systèmes et applications</t>
  </si>
  <si>
    <t>10B01</t>
  </si>
  <si>
    <t>Sécurité des processus des développements applicatifs</t>
  </si>
  <si>
    <t>10B04</t>
  </si>
  <si>
    <t>Protection des données d'essai</t>
  </si>
  <si>
    <t>10B05</t>
  </si>
  <si>
    <t>10B06</t>
  </si>
  <si>
    <t>06 Protection des postes de travail utilisateurs (06 Mic)</t>
  </si>
  <si>
    <t>A - Sécurité des procédures d'exploitation du parc de postes utilisateurs</t>
  </si>
  <si>
    <t>11A01</t>
  </si>
  <si>
    <t>Contrôle de l'installation de nouvelles versions de progiciels ou systèmes sur les postes utilisateurs</t>
  </si>
  <si>
    <t>regroupé en 4A05</t>
  </si>
  <si>
    <t>11A02</t>
  </si>
  <si>
    <r>
      <t>Contrôle de la conformité des configurations utilisateurs</t>
    </r>
    <r>
      <rPr>
        <sz val="8"/>
        <color indexed="10"/>
        <rFont val="Arial"/>
        <family val="2"/>
      </rPr>
      <t xml:space="preserve"> </t>
    </r>
  </si>
  <si>
    <t>11A03</t>
  </si>
  <si>
    <r>
      <t>Contrôle des licences des logiciels et progiciels</t>
    </r>
    <r>
      <rPr>
        <sz val="8"/>
        <color indexed="10"/>
        <rFont val="Arial"/>
        <family val="2"/>
      </rPr>
      <t xml:space="preserve"> </t>
    </r>
  </si>
  <si>
    <t>11A04</t>
  </si>
  <si>
    <t>Contrôle de la conformité des programmes de référence (Sources et exécutables) des logiciels utilisateurs</t>
  </si>
  <si>
    <t>B - Protection des postes de travail</t>
  </si>
  <si>
    <t>11B01</t>
  </si>
  <si>
    <t>Protection du opste de travail</t>
  </si>
  <si>
    <t>11B02</t>
  </si>
  <si>
    <t>11B03</t>
  </si>
  <si>
    <t>Utilisation d'équipements personnels</t>
  </si>
  <si>
    <t>C - Protection des données du poste de travail</t>
  </si>
  <si>
    <t>11C01</t>
  </si>
  <si>
    <t>Protection de la confidentialité des données contenues dans le poste de travail ou sur un serveur de données (disque logique pour le poste de travail)</t>
  </si>
  <si>
    <t>11C02</t>
  </si>
  <si>
    <t>Protection de la confidentialité des données de l'environnement de travail personnel stockées sur support amovible</t>
  </si>
  <si>
    <t>11C03</t>
  </si>
  <si>
    <t>Prise en compte de la confidentialité lors des opérations de maintenance des postes utilisateurs</t>
  </si>
  <si>
    <t>regroupé avec les systèmes en 4A09</t>
  </si>
  <si>
    <t>regroupé avec les systèmes</t>
  </si>
  <si>
    <t>11C04</t>
  </si>
  <si>
    <t>11C05</t>
  </si>
  <si>
    <t>Sécurité de la messagerie électronique et des échanges électroniques d'information</t>
  </si>
  <si>
    <t>11C06</t>
  </si>
  <si>
    <t>D - Continuité de service de l'environnement de travail</t>
  </si>
  <si>
    <t>11D01</t>
  </si>
  <si>
    <t>Organisation de la maintenance du matériel mis à la disposition du personnel</t>
  </si>
  <si>
    <t>regroupé avec les systèmes : 4C01</t>
  </si>
  <si>
    <t>11D02</t>
  </si>
  <si>
    <t>Organisation de la maintenance du logiciel utilisateurs (système, middleware et applicatif)</t>
  </si>
  <si>
    <t>11D03</t>
  </si>
  <si>
    <t>Plans de sauvegardes des configurations utilisateurs</t>
  </si>
  <si>
    <t>regroupé avec les systèmes : 4A03</t>
  </si>
  <si>
    <t>11D04</t>
  </si>
  <si>
    <t>Plan de sauvegardes des données utilisateurs (bureautiques) stockées sur serveur de données</t>
  </si>
  <si>
    <t>11D05</t>
  </si>
  <si>
    <t>Plan de sauvegardes des données utilisateurs (bureautiques) stockées sur les postes de travail</t>
  </si>
  <si>
    <t>Sauvegarde des données utilisateurs (bureautiques) stockées sur les postes de travail</t>
  </si>
  <si>
    <t>11D06</t>
  </si>
  <si>
    <t>regroupé avec systèmes en4A02</t>
  </si>
  <si>
    <t>regroupé avec systèmes</t>
  </si>
  <si>
    <t>11D07</t>
  </si>
  <si>
    <t>Gestion des moyens nécessaires à l'accès aux données bureautiques</t>
  </si>
  <si>
    <t>regroupé avec moyens d'ccès aux données aplicatives : 5C01</t>
  </si>
  <si>
    <t>E - Contrôle des droits d'administration</t>
  </si>
  <si>
    <t>11E01</t>
  </si>
  <si>
    <t>Gestion des attributions de droits privilégiés sur les postes utilisateurs (droits d'administrateur)</t>
  </si>
  <si>
    <t>11E02</t>
  </si>
  <si>
    <t>Authentification et contrôle des droits d'accès des administrateurs et personnels d'exploitation</t>
  </si>
  <si>
    <t>11E03</t>
  </si>
  <si>
    <t>Surveillance des actions d'administration du parc de postes utilisateurs</t>
  </si>
  <si>
    <t>12A01</t>
  </si>
  <si>
    <t>12A02</t>
  </si>
  <si>
    <t>Domaine regroupé avec l'exploitation informatique</t>
  </si>
  <si>
    <t>12A03</t>
  </si>
  <si>
    <t>12A04</t>
  </si>
  <si>
    <t>12A05</t>
  </si>
  <si>
    <t>Gestion des procédures opérationnelles d'exploitation des télécommunications</t>
  </si>
  <si>
    <t>12B01</t>
  </si>
  <si>
    <t>Paramétrage des équipements et contrôle de la conformité des configurations</t>
  </si>
  <si>
    <t>12B02</t>
  </si>
  <si>
    <t>12C01</t>
  </si>
  <si>
    <t>Organisation de la maintenance des équipements</t>
  </si>
  <si>
    <t>12C02</t>
  </si>
  <si>
    <t>Organisation de la maintenance du logiciel (système et middleware)</t>
  </si>
  <si>
    <t>12C03</t>
  </si>
  <si>
    <t>Sauvegarde des configurations logicielles (logiciels de base, middleware et/ou paramètres de configuration)</t>
  </si>
  <si>
    <t>12C04</t>
  </si>
  <si>
    <t>12C05</t>
  </si>
  <si>
    <t>12D01</t>
  </si>
  <si>
    <t>D - Contrôle des droits d'administration</t>
  </si>
  <si>
    <t>12E01</t>
  </si>
  <si>
    <t>12E02</t>
  </si>
  <si>
    <t>12E03</t>
  </si>
  <si>
    <t>A - Planification du système de management</t>
  </si>
  <si>
    <t>14A01</t>
  </si>
  <si>
    <t>Définition du périmètre du SMSI</t>
  </si>
  <si>
    <t>14A02</t>
  </si>
  <si>
    <t>Définition de la politique du SMSI</t>
  </si>
  <si>
    <t>14A03</t>
  </si>
  <si>
    <t>Approche de l'analyse des risques et des métriques associées</t>
  </si>
  <si>
    <t>14A04</t>
  </si>
  <si>
    <t>Identification des risques</t>
  </si>
  <si>
    <t>14A05</t>
  </si>
  <si>
    <t>Analyse et évaluation des risques</t>
  </si>
  <si>
    <t>14A06</t>
  </si>
  <si>
    <t>Sélection des options de traitement des risques</t>
  </si>
  <si>
    <t>14A07</t>
  </si>
  <si>
    <t xml:space="preserve">Sélection des mesures de réduction des risques </t>
  </si>
  <si>
    <t>14A08</t>
  </si>
  <si>
    <t>Sélection des mesures de sécurité et construction d'une déclaration d'applicabilité</t>
  </si>
  <si>
    <t xml:space="preserve">B - Déploiement du système de management </t>
  </si>
  <si>
    <t>14B01</t>
  </si>
  <si>
    <t>Formulation d'un plan de traitement des risques</t>
  </si>
  <si>
    <t>14B02</t>
  </si>
  <si>
    <t>Mise en oeuvre du plan de traitement des risques</t>
  </si>
  <si>
    <t>14B03</t>
  </si>
  <si>
    <t>Choix et mise en place des indicateurs pour le SMSI</t>
  </si>
  <si>
    <t>14B04</t>
  </si>
  <si>
    <t>Mise en place d'un plan de formation et de sensibilisation</t>
  </si>
  <si>
    <t>14B05</t>
  </si>
  <si>
    <t>Détection et réactions aux incidents</t>
  </si>
  <si>
    <t>C - Mise sous Contrôle du système de management</t>
  </si>
  <si>
    <t>14C01</t>
  </si>
  <si>
    <t>Contrôle de l'exécution des procédures et des mesures de sécurité</t>
  </si>
  <si>
    <t>14C02</t>
  </si>
  <si>
    <t>Pilotage du programme d'audit</t>
  </si>
  <si>
    <t>14C03</t>
  </si>
  <si>
    <t xml:space="preserve">Revue des risques et des mesures de sécurité </t>
  </si>
  <si>
    <t>D - Amélioration du système de management</t>
  </si>
  <si>
    <t>14D01</t>
  </si>
  <si>
    <r>
      <t xml:space="preserve">Amélioration continue </t>
    </r>
    <r>
      <rPr>
        <i/>
        <strike/>
        <sz val="9"/>
        <color indexed="12"/>
        <rFont val="Arial Narrow"/>
        <family val="2"/>
      </rPr>
      <t/>
    </r>
  </si>
  <si>
    <t>14D02</t>
  </si>
  <si>
    <t>Actions de correction des non-conformités</t>
  </si>
  <si>
    <t>14D03</t>
  </si>
  <si>
    <t>Actions de prévention des non-conformités</t>
  </si>
  <si>
    <t>14D04</t>
  </si>
  <si>
    <t>Communication vers les parties prenantes</t>
  </si>
  <si>
    <t>E - Documentation</t>
  </si>
  <si>
    <t>14E01</t>
  </si>
  <si>
    <t>Gestion de la documentation</t>
  </si>
  <si>
    <t>14E02</t>
  </si>
  <si>
    <t>Approbation des documents</t>
  </si>
  <si>
    <t>14E03</t>
  </si>
  <si>
    <t>Mises à jour</t>
  </si>
  <si>
    <t>14E04</t>
  </si>
  <si>
    <t>Identification et gestion des versions des documents</t>
  </si>
  <si>
    <t>14E05</t>
  </si>
  <si>
    <t>Mise à disposition de la documentation</t>
  </si>
  <si>
    <t>14E06</t>
  </si>
  <si>
    <t>Retrait des documents qui ne sont plus valides</t>
  </si>
  <si>
    <t xml:space="preserve"> MEHARI STANDARD</t>
  </si>
  <si>
    <t>Correspondance entre les services des différentes versions de Méhari</t>
  </si>
  <si>
    <t>incorporé dans 1A01</t>
  </si>
  <si>
    <t>Conservation et protection des documents et supports amovibles importants</t>
  </si>
  <si>
    <t xml:space="preserve">Conservation et protection des documents et supports amovibles importants </t>
  </si>
  <si>
    <t>A - Services techniques</t>
  </si>
  <si>
    <t>regroupé avec  systèmes en 5B01</t>
  </si>
  <si>
    <t>regroupé avec  systèmes en 5A01</t>
  </si>
  <si>
    <t>regroupé avec système en 4C01</t>
  </si>
  <si>
    <t>regroupé avec système en 4C02</t>
  </si>
  <si>
    <t>regroupé avec système en 4A03</t>
  </si>
  <si>
    <t>regroupé avec système en 4C03</t>
  </si>
  <si>
    <t>regroupé avec système en 4C06</t>
  </si>
  <si>
    <t xml:space="preserve">regroupé avec système en 3A02 </t>
  </si>
  <si>
    <t xml:space="preserve">regroupé avec système en 3A04 </t>
  </si>
  <si>
    <t>regroupé avec  systèmes en 4C01</t>
  </si>
  <si>
    <t>regroupé avec  systèmes en 4C02</t>
  </si>
  <si>
    <t>regroupé avec  systèmes en 4C03</t>
  </si>
  <si>
    <t>regroupé avec  systèmes en 4A03</t>
  </si>
  <si>
    <t>regroupé avec  systèmes en 4C06</t>
  </si>
  <si>
    <t>regroupé avec  systèmes en 1C02</t>
  </si>
  <si>
    <t>regroupé avec  systèmes en 4A05</t>
  </si>
  <si>
    <t>regroupé avec  systèmes en 4A09</t>
  </si>
  <si>
    <t>regroupé avec  systèmes en 4B01</t>
  </si>
  <si>
    <t>regroupé avec système en 3A06</t>
  </si>
  <si>
    <t>regroupé avec système en 3A07</t>
  </si>
  <si>
    <t>regroupé avec système en 3A08</t>
  </si>
  <si>
    <t>03 Sécurité des systèmes et de leur architecture</t>
  </si>
  <si>
    <t>point de la vérif</t>
  </si>
  <si>
    <t>Voir plus bas (repris de  08F01 de Méhari Expert)</t>
  </si>
  <si>
    <t>Voir plus bas (repris de  08F02 de Méhari Expert)</t>
  </si>
  <si>
    <t>Voir plus bas (repris de  08F03 de Méhari Expert)</t>
  </si>
  <si>
    <t>Voir plus bas (repris de  08D04 de Méhari Expert)</t>
  </si>
  <si>
    <t>reporté en 4A07</t>
  </si>
  <si>
    <t>regroupé avec 4E02</t>
  </si>
  <si>
    <t>Contrôles permanents  (vraisemblance, ...) sur les données</t>
  </si>
  <si>
    <t>reporté dans maintenance systèmes  : 4C01</t>
  </si>
  <si>
    <t>2 Sécurité physique et environnementale (des sites, bâtiments et locaux)</t>
  </si>
  <si>
    <t>01 Organisation de la sécurité</t>
  </si>
  <si>
    <t>02 Sécurité des sites</t>
  </si>
  <si>
    <t>03  Sécurité des locaux</t>
  </si>
  <si>
    <t xml:space="preserve">04 Réseau étendu intersites </t>
  </si>
  <si>
    <t>05 Réseau local</t>
  </si>
  <si>
    <t>06 Exploitation des réseaux</t>
  </si>
  <si>
    <t>07 Sécurité des systèmes et de leur architecture</t>
  </si>
  <si>
    <t xml:space="preserve">3 Sécurité des systèmes et de leur architecture </t>
  </si>
  <si>
    <t>08 Production informatique</t>
  </si>
  <si>
    <t>4 Exploitation des systèmes informatiques</t>
  </si>
  <si>
    <t>09 Sécurité applicative</t>
  </si>
  <si>
    <t>5 Sécurité applicative et continuité de l'activité</t>
  </si>
  <si>
    <t>10 Sécurité des projets et développements applicatifs</t>
  </si>
  <si>
    <t>7 Sécurité des projets et développements applicatifs</t>
  </si>
  <si>
    <t>6 Protection des postes de travail utilisateurs</t>
  </si>
  <si>
    <t>11 Protection des postes de travail utilisateurs</t>
  </si>
  <si>
    <t>reporté dans secion 6C</t>
  </si>
  <si>
    <t xml:space="preserve">12 Exploitation des télécommunications </t>
  </si>
  <si>
    <t xml:space="preserve">14 Management de la sécurité de l'information </t>
  </si>
  <si>
    <t>8 Processus de management</t>
  </si>
  <si>
    <t>13 Processus de management</t>
  </si>
  <si>
    <t>13A01</t>
  </si>
  <si>
    <t>Politique et directives relatives à la PRP</t>
  </si>
  <si>
    <t>13A02</t>
  </si>
  <si>
    <t>Programme de formation et de sensibilisation à la PRP</t>
  </si>
  <si>
    <t>13A03</t>
  </si>
  <si>
    <t>Applicabilité de la politique relative à la Prp</t>
  </si>
  <si>
    <t>13A04</t>
  </si>
  <si>
    <t>Contrôle de l'application de la politique relative à la Prp</t>
  </si>
  <si>
    <t>13B01</t>
  </si>
  <si>
    <t>Politique et directives relatives à la Communication financière</t>
  </si>
  <si>
    <t>13B02</t>
  </si>
  <si>
    <t>Programme de formation et de sensibilisation à la Communication financière</t>
  </si>
  <si>
    <t>13B03</t>
  </si>
  <si>
    <t>Applicabilité de la politique relative à la Communication financière</t>
  </si>
  <si>
    <t>13B04</t>
  </si>
  <si>
    <t>13C01</t>
  </si>
  <si>
    <t xml:space="preserve">Conservation des données et traitements </t>
  </si>
  <si>
    <t>13C02</t>
  </si>
  <si>
    <t>Documentation des données , procédures et traitements liés à la comptabilité</t>
  </si>
  <si>
    <t>13C03</t>
  </si>
  <si>
    <t>Programme de formation et de sensibilisation aux contraintes de la Vérification de la comptabilité informatisée</t>
  </si>
  <si>
    <t>13C04</t>
  </si>
  <si>
    <t>Applicabilité de la politique relative à la Vérification de la comptabilité informatisée</t>
  </si>
  <si>
    <t>13C05</t>
  </si>
  <si>
    <t>Contrôle de l'application de la politique relative à la Vérification de la comptabilité informatisée</t>
  </si>
  <si>
    <t>13D01</t>
  </si>
  <si>
    <t>Politique et directives relatives à la Protection de la propriété intellectuelle</t>
  </si>
  <si>
    <t>13D02</t>
  </si>
  <si>
    <t>Programme de formation et de sensibilisation à la Protection de la propriété intellectuelle</t>
  </si>
  <si>
    <t>13D03</t>
  </si>
  <si>
    <t>Applicabilité de la politique relative à la Protection de la propriété intellectuelle</t>
  </si>
  <si>
    <t>13D04</t>
  </si>
  <si>
    <t>Contrôle de l'application de la politique relative à la Protection de la propriété intellectuelle</t>
  </si>
  <si>
    <t>13E01</t>
  </si>
  <si>
    <t xml:space="preserve">Politique et directives relatives à la Protection des systèmes informatisés </t>
  </si>
  <si>
    <t>13E02</t>
  </si>
  <si>
    <t xml:space="preserve">Programme de formation et de sensibilisation à la Protection des systèmes informatisés </t>
  </si>
  <si>
    <t>13E03</t>
  </si>
  <si>
    <t xml:space="preserve">Applicabilité de la politique relative à la Protection des systèmes informatisés </t>
  </si>
  <si>
    <t>13E04</t>
  </si>
  <si>
    <t xml:space="preserve">Contrôle de l'application de la politique relative à la Protection des systèmes informatisés </t>
  </si>
  <si>
    <t>13F01</t>
  </si>
  <si>
    <t xml:space="preserve">Politique et directives relatives à la sécurité des personnes et à la protection de l'environnement </t>
  </si>
  <si>
    <t>13F02</t>
  </si>
  <si>
    <t xml:space="preserve">Programme de formation et de sensibilisation à la Sécurité des personnes et à la protection de l'environnement </t>
  </si>
  <si>
    <t>13F03</t>
  </si>
  <si>
    <t xml:space="preserve">Applicabilité de la politique relative à la Sécurité des personnes et protection de l'environnement </t>
  </si>
  <si>
    <t>13F04</t>
  </si>
  <si>
    <t xml:space="preserve">Contrôle de l'application de la politique relative à la Sécurité des personnes et protection de l'environnement </t>
  </si>
  <si>
    <t>13G01</t>
  </si>
  <si>
    <t>Politique et directives relatives à l'utilisation de moyens cryptologiques</t>
  </si>
  <si>
    <t>13G02</t>
  </si>
  <si>
    <t>Programme de formation et de sensibilisation à l'utilisation de moyens cryptologiques</t>
  </si>
  <si>
    <t>13G03</t>
  </si>
  <si>
    <t>Contrôle de l'application de la politique relative à l'utilisation de moyens cryptologiques</t>
  </si>
  <si>
    <t>A Protection des renseignements personnels</t>
  </si>
  <si>
    <t>B Communication financière</t>
  </si>
  <si>
    <t>C Respect de la législation concernant la Vérification de la Comptabilité Informatisée (VCI)</t>
  </si>
  <si>
    <t>D Protection de la propriété intellectuelle</t>
  </si>
  <si>
    <t>E Protection de la propriété intellectuelle</t>
  </si>
  <si>
    <t>F Protection de la propriété intellectuelle</t>
  </si>
  <si>
    <t>G Règles relatives à l'utilisation de moyens cryptologiques</t>
  </si>
  <si>
    <t>Tous sous-domaines regroupés</t>
  </si>
  <si>
    <t>D - Continuité de l'activité reporté dans domaine 5</t>
  </si>
  <si>
    <t>09H02</t>
  </si>
  <si>
    <t>09H03</t>
  </si>
  <si>
    <t>Protection des transactions de services d'application</t>
  </si>
  <si>
    <t>Mesagerie électronique</t>
  </si>
  <si>
    <t>10B07</t>
  </si>
  <si>
    <t>11A05</t>
  </si>
  <si>
    <t>Gestion des prestataires ou fournisseurs de services de gestion et d'administration du parc de postes utilisateurs</t>
  </si>
  <si>
    <t>11D08</t>
  </si>
  <si>
    <t>Protectiondes postes utilisateurs contre des codes malveillants ou des codes exécutables non autorisés</t>
  </si>
  <si>
    <t>Plan de reprise d'activité des postes utilisateurs</t>
  </si>
  <si>
    <t>12A06</t>
  </si>
  <si>
    <t>Gestion des prestataires ou fournisseurs de services télécoms</t>
  </si>
  <si>
    <t>D - Utilisation des équipements terminaux</t>
  </si>
  <si>
    <t xml:space="preserve">Contrôle des configurations utilisateurs mises en œuvre </t>
  </si>
  <si>
    <t>12D02</t>
  </si>
  <si>
    <t>Formation et sensibilisation des utilisateurs</t>
  </si>
  <si>
    <t>12D03</t>
  </si>
  <si>
    <t>Utilisation de terminaux chiffrants</t>
  </si>
  <si>
    <t>Système général de déclaration et de gestion des incidents</t>
  </si>
  <si>
    <t>1A03</t>
  </si>
  <si>
    <t>Gestion des prestataires ou fournisseurs de services externes</t>
  </si>
  <si>
    <t>Analyse et traitement des risques environnementaux divers</t>
  </si>
  <si>
    <t>Sécurisation du circuit de création, de diffusion et de destruction des documents</t>
  </si>
  <si>
    <t>Contrôle des accès externes au réseau interne</t>
  </si>
  <si>
    <t>3B02</t>
  </si>
  <si>
    <t>Sécurité des serveurs de site Internet</t>
  </si>
  <si>
    <t>Plans de Reprise d'Activité des services informatiques</t>
  </si>
  <si>
    <t>Gestion des personnels critiques (vis-à-vis de la continuité des opérations)</t>
  </si>
  <si>
    <t>4C08</t>
  </si>
  <si>
    <t>D - Surveillance des actions sensibles</t>
  </si>
  <si>
    <t>Surveillance des actions sensibles</t>
  </si>
  <si>
    <t xml:space="preserve">Contrôle des fonctions de calcul ou des programmes utilisateurs </t>
  </si>
  <si>
    <t xml:space="preserve">Chiffrement des échanges </t>
  </si>
  <si>
    <t>Plans de Continuité de l'activité</t>
  </si>
  <si>
    <t>regroupé avec risques environnementaux divers (2A03)</t>
  </si>
  <si>
    <t>Correction à faire</t>
  </si>
  <si>
    <t>regroupé avec système en 3B01</t>
  </si>
  <si>
    <t>reporté en 1E03</t>
  </si>
  <si>
    <t>Type de dommage</t>
  </si>
  <si>
    <t>Inopérabilité</t>
  </si>
  <si>
    <t>Bug bloquant dû à une erreur de conception ou d'écriture de programme (interne)</t>
  </si>
  <si>
    <t>Endommagement physique</t>
  </si>
  <si>
    <t>Vol physique ou duplication</t>
  </si>
  <si>
    <t>Création de faux</t>
  </si>
  <si>
    <t>Echange physique (avec un média au contenu modifié)</t>
  </si>
  <si>
    <t>Absence de matériel adapté ou incompatibilité de matériels</t>
  </si>
  <si>
    <t>Services applicatifs</t>
  </si>
  <si>
    <t>1. Description du risque</t>
  </si>
  <si>
    <t>a. Dysfonctionnement redouté</t>
  </si>
  <si>
    <t>b. Actif primaire concerné</t>
  </si>
  <si>
    <t xml:space="preserve">Données et informations </t>
  </si>
  <si>
    <t xml:space="preserve"> Services informatiques</t>
  </si>
  <si>
    <t>Processus de management et de gestion</t>
  </si>
  <si>
    <t>Complément de description</t>
  </si>
  <si>
    <t>Description des actifs</t>
  </si>
  <si>
    <t>Informations écrites ou imprimées</t>
  </si>
  <si>
    <t xml:space="preserve">Archives </t>
  </si>
  <si>
    <t xml:space="preserve">Données et informations publiées </t>
  </si>
  <si>
    <t>sur des sites publics ou internes</t>
  </si>
  <si>
    <t>patrimoniales, documentaires ou informatiques</t>
  </si>
  <si>
    <t>applications métiers, services bureautiques ou systèmes communs</t>
  </si>
  <si>
    <t xml:space="preserve">Services de publication d'informations </t>
  </si>
  <si>
    <t>sur un site web interne ou public</t>
  </si>
  <si>
    <t xml:space="preserve">Processus de gestion de la conformité </t>
  </si>
  <si>
    <t>Eléménts immatériels 
de type "données"</t>
  </si>
  <si>
    <t>Eléments immatériels de type "services"</t>
  </si>
  <si>
    <t xml:space="preserve"> Courrier électronique, postal ou télécopies</t>
  </si>
  <si>
    <t>Media support de logiciel</t>
  </si>
  <si>
    <t>Media support de données</t>
  </si>
  <si>
    <t>Dysfonctionnement redouté :</t>
  </si>
  <si>
    <t xml:space="preserve">Téléchargement, duplication ou diffusion volontaire de fichiers de données </t>
  </si>
  <si>
    <t>e. Type de dommage</t>
  </si>
  <si>
    <t>Falsification ou altération de données</t>
  </si>
  <si>
    <t>Falsification ou altération de fonctionnalités logicielles ou de paramètres de fonctionnement</t>
  </si>
  <si>
    <t>Défaut dans la gestion des évolutions rendant les logiciels non fonctionnels</t>
  </si>
  <si>
    <t>Altération matérielle d'équipement ou de liaisons (y compris modification de paramétrage par accès physique, inhibition ou suppression d’un dispositif)</t>
  </si>
  <si>
    <t>Incident dû à l'environnement (Dégât des eaux, vieillissement, pollution, surcharge électrique, etc.) ou à du vandalisme</t>
  </si>
  <si>
    <t>Indisponibilité de références, d’adresses ou de processus d’accès au media</t>
  </si>
  <si>
    <t>Perte ou disparition de moyens nécessaires à l'exploitation de médias (clés de chiffrement, logiciels de lecture, etc.)</t>
  </si>
  <si>
    <t>Dissuasion</t>
  </si>
  <si>
    <t>Prévention</t>
  </si>
  <si>
    <t>Confinement</t>
  </si>
  <si>
    <t>Palliation</t>
  </si>
  <si>
    <t>Panne ou défaillance d'équipement</t>
  </si>
  <si>
    <t>Saturation malveillante d'équipements informatiques ou réseaux ou blocage système (virus, ransomware, etc.)</t>
  </si>
  <si>
    <t>MENACE</t>
  </si>
  <si>
    <t>Type d'actif</t>
  </si>
  <si>
    <t>Actif support</t>
  </si>
  <si>
    <t>Événement déclencheur</t>
  </si>
  <si>
    <t>IEI</t>
  </si>
  <si>
    <t xml:space="preserve">Vol physique de document </t>
  </si>
  <si>
    <t>CEP</t>
  </si>
  <si>
    <t>Courriel en transit</t>
  </si>
  <si>
    <t>Falsification ou altération de courriel</t>
  </si>
  <si>
    <t>Emission de faux courriel</t>
  </si>
  <si>
    <t>ARC</t>
  </si>
  <si>
    <t>Incident dû à l'environnement (Dégât des eaux, vieillissement, pollution,  etc.) ou à du vandalisme</t>
  </si>
  <si>
    <t xml:space="preserve">Accès et diffusion volontaire de fichiers de données </t>
  </si>
  <si>
    <t>D06</t>
  </si>
  <si>
    <t>DEX</t>
  </si>
  <si>
    <t>Actif Primaire</t>
  </si>
  <si>
    <t>Vol physique de media</t>
  </si>
  <si>
    <t>SAP</t>
  </si>
  <si>
    <t>Effacement d'élément clé de la configuration système (logiciel, paramétrage, etc.)</t>
  </si>
  <si>
    <t>Absence de personnel ou de partenaire critique</t>
  </si>
  <si>
    <t>Absence de personnel ou de partenaire nécessaire à la mise ou au maintien en opération</t>
  </si>
  <si>
    <t>Configuration systèmes et applications</t>
  </si>
  <si>
    <t>Equipement de l'Infrastructure informatique</t>
  </si>
  <si>
    <t>Effacement généralisé de configurations (programmes, codes, paramétrage, etc.) des équipements des utilisateurs</t>
  </si>
  <si>
    <t>Altération fonctionnelle d'équipement utilisateur (y compris modification de paramétrage par accès physique, inhibition ou suppression d’un dispositif)</t>
  </si>
  <si>
    <t>Services de publication d'information (sur le web ou un site interne)</t>
  </si>
  <si>
    <t>Attaque en blocage de comptes ou saturation des serveurs</t>
  </si>
  <si>
    <t>SEX</t>
  </si>
  <si>
    <t>Services externalisés</t>
  </si>
  <si>
    <t>Nom = Tab_dom</t>
  </si>
  <si>
    <t>Nom = Tab_ad_dom</t>
  </si>
  <si>
    <t>Code type</t>
  </si>
  <si>
    <t>Événement</t>
  </si>
  <si>
    <t>Exposition naturelle décidée</t>
  </si>
  <si>
    <t>Exposition naturelle résultante</t>
  </si>
  <si>
    <t>Absence de personnel</t>
  </si>
  <si>
    <t>AB.P</t>
  </si>
  <si>
    <t>Absence accidentelle de personnel interne ou de partenaire</t>
  </si>
  <si>
    <t>AB.P.Per</t>
  </si>
  <si>
    <t>Absence ou indisponibilité accidentelle de service</t>
  </si>
  <si>
    <t>AB.S</t>
  </si>
  <si>
    <t>AB.S.Loc</t>
  </si>
  <si>
    <t>Accident grave d'environnement</t>
  </si>
  <si>
    <t>AC.E</t>
  </si>
  <si>
    <t>Accident matériel</t>
  </si>
  <si>
    <t>AC.M</t>
  </si>
  <si>
    <t>AC.M.Equ</t>
  </si>
  <si>
    <t>Erreur matérielle ou de comportement du personnel</t>
  </si>
  <si>
    <t>ER.P</t>
  </si>
  <si>
    <t>ER.P.Peo</t>
  </si>
  <si>
    <t>Erreur de manipulation ou dans le suivi d'une procédure</t>
  </si>
  <si>
    <t>ER.P.Pro</t>
  </si>
  <si>
    <t>Erreur de saisie ou de frappe</t>
  </si>
  <si>
    <t>ER.P.Prs</t>
  </si>
  <si>
    <t>Incident dû à l'environnement</t>
  </si>
  <si>
    <t>IC.E</t>
  </si>
  <si>
    <t>Incident logique ou fonctionnel</t>
  </si>
  <si>
    <t>Bug bloquant dans un logiciel système, middleware, applicatif ou un progiciel</t>
  </si>
  <si>
    <t>IF.L.Lsp</t>
  </si>
  <si>
    <t>Logiciel malveillant ou virus</t>
  </si>
  <si>
    <t>IF.L.Vir</t>
  </si>
  <si>
    <t>Effacement volontaire ou pollution massive de configurations systèmes</t>
  </si>
  <si>
    <t>Falsification logique (données ou fonctions)</t>
  </si>
  <si>
    <t>Création de faux (messages ou données)</t>
  </si>
  <si>
    <t>Destruction logique totale (fichiers et leurs sauvegardes)</t>
  </si>
  <si>
    <t>Détournement logique de fichiers ou données (téléchargement ou copie)</t>
  </si>
  <si>
    <t>PR.N</t>
  </si>
  <si>
    <t>Procédures inappliquées volontairement</t>
  </si>
  <si>
    <t>PR.N.Nav</t>
  </si>
  <si>
    <t>Exposition naturelle standard CLUSIF</t>
  </si>
  <si>
    <t>Code Event</t>
  </si>
  <si>
    <t>Action humaine (délibérée ou non) menée par voie logique ou fonctionnelle</t>
  </si>
  <si>
    <t>Action humaine menée par voie physique</t>
  </si>
  <si>
    <t>AH.L</t>
  </si>
  <si>
    <t>AH.P</t>
  </si>
  <si>
    <t>AH.L.Blo</t>
  </si>
  <si>
    <t>AH.L.Cfg</t>
  </si>
  <si>
    <t>AH.L.Del</t>
  </si>
  <si>
    <t>AH.L.Fal</t>
  </si>
  <si>
    <t>AH.L.Fau</t>
  </si>
  <si>
    <t>AH.L.Sam</t>
  </si>
  <si>
    <t>AH.L.Tot</t>
  </si>
  <si>
    <t>AH.L.Vol</t>
  </si>
  <si>
    <t>AH.P.Fal</t>
  </si>
  <si>
    <t>AH.P.Vol</t>
  </si>
  <si>
    <t>Falsification massive ou incohérences de données les rendant inutilisables</t>
  </si>
  <si>
    <t>IC.E.Div</t>
  </si>
  <si>
    <t>AB.S.Mat</t>
  </si>
  <si>
    <t>Absence de matériel adapté ou incompatibilité de systèmes de lecture du media</t>
  </si>
  <si>
    <t xml:space="preserve">Vol ou substitution physique </t>
  </si>
  <si>
    <t>Captation de données ou messages en transit</t>
  </si>
  <si>
    <t>AH.L.Cap</t>
  </si>
  <si>
    <t>Tableau des lignes de la feuille "Scénarios" correspondant aux actis et types de dommages</t>
  </si>
  <si>
    <t>Nom = Tab_scen</t>
  </si>
  <si>
    <t>P01</t>
  </si>
  <si>
    <t>P02</t>
  </si>
  <si>
    <t>Données externalisées</t>
  </si>
  <si>
    <t>Absence de services généraux (Energie, climatisation, etc.)</t>
  </si>
  <si>
    <t>AB.S.Gen</t>
  </si>
  <si>
    <t>Impact</t>
  </si>
  <si>
    <t>Potentialité</t>
  </si>
  <si>
    <t>Grilles d'élaboration des STATUS-I</t>
  </si>
  <si>
    <t>1. Scénarios de type Disponibilité</t>
  </si>
  <si>
    <t>II = 1</t>
  </si>
  <si>
    <t>II = 2</t>
  </si>
  <si>
    <t>II = 3</t>
  </si>
  <si>
    <t>II = 4</t>
  </si>
  <si>
    <t>O</t>
  </si>
  <si>
    <t>N</t>
  </si>
  <si>
    <t>F</t>
  </si>
  <si>
    <t>P</t>
  </si>
  <si>
    <t>A</t>
  </si>
  <si>
    <t>L</t>
  </si>
  <si>
    <t>2. Scénarios de type Intégrité</t>
  </si>
  <si>
    <t>3. Scénarios de type Confidentialité</t>
  </si>
  <si>
    <t xml:space="preserve">4. Scénarios de type Efficience </t>
  </si>
  <si>
    <t>Grilles d'élaboration des STATUS-P</t>
  </si>
  <si>
    <t>1. Scénarios de type Accident</t>
  </si>
  <si>
    <t>E X P O  = 1</t>
  </si>
  <si>
    <t>E X P O  = 2</t>
  </si>
  <si>
    <t>E X P O  = 3</t>
  </si>
  <si>
    <t>E X P O  = 4</t>
  </si>
  <si>
    <t>S</t>
  </si>
  <si>
    <t>R</t>
  </si>
  <si>
    <t>V</t>
  </si>
  <si>
    <t>2. Scénarios de type Erreur</t>
  </si>
  <si>
    <t>3. Scénarios de type action Volontaire</t>
  </si>
  <si>
    <t>MASA</t>
  </si>
  <si>
    <t>Organisation de la maintenance des systèmes et applications</t>
  </si>
  <si>
    <t>4C01 : Organisation de la maintenance des systèmes informatiques (matériel, logiciel et applications) et des équipements de réseaux</t>
  </si>
  <si>
    <t>4C02 : Procédures et plans de reprise des applications sur incidents</t>
  </si>
  <si>
    <t>4C05 : Maintien des comptes d'accès</t>
  </si>
  <si>
    <t>SFIN</t>
  </si>
  <si>
    <t>Sûreté de fonctionnement des éléments de l'infrastructure</t>
  </si>
  <si>
    <t>2C02 : Sécurité des équipements de servitude</t>
  </si>
  <si>
    <t xml:space="preserve">2C04 : Continuité de la fourniture de l'énergie </t>
  </si>
  <si>
    <t>3B01 : Sûreté de fonctionnement des éléments d'architecture</t>
  </si>
  <si>
    <t>PRED</t>
  </si>
  <si>
    <t>2A03 : Protection contre les risques environnementaux divers</t>
  </si>
  <si>
    <t>SADC</t>
  </si>
  <si>
    <t>Sauvegardes des données et configurations (non externalisées)</t>
  </si>
  <si>
    <t>4A03 : Sauvegardes des données et configurations</t>
  </si>
  <si>
    <t>6B04 : Sauvegarde des données utilisateurs stockées sur les postes de travail</t>
  </si>
  <si>
    <t>6B06 : Sauvegarde des courriels émis ou reçus sur les serveurs de l'entreprise</t>
  </si>
  <si>
    <t>3C01 : Sûreté de fonctionnement des éléments d'architecture des services externalisés</t>
  </si>
  <si>
    <t>PMAL</t>
  </si>
  <si>
    <t>4A02 : Protection contre les malwares</t>
  </si>
  <si>
    <t xml:space="preserve">Plans de secours et plans de continuité </t>
  </si>
  <si>
    <t>PSSA</t>
  </si>
  <si>
    <t>Plans de secours des systèmes et applications</t>
  </si>
  <si>
    <t>4C03 : Plans de Reprise d'Activité de l'infrastructure informatique et des systèmes</t>
  </si>
  <si>
    <t>5D01 : Plans de Continuité des processus applicatifs</t>
  </si>
  <si>
    <t>PSSE</t>
  </si>
  <si>
    <t>Plans de secours des systèmes externalisés</t>
  </si>
  <si>
    <t>4C04 : Plans de Reprise d'Activité de l'infrastructure informatique externalisée</t>
  </si>
  <si>
    <t>5D02 : Plan de continuité des services externalisés</t>
  </si>
  <si>
    <t>PCET</t>
  </si>
  <si>
    <t>Plan de continuité de l'environnement de travail</t>
  </si>
  <si>
    <t>1E02 : Plans de Reprise de l'Environnement de Travail</t>
  </si>
  <si>
    <t>PCAC</t>
  </si>
  <si>
    <t>Plan de continuité de l'activité</t>
  </si>
  <si>
    <t>1E01 : Plans de continuité de l'activité</t>
  </si>
  <si>
    <t>GPES</t>
  </si>
  <si>
    <t>Gestion du personnel stratégique</t>
  </si>
  <si>
    <t>1E03 : Gestion du personnel et des partenaires ou prestataires stratégiques</t>
  </si>
  <si>
    <t>Contrôle d'accès physique</t>
  </si>
  <si>
    <t>SBUR</t>
  </si>
  <si>
    <t>Sécurisation des zones de bureaux sensibles</t>
  </si>
  <si>
    <t>2D01 : Contrôle d'accès physique aux zones de bureaux sensibles</t>
  </si>
  <si>
    <t>2D02 : Détection des intrusions dans les zones de bureaux protégées</t>
  </si>
  <si>
    <t>2D03 : Surveillance des zones de bureaux protégées</t>
  </si>
  <si>
    <t>2D04 : Contrôle de la circulation des visiteurs et des prestataires occasionnels amenés à intervenir dans les bureaux</t>
  </si>
  <si>
    <t>CALO</t>
  </si>
  <si>
    <t>Contrôle d'accès aux locaux sensibles</t>
  </si>
  <si>
    <t>2B01 : Contrôle des accès aux locaux sensibles</t>
  </si>
  <si>
    <t xml:space="preserve">2B02 : Détection des intrusions dans les locaux sensibles </t>
  </si>
  <si>
    <t>2B03 : Surveillance des locaux sensibles</t>
  </si>
  <si>
    <t>Contrôle d'accès logique</t>
  </si>
  <si>
    <t>3A02 : Gestion des autorisations d'accès  (attribution, délégation, retrait)</t>
  </si>
  <si>
    <t>3A06 : Gestion des autorisations d'accès privilégiés (droits d'administration)</t>
  </si>
  <si>
    <t>CASA</t>
  </si>
  <si>
    <t>3A07 : Contrôle des accès privilégiés</t>
  </si>
  <si>
    <t>Contrôle d'accès aux postes de travail et appareils mobiles</t>
  </si>
  <si>
    <t>PPDT</t>
  </si>
  <si>
    <t>Protection du poste de travail</t>
  </si>
  <si>
    <t>6A01 : Protection du poste de travail</t>
  </si>
  <si>
    <t>SAMP</t>
  </si>
  <si>
    <t>Sécurité des appareils mobiles personnels</t>
  </si>
  <si>
    <t>6C02 : Dispositifs de sécurité relatifs aux appareils mobiles personnels</t>
  </si>
  <si>
    <t>COCF</t>
  </si>
  <si>
    <t>SMAI</t>
  </si>
  <si>
    <t>Sécurité de la maintenance logicielle</t>
  </si>
  <si>
    <t>7B08 : Sécurité de la maintenance applicative</t>
  </si>
  <si>
    <t>4A11 : Journalisation et contrôle des journaux</t>
  </si>
  <si>
    <t>3A08 : Surveillance des actions effectuées avec des droits privilégiés</t>
  </si>
  <si>
    <t>4A10 : Surveillance en temps réel du bon fonctionnement de l'infrastructure et gestion des anomalies</t>
  </si>
  <si>
    <t>CHDA</t>
  </si>
  <si>
    <t>5B02 : Chiffrement des données applicatives stockées</t>
  </si>
  <si>
    <t>CHDB</t>
  </si>
  <si>
    <t>Chiffrement des données bureautiques</t>
  </si>
  <si>
    <t>6B01 : Protection de la confidentialité des données contenues sur le poste de travail ou sur un serveur de données (disque logique pour le poste de travail)</t>
  </si>
  <si>
    <t>CHED</t>
  </si>
  <si>
    <t>Chiffrement des échanges de données</t>
  </si>
  <si>
    <t xml:space="preserve">5B01 : Chiffrement des échanges de données applicatives </t>
  </si>
  <si>
    <t>PCDE</t>
  </si>
  <si>
    <t>Protection de la confidentialité des fichiers de données externalisées</t>
  </si>
  <si>
    <t>5G02 : Protection de la confidentialité de données externalisées</t>
  </si>
  <si>
    <t>SMEL</t>
  </si>
  <si>
    <t>Sécurité des mails et des messages électroniques</t>
  </si>
  <si>
    <t>6B03 : Sécurité de la messagerie électronique (courriels) et des échanges électroniques d'information</t>
  </si>
  <si>
    <t>PIDA</t>
  </si>
  <si>
    <t>PIDB</t>
  </si>
  <si>
    <t>Protection de l'intégrité des fichiers de données bureautiques</t>
  </si>
  <si>
    <t>6B02 : Protection de l'intégrité des fichiers contenus sur le poste de travail ou sur un serveur de données (disque logique pour le poste de travail)</t>
  </si>
  <si>
    <t>PIDE</t>
  </si>
  <si>
    <t>Protection de l'intégrité des fichiers de données externalisées</t>
  </si>
  <si>
    <t>5F02 : Protection de l'intégrité des fichiers de données sensibles externalisés</t>
  </si>
  <si>
    <t>PIED</t>
  </si>
  <si>
    <t>Protection de l'intégrité des échanges de données</t>
  </si>
  <si>
    <t xml:space="preserve">5A01 : Protection de l'intégrité des données applicatives échangées </t>
  </si>
  <si>
    <t>PIEE</t>
  </si>
  <si>
    <t xml:space="preserve">5F01 : Protection de l'intégrité des échanges lors des accès aux services externalisés
</t>
  </si>
  <si>
    <t>4A05 : Contrôle des logiciels opérationnels</t>
  </si>
  <si>
    <t>PISE</t>
  </si>
  <si>
    <t>COPE</t>
  </si>
  <si>
    <t>5A03 : Contrôles permanents  (vraisemblance, ...) sur les données et traitements</t>
  </si>
  <si>
    <t>COSD</t>
  </si>
  <si>
    <t>5A04 : Contrôle de la saisie des données</t>
  </si>
  <si>
    <t>CERD</t>
  </si>
  <si>
    <t>Contrôle de l'émission et de la réception de données ou de messages</t>
  </si>
  <si>
    <t>5E01 : Garantie d'origine, signature, électronique</t>
  </si>
  <si>
    <t>5E02 : Individualisation des messages empêchant leur duplication (numérotation, séquencement,...)</t>
  </si>
  <si>
    <t xml:space="preserve">5E03 : Accusé de réception </t>
  </si>
  <si>
    <t>PDSS</t>
  </si>
  <si>
    <t>Protection des documents et supports sensibles</t>
  </si>
  <si>
    <t>2E01 : Conservation et protection des documents et supports amovibles importants (incorporer courrier et fax)</t>
  </si>
  <si>
    <t>2E02 : Ramassage des corbeilles à papier et destruction des documents</t>
  </si>
  <si>
    <t>6A02 : Travail en dehors des locaux de l'entreprise</t>
  </si>
  <si>
    <t>PIMP</t>
  </si>
  <si>
    <t>Protection des impressions sur imprimante partagée</t>
  </si>
  <si>
    <t>6B05 : Protection des impressions sur imprimantes partagées</t>
  </si>
  <si>
    <t>SMED</t>
  </si>
  <si>
    <t>4E01 : Gestion des supports amovibles</t>
  </si>
  <si>
    <t>4E04 : Sécurité physique des media en transit</t>
  </si>
  <si>
    <t>SARC</t>
  </si>
  <si>
    <t xml:space="preserve">Sécurité des archives </t>
  </si>
  <si>
    <t>4F01 : Organisation de la gestion des archives informatiques</t>
  </si>
  <si>
    <t>4F02 : Gestion des accès aux archives</t>
  </si>
  <si>
    <t>4F03 : Sécurité des archives</t>
  </si>
  <si>
    <t>2E04 : Gestion des archives documentaires</t>
  </si>
  <si>
    <t>CPEX</t>
  </si>
  <si>
    <t>Effacement ou disparition de moyens d'accès (clés de chiffrement, jetons, fichiers ou éléments nécessaires à l'identification et à l'authentification, licences, etc.)</t>
  </si>
  <si>
    <t>Effacement ou disparition de moyens d'accès (clés de chiffrement, jetons, éléments nécessaires à l'exploitation des archives, etc.)</t>
  </si>
  <si>
    <t>Total</t>
  </si>
  <si>
    <t xml:space="preserve">Processus de gouvernance et de prise de décision </t>
  </si>
  <si>
    <t>dans la gouvernance de l’entité (pouvant conduire à un dysfonctionnement redouté) y compris la gouvernance de la sécurité</t>
  </si>
  <si>
    <r>
      <t>détenues par les utilisateurs, archives personnelles, listings et états imprimés issus des applications informatiques, et la</t>
    </r>
    <r>
      <rPr>
        <sz val="10"/>
        <rFont val="Arial"/>
        <family val="2"/>
      </rPr>
      <t xml:space="preserve"> documentation des processus et autres actifs pouvant être nécessaire à l'activité.</t>
    </r>
  </si>
  <si>
    <t>Commentaires</t>
  </si>
  <si>
    <t>Critère de sécurité impacté</t>
  </si>
  <si>
    <t>Type de conséquence</t>
  </si>
  <si>
    <t>Disponibilité</t>
  </si>
  <si>
    <t>Indisponibilité</t>
  </si>
  <si>
    <t>L'élément est introuvable : absence d'adresse, adresse fausse ou service assurant l'adressage indisponible</t>
  </si>
  <si>
    <t>L'élément est absent là où on le cherche (et pour un prestataire, il n'est plus opérationnel)</t>
  </si>
  <si>
    <t>Endommagement physique (détecté) rendant l'élément matériel non fonctionnel</t>
  </si>
  <si>
    <t>Endommagement logique(détecté) rendant l'élément non fonctionnel (programmes non fonctionnels, données incohérentes)</t>
  </si>
  <si>
    <t>L'élément reste, en lui même, fonctionnel mais ne peut être mis en opération pour des raisons exogènes (absence de personnel, de service indispensable au fonctionnement, etc.)</t>
  </si>
  <si>
    <t>Intégrité</t>
  </si>
  <si>
    <t>Défaut d'intégrité</t>
  </si>
  <si>
    <t>Altération (non détectée) de donnée</t>
  </si>
  <si>
    <t>Tout ou partie des fonctionnalités ont été corrompues de manière accidentelle ou malveillante (fonctions logicielles, matérielles ou paramètres de fonctionnement)</t>
  </si>
  <si>
    <t>Incohérence (non détectée) de données</t>
  </si>
  <si>
    <t>L'ensemble de données comporte des incohérences</t>
  </si>
  <si>
    <t>Un élément nouveau et illégitime a été émis</t>
  </si>
  <si>
    <t>Confidentialité</t>
  </si>
  <si>
    <t>Altération (non détectée) de fonction</t>
  </si>
  <si>
    <t>Falsification ou altération de fonctionnalités logicielles (altération détectée)</t>
  </si>
  <si>
    <t>Types d'actifs support</t>
  </si>
  <si>
    <t>Commentaire</t>
  </si>
  <si>
    <t>Courrier en transit</t>
  </si>
  <si>
    <t>Eléments matériels supports de données (ou d'information)</t>
  </si>
  <si>
    <t>Tableau = TabPS</t>
  </si>
  <si>
    <t>Environnement de travail et équipement des utilisateurs</t>
  </si>
  <si>
    <t>IF.L</t>
  </si>
  <si>
    <t>Processus de gouvernance et de prise de décision</t>
  </si>
  <si>
    <t>AEV</t>
  </si>
  <si>
    <t>Effacement  accidentel de fichier de données</t>
  </si>
  <si>
    <t>Diffusion accidentelle d'un fichier de données</t>
  </si>
  <si>
    <t>Captation ou diffusion volontaire de courriel</t>
  </si>
  <si>
    <t>Diffusion accidentelle de courriel</t>
  </si>
  <si>
    <t>g. Événement déclencheur</t>
  </si>
  <si>
    <t>f. Type d'événement déclencheur</t>
  </si>
  <si>
    <t>Première ligne des événements déclencheurs dans Scénarios :</t>
  </si>
  <si>
    <t>2. Réduction du niveau de risque</t>
  </si>
  <si>
    <t>Mesures de réduction de la Potentialité</t>
  </si>
  <si>
    <t>IEID01</t>
  </si>
  <si>
    <t>IEID02</t>
  </si>
  <si>
    <t>IEID03</t>
  </si>
  <si>
    <t>IEIC01</t>
  </si>
  <si>
    <t>CEPD01</t>
  </si>
  <si>
    <t>CEPD02</t>
  </si>
  <si>
    <t>CEPD03</t>
  </si>
  <si>
    <t>CEPI01</t>
  </si>
  <si>
    <t>CEPI02</t>
  </si>
  <si>
    <t>CEPC01</t>
  </si>
  <si>
    <t>CEPC02</t>
  </si>
  <si>
    <t>CEPC03</t>
  </si>
  <si>
    <t>ARCD01</t>
  </si>
  <si>
    <t>ARCD02</t>
  </si>
  <si>
    <t>ARCD03</t>
  </si>
  <si>
    <t>ARCD04</t>
  </si>
  <si>
    <t>ARCD05</t>
  </si>
  <si>
    <t>ARCD06</t>
  </si>
  <si>
    <t>ARCD07</t>
  </si>
  <si>
    <t>ARCD08</t>
  </si>
  <si>
    <t>ARCC01</t>
  </si>
  <si>
    <t>ARCC02</t>
  </si>
  <si>
    <t>SAPD01</t>
  </si>
  <si>
    <t>SEXD01</t>
  </si>
  <si>
    <t>SEXD02</t>
  </si>
  <si>
    <t>SEXI01</t>
  </si>
  <si>
    <t>SPUD01</t>
  </si>
  <si>
    <t>PGCE01</t>
  </si>
  <si>
    <t>PGCE02</t>
  </si>
  <si>
    <t>PGCE03</t>
  </si>
  <si>
    <t>PGDE01</t>
  </si>
  <si>
    <t>Mesures dissuasives</t>
  </si>
  <si>
    <t xml:space="preserve">Efficacité des mesures dissuasives </t>
  </si>
  <si>
    <t xml:space="preserve">L’auteur peut logiquement penser qu’il n’encourrait aucun risque personnel : il peut penser qu’il ne serait pas identifié ou qu’il aurait de très sérieux arguments pour réfuter toute imputation de l’action ou que les sanctions seraient très faibles. </t>
  </si>
  <si>
    <t xml:space="preserve">Niveau 2 : L’effet dissuasif est moyen.  </t>
  </si>
  <si>
    <t xml:space="preserve">L’auteur peut logiquement penser qu’il encourrait un risque faible et qu’en tout état de cause les préjudices personnels qu’il aurait à subir resteraient supportables. </t>
  </si>
  <si>
    <t xml:space="preserve">Niveau 3 : L’effet dissuasif est important.  </t>
  </si>
  <si>
    <t xml:space="preserve">Un auteur rationnel devrait logiquement penser qu’il encourt un risque important : il devrait savoir qu’il serait sans doute identifié et que les préjudices qu’il aurait à subir seraient graves. </t>
  </si>
  <si>
    <t xml:space="preserve">Niveau 4 : L’effet dissuasif est très important.  </t>
  </si>
  <si>
    <t xml:space="preserve">Un auteur rationnel devrait logiquement abandonner toute idée d’action. Il devrait savoir qu’il sera presque certainement démasqué et que les sanctions encourues sont hors de proportion avec le gain espéré. </t>
  </si>
  <si>
    <t>Mesures préventives</t>
  </si>
  <si>
    <t xml:space="preserve">Efficacité des mesures préventives </t>
  </si>
  <si>
    <t xml:space="preserve">Niveau 2 : L’effet préventif est moyen.  </t>
  </si>
  <si>
    <t xml:space="preserve">Niveau 3 : L’effet préventif est important. </t>
  </si>
  <si>
    <t xml:space="preserve">Niveau 4 : L’effet préventif est très important. </t>
  </si>
  <si>
    <t>Recherche et détermination des événements déclencheurs</t>
  </si>
  <si>
    <t>Colonne des dommages dans le tableau Tab_dom de Tab_X</t>
  </si>
  <si>
    <t>Effacement délibéré de supports logiques ou physiques</t>
  </si>
  <si>
    <t>Mesures de réduction de l'Impact</t>
  </si>
  <si>
    <t>Mesures de confinement</t>
  </si>
  <si>
    <t>Mesures palliatives</t>
  </si>
  <si>
    <t xml:space="preserve">Efficacité des mesures de confinement </t>
  </si>
  <si>
    <t xml:space="preserve">Niveau 2 : L’effet de confinement et de limitation des conséquences directes est moyen. </t>
  </si>
  <si>
    <t xml:space="preserve">Niveau 3 : L’effet de confinement et de limitation des conséquences directes est important. </t>
  </si>
  <si>
    <t xml:space="preserve">Les limitations absolues ont un effet important sur les conséquences. Les mesures que l’on peut prendre ont une influence réelle sur l’impact direct, qui est réel mais limité et circonscrit. </t>
  </si>
  <si>
    <t xml:space="preserve">Niveau 4 : L’effet est très important. Les conséquences directes seront limitées aux détériorations immédiates. </t>
  </si>
  <si>
    <t>Efficacité des mesures palliatives</t>
  </si>
  <si>
    <t xml:space="preserve">Niveau 2 : L’effet de limitation des conséquences indirectes est moyen. </t>
  </si>
  <si>
    <t xml:space="preserve">Les solutions de secours ou moyens palliatifs ont été prévus globalement et pour l’essentiel, mais l’organisation de détail n’a pas été faite. Il est raisonnable de penser qu’il résultera de ce manque de préparation un manque d’efficacité très net des mesures prévues. Le délai de reprise du fonctionnement normal de l’activité ne peut être connu avec précision ou ne changera pas fondamentalement le niveau de gravité du sinistre. </t>
  </si>
  <si>
    <t xml:space="preserve">Niveau 3 : L’effet de limitation des conséquences indirectes est important. </t>
  </si>
  <si>
    <t xml:space="preserve">Les mesures ont été analysées et organisées dans le détail, puis validées. Le délai de reprise du fonctionnement normal de l’activité peut être estimé ou connu avec précision et est tel que cela réduira notablement la gravité des conséquences indirectes du scénario. </t>
  </si>
  <si>
    <t xml:space="preserve">Niveau 4 : L’effet de limitation des conséquences indirectes est très important. </t>
  </si>
  <si>
    <t>Le fonctionnement normal de l’activité est assuré sans discontinuité notable.</t>
  </si>
  <si>
    <t>Manipulation ou falsification matérielle d'équipement ou de media</t>
  </si>
  <si>
    <t>AH.P.Phc</t>
  </si>
  <si>
    <t xml:space="preserve">Duplication, photocopie ou consultation de media physique </t>
  </si>
  <si>
    <t>Eléments immatériels de type "processus"</t>
  </si>
  <si>
    <t>Efficience des processus</t>
  </si>
  <si>
    <t>Les procédures adéquates n'ont pas été suivies par le personnel (par ignorance ou volontairement)</t>
  </si>
  <si>
    <t>IEII01</t>
  </si>
  <si>
    <t>IEIC02</t>
  </si>
  <si>
    <t>CEPD04</t>
  </si>
  <si>
    <t>CEPI03</t>
  </si>
  <si>
    <t>SAPC01</t>
  </si>
  <si>
    <t>Vol ou divulgation malveillante de code source</t>
  </si>
  <si>
    <t>SAPD02</t>
  </si>
  <si>
    <t>SAPD03</t>
  </si>
  <si>
    <t>SAPD04</t>
  </si>
  <si>
    <t>SAPD05</t>
  </si>
  <si>
    <t>SAPD06</t>
  </si>
  <si>
    <t>SAPD07</t>
  </si>
  <si>
    <t>SAPD08</t>
  </si>
  <si>
    <t>SAPD09</t>
  </si>
  <si>
    <t>SAPD10</t>
  </si>
  <si>
    <t>SAPD11</t>
  </si>
  <si>
    <t>SAPD12</t>
  </si>
  <si>
    <t>SAPD13</t>
  </si>
  <si>
    <t>SAPD14</t>
  </si>
  <si>
    <t>SAPD15</t>
  </si>
  <si>
    <t>SAPD16</t>
  </si>
  <si>
    <t>SAPD17</t>
  </si>
  <si>
    <t>SAPD18</t>
  </si>
  <si>
    <t>SAPD19</t>
  </si>
  <si>
    <t>SAPD20</t>
  </si>
  <si>
    <t>SAPD21</t>
  </si>
  <si>
    <t>SAPD22</t>
  </si>
  <si>
    <t>SAPD23</t>
  </si>
  <si>
    <t>SAPD24</t>
  </si>
  <si>
    <t>SAPD25</t>
  </si>
  <si>
    <t>SAPI01</t>
  </si>
  <si>
    <t>SAPI02</t>
  </si>
  <si>
    <t>SAPI03</t>
  </si>
  <si>
    <t>SAPI04</t>
  </si>
  <si>
    <t>SPUI01</t>
  </si>
  <si>
    <t>Altération malveillante de processus d'interaction avec le public assuré par la plateforme de publication</t>
  </si>
  <si>
    <t>Contrôle des configurations systèmes et applicatives</t>
  </si>
  <si>
    <t>Captation de données ponctuelles par dispositif physique Capteur de frappe ou "Keylogger"</t>
  </si>
  <si>
    <t>Captation de données ponctuelles par logiciel Capteur de frappe ou "Keylogger"</t>
  </si>
  <si>
    <t>Indisponibilité massive d'équipements des utilisateurs, due à un logiciel malveillant (virus, rançongiciel, etc.)</t>
  </si>
  <si>
    <t>PR.N.Nai</t>
  </si>
  <si>
    <t>Procédures adéquates non appliquées</t>
  </si>
  <si>
    <t>PGDE02</t>
  </si>
  <si>
    <t>PGDE03</t>
  </si>
  <si>
    <t>PR.N.Nar</t>
  </si>
  <si>
    <t>Procédures adéquates absentes ou méconnues</t>
  </si>
  <si>
    <t>EXEMPLES DE MESURES DE RÉDUCTION DE RISQUE</t>
  </si>
  <si>
    <t>Exemples de mesures dissuasives pertinentes pour ce scénario :</t>
  </si>
  <si>
    <t>Exemples de mesures préventives pertinentes pour ce scénario :</t>
  </si>
  <si>
    <t>Exemples de mesures de confinement pertinentes pour ce scénario :</t>
  </si>
  <si>
    <t>Exemples de mesures palliatives pertinentes pour ce scénario :</t>
  </si>
  <si>
    <t>Niveau 0 : Il n'y a pas de mesure dissuasive pour ce scénario</t>
  </si>
  <si>
    <t xml:space="preserve">Niveau 1 : L’effet dissuasif est très faible. </t>
  </si>
  <si>
    <t>Niveau 0 : Il n'y a pas de mesure préventive pour ce scénario</t>
  </si>
  <si>
    <t xml:space="preserve">Niveau 1 : L’effet préventif est très faible. </t>
  </si>
  <si>
    <t>↓</t>
  </si>
  <si>
    <t>Quel type de conséquence ?</t>
  </si>
  <si>
    <t>Les conséquences sont des pertes de disponibilité, d'intégrité ou de confidentialité d'un actif secondaire ou support</t>
  </si>
  <si>
    <t>Quel dommage peut entraîner la conséquence ci-dessus ?</t>
  </si>
  <si>
    <t>Quel événement déclencheur peut produire le dommage ci-dessus ?</t>
  </si>
  <si>
    <t>Dans quelles circonstances cet événement peut-il se déclencher ?</t>
  </si>
  <si>
    <t>MEHARI MANAGER AVEC BASE DE CONNAISSANCE</t>
  </si>
  <si>
    <t>Introduction à l'utilisation des bases de connaissances avec Méhari Manager</t>
  </si>
  <si>
    <t>La base de connaissances utilisée dans ce classeur a été créée pour aider à la définition de scénarios de risques en suivant la démarche ci-dessous.
Le point de départ, non décrit dans ce classeur, est d'identifier un "Dysfonctionnement redouté"
Chaque étape consiste ensuite à déterminer progressivement chaque élément d'un scénario de risque. 
La base de connaissances est utilisée pour proposer un ensemble de choix et permettre une analyse aussi exhaustive que possible.</t>
  </si>
  <si>
    <t>Dysfonctionnement redouté
à analyser</t>
  </si>
  <si>
    <t>Quel actif primaire pourrait être à l'origine du dysfonctionnement ?</t>
  </si>
  <si>
    <t>Les actifs primaires sont, essentiellement les services nécessaires à l'organisme et les données nécessaires auxdits services.
La liste en est donnée dans l'onglet Actifs_primaires</t>
  </si>
  <si>
    <t>De quel actif support dépend cet actif primaire?</t>
  </si>
  <si>
    <t xml:space="preserve">Les actifs supports sont les matérialisations des actifs primaires ou les contingences dont ils peuvent dépendre, et seront décrits sous forme d'entités logiques ou physiques pouvant subir des dommages. </t>
  </si>
  <si>
    <t xml:space="preserve">Les dommages sont des causes possibles à la perte de disponiblité, d'intégrite ou de confidentialité de l'actif. Les scénarios de risque doivent préciser le dommage concerné. </t>
  </si>
  <si>
    <t>Les événements déclencheurs sont ce qui déclenche le dommage chaque scénario doit préciser par quel événement il est engendré.</t>
  </si>
  <si>
    <t>Des circonstances de déclenchement peuvent encore préciser le scénario.
Ces circonstances ne sont pas prises en compte dans la base ManagerBC. 
Elles le sont dans la base Méhari-Standard-2021 associée à ManagerBC</t>
  </si>
  <si>
    <t xml:space="preserve">Toute personne proche ou appartenant à l’entreprise ou tout initié la connaissant un minimum est capable de déclencher et de faire aboutir un tel scénario, avec des moyens qu’il est facile d’acquérir. Des circonstances tout à fait courantes peuvent conduire à l'occurrence d’un tel scénario. </t>
  </si>
  <si>
    <t xml:space="preserve">L'effet d’atténuation de l’impact est très important et l’impact direct très réduit et aisément supportable. </t>
  </si>
  <si>
    <t xml:space="preserve">Le sinistre peut être limité dans ses conséquences directes mais l’effet est limité. Les mesures que l’on peut prendre alors ont une influence réelle sur l’impact, mais l’ampleur des conséquences directes reste importante. </t>
  </si>
  <si>
    <t>Niveau 0 : Il n'y a pas de mesure de confinement pour ce scénario</t>
  </si>
  <si>
    <t xml:space="preserve">Niveau 1 : L’effet de confinement et de limitation des conséquences directes est très faible. </t>
  </si>
  <si>
    <t xml:space="preserve">Niveau 1 : L’effet de limitation des conséquences indirectes est très faible.  </t>
  </si>
  <si>
    <t>3. Décision et plan d'action</t>
  </si>
  <si>
    <t>Décision et plan d'action</t>
  </si>
  <si>
    <t xml:space="preserve">Accepter le risque </t>
  </si>
  <si>
    <t>Réduire le risque par des mesures de sécurité</t>
  </si>
  <si>
    <t>Eviter le risque par des mesures métier ou organisationnelles</t>
  </si>
  <si>
    <t>Transférer le risque</t>
  </si>
  <si>
    <t>ÉTAT DES RISQUES ET DÉCISIONS</t>
  </si>
  <si>
    <t>Ii</t>
  </si>
  <si>
    <t>Pi</t>
  </si>
  <si>
    <t>Ir</t>
  </si>
  <si>
    <t>Pr</t>
  </si>
  <si>
    <t>Gi</t>
  </si>
  <si>
    <t>Gr</t>
  </si>
  <si>
    <t>Déc</t>
  </si>
  <si>
    <t>D : Défaut de disponibilité</t>
  </si>
  <si>
    <t>Licence</t>
  </si>
  <si>
    <t>Présentation</t>
  </si>
  <si>
    <t>Date</t>
  </si>
  <si>
    <t>Versions et commentaires</t>
  </si>
  <si>
    <t>Licence d'attribution et de partage de MEHARI 
ou d'oeuvre dérivée de MEHARI</t>
  </si>
  <si>
    <t>Licence adaptée de la licence publique Creative Commons 
Attribution - Partage dans les mêmes conditions 4.0 International</t>
  </si>
  <si>
    <t>Lorsque Vous exercez les Droits accordés par la licence (définis ci-dessous), Vous acceptez d'être lié par les termes et conditions de la présente Licence. Dans la mesure où la présente Licence peut être interprétée comme un contrat, Vous bénéficiez des Droits accordés par la licence en contrepartie de Votre acceptation des présents termes et conditions, et le Donneur de licence Vous accorde ces droits en contrepartie des avantages que lui procure le fait de mettre à disposition l’Œuvre sous licence en vertu des présents termes et conditions.</t>
  </si>
  <si>
    <t>Article 1 - Définitions.</t>
  </si>
  <si>
    <t>a.</t>
  </si>
  <si>
    <r>
      <t>Œuvre dérivée</t>
    </r>
    <r>
      <rPr>
        <sz val="10"/>
        <color rgb="FF333333"/>
        <rFont val="Arial"/>
        <family val="2"/>
      </rPr>
      <t> signifie œuvre protégée par les Droit d’auteur et droits connexes, dérivée ou adaptée de l’Œuvre sous licence et dans laquelle l’Œuvre sous licence est traduite, retouchée, arrangée, transformée, ou modifiée de telle façon que l’autorisation du Donneur de licence est nécessaire, conformément aux dispositions des Droit d’auteur et droits connexes</t>
    </r>
  </si>
  <si>
    <t>b.</t>
  </si>
  <si>
    <r>
      <rPr>
        <b/>
        <sz val="10"/>
        <color rgb="FF222222"/>
        <rFont val="Arial"/>
        <family val="2"/>
      </rPr>
      <t>Licence d’Œuvre dérivée</t>
    </r>
    <r>
      <rPr>
        <sz val="10"/>
        <color rgb="FF333333"/>
        <rFont val="Arial"/>
        <family val="2"/>
      </rPr>
      <t> signifie licence par laquelle Vous accordez Vos Droit d'auteur et droits connexes portant sur Vos contributions à l'Œuvre dérivée, selon les termes et conditions de la présente Licence</t>
    </r>
  </si>
  <si>
    <t>c.</t>
  </si>
  <si>
    <r>
      <t>Droit d’auteur et droits connexes </t>
    </r>
    <r>
      <rPr>
        <sz val="10"/>
        <color rgb="FF222222"/>
        <rFont val="Arial"/>
        <family val="2"/>
      </rPr>
      <t>signifie droit d’auteur et/ou droits connexes incluant, notamment, la présentation, la diffusion et le Droit sui generis des producteurs de bases de données, quelle que soit la classification ou qualification juridique de ces droits. Dans le cadre de la présente Licence, les droits visés à l’Article 2(b)(1)-(2) ne relèvent ni du Droit d’auteur ni de droits connexes.</t>
    </r>
  </si>
  <si>
    <t>d.</t>
  </si>
  <si>
    <r>
      <t>Mesures techniques efficaces</t>
    </r>
    <r>
      <rPr>
        <sz val="10"/>
        <color rgb="FF333333"/>
        <rFont val="Arial"/>
        <family val="2"/>
      </rPr>
      <t> signifie mesures techniques qui, en l’absence d’autorisation expresse, ne peuvent être contournées dans le cadre de lois conformes aux dispositions de l’Article 11 du Traité de l’OMPI sur le droit d’auteur adopté le 20 Décembre 1996 et/ou d’accords internationaux de même objet.</t>
    </r>
  </si>
  <si>
    <t>e.</t>
  </si>
  <si>
    <r>
      <t>Exceptions et limitations</t>
    </r>
    <r>
      <rPr>
        <sz val="10"/>
        <color rgb="FF333333"/>
        <rFont val="Arial"/>
        <family val="2"/>
      </rPr>
      <t> signifie utilisation loyale et équitable (</t>
    </r>
    <r>
      <rPr>
        <i/>
        <sz val="10"/>
        <color rgb="FF333333"/>
        <rFont val="Arial"/>
        <family val="2"/>
      </rPr>
      <t>fair use</t>
    </r>
    <r>
      <rPr>
        <sz val="10"/>
        <color rgb="FF333333"/>
        <rFont val="Arial"/>
        <family val="2"/>
      </rPr>
      <t> et </t>
    </r>
    <r>
      <rPr>
        <i/>
        <sz val="10"/>
        <color rgb="FF333333"/>
        <rFont val="Arial"/>
        <family val="2"/>
      </rPr>
      <t>fair dealing</t>
    </r>
    <r>
      <rPr>
        <sz val="10"/>
        <color rgb="FF333333"/>
        <rFont val="Arial"/>
        <family val="2"/>
      </rPr>
      <t>) et/ou toute autre exception ou limitation applicable à Votre utilisation de l’Œuvre sous licence.</t>
    </r>
  </si>
  <si>
    <t>f.</t>
  </si>
  <si>
    <r>
      <t>Eléments de licence</t>
    </r>
    <r>
      <rPr>
        <sz val="10"/>
        <color rgb="FF333333"/>
        <rFont val="Arial"/>
        <family val="2"/>
      </rPr>
      <t> signifie les composantes de la licence figurant dans l’intitulé de la Licence. Les éléments de la présente Licence sont : Attribution et Partage dans les mêmes conditions.</t>
    </r>
  </si>
  <si>
    <t>g.</t>
  </si>
  <si>
    <r>
      <t>Œuvre sous licence</t>
    </r>
    <r>
      <rPr>
        <sz val="10"/>
        <color rgb="FF333333"/>
        <rFont val="Arial"/>
        <family val="2"/>
      </rPr>
      <t> signifie  toute base de connaissances, documentation associée, dossier technique ou toute autre œuvre pour laquelle le Donneur de licence a recours à la présente Licence.</t>
    </r>
  </si>
  <si>
    <t>h.</t>
  </si>
  <si>
    <r>
      <t>Droits accordés par la licence</t>
    </r>
    <r>
      <rPr>
        <sz val="10"/>
        <color rgb="FF333333"/>
        <rFont val="Arial"/>
        <family val="2"/>
      </rPr>
      <t> signifie droits qui Vous sont accordés selon les termes et conditions d’utilisation définis par la présente Licence, limités aux Droit d’auteur et droits connexes applicables à Votre utilisation de l’Œuvre sous licence et que le Donneur de licence a le droit d’accorder.</t>
    </r>
  </si>
  <si>
    <t>i.</t>
  </si>
  <si>
    <r>
      <t>Donneur de licence</t>
    </r>
    <r>
      <rPr>
        <sz val="10"/>
        <color rgb="FF333333"/>
        <rFont val="Arial"/>
        <family val="2"/>
      </rPr>
      <t> signifie un individu ou une entité octroyant la présente Licence et les droits accordés par elle.</t>
    </r>
  </si>
  <si>
    <t>j.</t>
  </si>
  <si>
    <r>
      <t>Partager</t>
    </r>
    <r>
      <rPr>
        <sz val="10"/>
        <color rgb="FF333333"/>
        <rFont val="Arial"/>
        <family val="2"/>
      </rPr>
      <t> signifie mettre une œuvre à la disposition du public par tout moyen ou procédé qui requiert l’autorisation découlant des Droits accordés par la licence, tels que les droits de reproduction, de présentation au public, de distribution, de diffusion, de communication ou d’importation, y compris de manière à ce que chacun puisse y avoir accès de l’endroit et au moment qu’il choisit individuellement.</t>
    </r>
  </si>
  <si>
    <t>k.</t>
  </si>
  <si>
    <r>
      <t>Droit sui generis des producteurs de bases de données</t>
    </r>
    <r>
      <rPr>
        <sz val="10"/>
        <color rgb="FF333333"/>
        <rFont val="Arial"/>
        <family val="2"/>
      </rPr>
      <t> signifie droits distincts du droit d'auteur résultant de la Directive 96/9/CE du Parlement européen et du Conseil du 11 mars 1996 sur la protection juridique des bases de données, ainsi que tout autre droit de nature équivalente dans le monde.</t>
    </r>
  </si>
  <si>
    <t>l.</t>
  </si>
  <si>
    <r>
      <t>Vous</t>
    </r>
    <r>
      <rPr>
        <sz val="10"/>
        <color rgb="FF333333"/>
        <rFont val="Arial"/>
        <family val="2"/>
      </rPr>
      <t> (preneur de licence) se rapporte à tout individu ou entité exerçant les Droits accordés par la licence. </t>
    </r>
    <r>
      <rPr>
        <b/>
        <sz val="10"/>
        <color rgb="FF222222"/>
        <rFont val="Arial"/>
        <family val="2"/>
      </rPr>
      <t>Votre</t>
    </r>
    <r>
      <rPr>
        <sz val="10"/>
        <color rgb="FF333333"/>
        <rFont val="Arial"/>
        <family val="2"/>
      </rPr>
      <t> et </t>
    </r>
    <r>
      <rPr>
        <b/>
        <sz val="10"/>
        <color rgb="FF222222"/>
        <rFont val="Arial"/>
        <family val="2"/>
      </rPr>
      <t>Vos</t>
    </r>
    <r>
      <rPr>
        <sz val="10"/>
        <color rgb="FF333333"/>
        <rFont val="Arial"/>
        <family val="2"/>
      </rPr>
      <t> renvoient également au preneur de licence.</t>
    </r>
  </si>
  <si>
    <t>Article 2 - Champ d’application de la présente Licence.</t>
  </si>
  <si>
    <t>Octroi de la licence</t>
  </si>
  <si>
    <t>1. Sous réserve du respect des termes et conditions d'utilisation de la présente Licence, le Donneur de licence Vous autorise à exercer pour le monde entier, à titre gratuit, non sous-licenciable, non exclusif, irrévocable, les Droits accordés par la licence afin de :</t>
  </si>
  <si>
    <t>A. reproduire et Partager l’Œuvre sous licence, en tout ou partie ; et</t>
  </si>
  <si>
    <t>B. produire, reproduire et Partager l’Œuvre dérivée.</t>
  </si>
  <si>
    <r>
      <t>2. Exceptions et limitations</t>
    </r>
    <r>
      <rPr>
        <sz val="10"/>
        <color rgb="FF333333"/>
        <rFont val="Arial"/>
        <family val="2"/>
      </rPr>
      <t>. Afin de lever toute ambiguïté, lorsque les Exceptions et limitations s’appliquent à Votre utilisation, la présente Licence ne s’applique pas et Vous n’avez pas à Vous conformer à ses termes et conditions.</t>
    </r>
  </si>
  <si>
    <r>
      <t>3. Durée</t>
    </r>
    <r>
      <rPr>
        <sz val="10"/>
        <color rgb="FF333333"/>
        <rFont val="Arial"/>
        <family val="2"/>
      </rPr>
      <t>. La durée de la présente Licence est définie à l’Article 6(a).</t>
    </r>
  </si>
  <si>
    <r>
      <t>4. Supports et formats</t>
    </r>
    <r>
      <rPr>
        <sz val="10"/>
        <color rgb="FF333333"/>
        <rFont val="Arial"/>
        <family val="2"/>
      </rPr>
      <t xml:space="preserve"> : modifications techniques autorisées. Le Donneur de licence Vous autorise à exercer les Droits accordés par la licence sur tous les supports et formats connus ou encore inconnus à ce jour, et à apporter toutes les modifications techniques que ceux-ci requièrent. Le Donneur de licence renonce et/ou accepte de ne pas exercer ses droits qui pourraient être susceptibles de Vous empêcher d’apporter les modifications techniques nécessaires pour exercer les Droits accordés par la licence, y compris celles nécessaires au contournement des Mesures techniques efficaces. Dans le cadre de la présente Licence, le fait de ne procéder qu’à de simples modifications techniques autorisées selon les termes du présent Article 2(a)(4) n’est jamais de nature à créer une Œuvre dérivée.</t>
    </r>
  </si>
  <si>
    <t>5. Utilisateurs en aval.</t>
  </si>
  <si>
    <r>
      <t>A. Offre du Donneur de licence – Œuvre sous licence</t>
    </r>
    <r>
      <rPr>
        <sz val="10"/>
        <color rgb="FF333333"/>
        <rFont val="Arial"/>
        <family val="2"/>
      </rPr>
      <t>. Chaque utilisateur de l’Œuvre sous licence reçoit automatiquement une offre de la part du Donneur de licence lui permettant d’exercer les Droits accordés par la licence selon les termes et conditions de la présente Licence.</t>
    </r>
  </si>
  <si>
    <r>
      <t>B. Offre additionnelle du Donneur de licence – Œuvre dérivée.</t>
    </r>
    <r>
      <rPr>
        <sz val="10"/>
        <color rgb="FF333333"/>
        <rFont val="Arial"/>
        <family val="2"/>
      </rPr>
      <t> Chaque utilisateur d’une Œuvre dérivée reçoit automatiquement une offre du Donneur de licence lui permettant d’exercer les Droits accordés par la licence sur l’Œuvre dérivée selon les termes et conditions de la Licence d’Œuvre dérivée que Vous appliquez.</t>
    </r>
  </si>
  <si>
    <r>
      <t>C. Pas de restrictions en aval pour les utilisateurs suivants</t>
    </r>
    <r>
      <rPr>
        <sz val="10"/>
        <color rgb="FF333333"/>
        <rFont val="Arial"/>
        <family val="2"/>
      </rPr>
      <t>. Vous ne pouvez proposer ou imposer des termes et conditions supplémentaires ou différents, ou appliquer quelque Mesure technique efficace que ce soit à l’Œuvre sous licence si ceux(celles)-ci sont de nature à restreindre l’exercice des Droits accordés par la licence aux utilisateurs de l’Œuvre sous licence.</t>
    </r>
  </si>
  <si>
    <r>
      <t>6. Non approbation</t>
    </r>
    <r>
      <rPr>
        <sz val="10"/>
        <color rgb="FF333333"/>
        <rFont val="Arial"/>
        <family val="2"/>
      </rPr>
      <t>. Aucun élément de la présente Licence ne peut être interprété comme laissant supposer que le preneur de licence ou que l’utilisation qu’il fait de l’Œuvre sous licence est lié à, parrainé, approuvé, ou doté d'un statut officiel par le Donneur de licence ou par toute autre personne à qui revient l’attribution de l’Œuvre sous licence, comme indiqué à l’Article 3(a)(1)(A)(i).</t>
    </r>
  </si>
  <si>
    <t>Autres droits.</t>
  </si>
  <si>
    <t>1. Les droits moraux, tel que le droit à l’intégrité de l’œuvre, ne sont pas accordés par la présente Licence, ni le droit à l’image, ni le droit au respect de la vie privée, ni aucun autre droit de la personnalité ou apparenté ; cependant, dans la mesure du possible, le Donneur de licence renonce et/ou accepte de ne pas faire valoir les droits qu’il détient de manière à Vous permettre d’exercer les Droits accordés par la licence.</t>
  </si>
  <si>
    <t>2. Le droit des brevets et le droit des marques ne sont pas concernés par la présente Licence.</t>
  </si>
  <si>
    <t>3. Dans la mesure du possible, le Donneur de licence renonce au droit de collecter des redevances auprès de Vous pour l’exercice des Droits accordés par la licence, directement ou indirectement dans le cadre d’un régime de gestion collective facultative ou obligatoire assorti de possibilités de renonciation quel que soit le type d’accord ou de licence. Dans tous les autres cas, le Donneur de licence se réserve expressément le droit de collecter de telles redevances.</t>
  </si>
  <si>
    <t>Article 3 – Conditions d'utilisation de la présente Licence.</t>
  </si>
  <si>
    <t>L’exercice des Droits accordés par la licence est expressément soumis aux conditions suivantes.</t>
  </si>
  <si>
    <t>Attribution</t>
  </si>
  <si>
    <t>1. Si Vous partagez l’Œuvre sous licence (y compris sous une forme modifiée), Vous devez :</t>
  </si>
  <si>
    <t>A. conserver les informations suivantes lorsqu’elles sont fournies par le Donneur de licence avec l’Œuvre sous licence :</t>
  </si>
  <si>
    <t>i. identification du(des) auteur(s) de l’Œuvre sous licence et de toute personne à qui revient l’attribution de l’Œuvre sous licence, dans la mesure du possible, conformément à la demande du Donneur de licence (y compris sous la forme d’un pseudonyme s’il est indiqué) ;</t>
  </si>
  <si>
    <t>ii. l’indication de l’existence d’un droit d’auteur ;</t>
  </si>
  <si>
    <t>iii. une notice faisant référence à la présente Licence;</t>
  </si>
  <si>
    <t>iv. une notice faisant référence aux limitations de garantie et exclusions de responsabilité ;</t>
  </si>
  <si>
    <t>v. un URI ou un hyperlien vers l’Œuvre sous licence dans la mesure du possible ;</t>
  </si>
  <si>
    <t>B. Indiquer si Vous avez modifié l’Œuvre sous licence, et, dans ce cas :</t>
  </si>
  <si>
    <t>i. conserver un suivi des modifications précédentes,</t>
  </si>
  <si>
    <t>ii. tenir informé le Donneur de licence des modifications apportées,</t>
  </si>
  <si>
    <t>iii. indiquer l’Œuvre originale dont l’Œuvre sous Licence est issue,</t>
  </si>
  <si>
    <t>iv. mentionner que le Clusif a été le créateur et le premier développeur de la méthode MEHARI dont est issue l’Œuvre sous Licence ; et</t>
  </si>
  <si>
    <t>C. Indiquer si l’Œuvre sous licence est mise à disposition en vertu de la présente Licence en incluant le texte, l’URI ou l’hyperlien correspondant à la présente Licence.</t>
  </si>
  <si>
    <t>2. Vous pouvez satisfaire aux conditions de l’Article 3(a)(1) dans toute la mesure du possible, en fonction des supports, moyens et contextes dans lesquels Vous Partagez l’Œuvre sous licence. Par exemple, Vous pouvez satisfaire aux conditions susmentionnées en fournissant l’URI ou l’hyperlien vers la ressource incluant les informations requises.</t>
  </si>
  <si>
    <t>3. Bien que requises aux termes de l’Article 3(a)(1)(A), certaines informations devront être retirées, dans la mesure du possible, si le Donneur de licence en fait la demande.</t>
  </si>
  <si>
    <t>Partage dans les mêmes conditions</t>
  </si>
  <si>
    <t>Outre les conditions indiquées à l’Article 3(a), si Vous Partagez une Œuvre dérivée que Vous avez réalisée, les conditions suivantes s’appliquent aussi.</t>
  </si>
  <si>
    <t>1. La Licence d’Œuvre dérivée que Vous appliquez doit être identique à la présente Licence.</t>
  </si>
  <si>
    <t>2. Vous devez inclure le texte, l’URI ou l’hyperlien correspondant à la Licence d’Œuvre dérivée que Vous appliquez. Ces conditions peuvent être satisfaites dans la mesure du raisonnable suivant les supports, moyens et contextes via lesquels Vous Partagez l’Œuvre dérivée.</t>
  </si>
  <si>
    <t>3. Vous ne pouvez pas proposer ou imposer des termes ou des conditions supplémentaires ou différents ou appliquer des Mesures techniques efficaces à l’Œuvre dérivée qui seraient de nature à restreindre l’exercice des Droits accordés par la Licence d’Œuvre dérivée que Vous appliquez.</t>
  </si>
  <si>
    <t>Article 4 – Le Droit sui generis des producteurs de bases de données.</t>
  </si>
  <si>
    <t>Lorsque les Droits accordés par la licence incluent le Droit sui generis des producteurs de bases de données applicable à Votre utilisation de l’Œuvre sous licence :</t>
  </si>
  <si>
    <t xml:space="preserve">a. </t>
  </si>
  <si>
    <t>afin de lever toute ambiguïté, l’Article 2(a)(1) Vous accorde le droit d’extraire, réutiliser, reproduire et Partager la totalité ou une partie substantielle du contenu de la base de données ;</t>
  </si>
  <si>
    <t xml:space="preserve">b. </t>
  </si>
  <si>
    <t>si Vous incluez la totalité ou une partie substantielle du contenu de la base de données dans une base de données pour laquelle Vous détenez un Droit sui generis de producteur de bases de données, la base de données sur laquelle Vous détenez un tel droit (mais pas ses contenus individuels) sera alors considérée comme une Œuvre dérivée, y compris pour l’application de l’Article 3(b) ; et</t>
  </si>
  <si>
    <t xml:space="preserve">c. </t>
  </si>
  <si>
    <t>Vous devez respecter les conditions de l’Article 3(a) si Vous Partagez la totalité ou une partie substantielle du contenu des bases de données.</t>
  </si>
  <si>
    <t>Afin de lever toute ambiguïté, le présent Article 4 complète mais ne remplace pas Vos obligations découlant des termes de la présente Licence lorsque les Droits accordés par la licence incluent d’autres Droit d’auteur et droits connexes.</t>
  </si>
  <si>
    <t>Article 5 – Limitations de garantie et exclusions de responsabilité.</t>
  </si>
  <si>
    <t>Sauf indication contraire et dans la mesure du possible, le Donneur de licence met à disposition l’Œuvre sous licence telle quelle, et n’offre aucune garantie de quelque sorte que ce soit, notamment expresse, implicite, statutaire ou autre la concernant. Cela inclut, notamment, les garanties liées au titre, à la valeur marchande, à la compatibilité de certaines utilisations particulières, à l’absence de violation, à l’absence de vices cachés ou autres défauts, à l’exactitude, à la présence ou à l’absence d’erreurs connues ou non ou susceptibles d’être découvertes dans l’Œuvre sous licence. Lorsqu’une limitation de garantie n’est pas autorisée en tout ou partie, cette clause peut ne pas Vous être applicable.</t>
  </si>
  <si>
    <t>Dans la mesure du possible, le Donneur de licence ne saurait voir sa responsabilité engagée vis-à-vis de Vous, quel qu’en soit le fondement juridique (y compris, notamment, la négligence), pour tout préjudice direct, spécial, indirect, incident, conséquentiel, punitif, exemplaire, ou pour toutes pertes, coûts, dépenses ou tout dommage découlant de l’utilisation de la présente Licence ou de l’utilisation de l’Œuvre sous licence, même si le Donneur de licence avait connaissance de l’éventualité de telles pertes, coûts, dépenses ou dommages. Lorsqu’une exclusion de responsabilité n’est pas autorisée en tout ou partie, cette clause peut ne pas Vous être applicable.</t>
  </si>
  <si>
    <t>Les limitations de garantie et exclusions de responsabilité ci-dessus doivent être interprétées, dans la mesure du possible, comme des limitations et renonciations totales de toute responsabilité.</t>
  </si>
  <si>
    <t>Article 6 – Durée et fin.</t>
  </si>
  <si>
    <t>La présente Licence s’applique pendant toute la durée de validité des Droits accordés par la licence. Cependant, si Vous manquez à Vos obligations prévues par la présente Licence, Vos droits accordés par la présente Licence seront automatiquement révoqués.</t>
  </si>
  <si>
    <t>Lorsque les Droits accordés par la licence ont été révoqués selon les termes de l’Article 6(a), ils seront rétablis :</t>
  </si>
  <si>
    <t>1. automatiquement, à compter du jour où la violation aura cessé, à condition que Vous y remédiiez dans les 30 jours suivant la date à laquelle Vous aurez eu connaissance de la violation ; ou</t>
  </si>
  <si>
    <t>2. à condition que le Donneur de licence l’autorise expressément.</t>
  </si>
  <si>
    <t>Afin de lever toute ambiguïté, le présent Article 6(b) n’affecte pas le droit du Donneur de licence de demander réparation dans les cas de violation de la présente Licence.</t>
  </si>
  <si>
    <t>Afin de lever toute ambiguïté, le Donneur de licence peut également proposer l’Œuvre sous licence selon d’autres termes et conditions et peut cesser la mise à disposition de l’Œuvre sous licence à tout moment ; une telle cessation n’entraîne pas la fin de la présente Licence.</t>
  </si>
  <si>
    <t xml:space="preserve">d. </t>
  </si>
  <si>
    <r>
      <t>Les Articles </t>
    </r>
    <r>
      <rPr>
        <sz val="10"/>
        <color rgb="FF111111"/>
        <rFont val="Arial"/>
        <family val="2"/>
      </rPr>
      <t>1</t>
    </r>
    <r>
      <rPr>
        <sz val="10"/>
        <color rgb="FF333333"/>
        <rFont val="Arial"/>
        <family val="2"/>
      </rPr>
      <t>, </t>
    </r>
    <r>
      <rPr>
        <sz val="10"/>
        <color rgb="FF111111"/>
        <rFont val="Arial"/>
        <family val="2"/>
      </rPr>
      <t>5</t>
    </r>
    <r>
      <rPr>
        <sz val="10"/>
        <color rgb="FF333333"/>
        <rFont val="Arial"/>
        <family val="2"/>
      </rPr>
      <t>, </t>
    </r>
    <r>
      <rPr>
        <sz val="10"/>
        <color rgb="FF111111"/>
        <rFont val="Arial"/>
        <family val="2"/>
      </rPr>
      <t>6</t>
    </r>
    <r>
      <rPr>
        <sz val="10"/>
        <color rgb="FF333333"/>
        <rFont val="Arial"/>
        <family val="2"/>
      </rPr>
      <t>, </t>
    </r>
    <r>
      <rPr>
        <sz val="10"/>
        <color rgb="FF111111"/>
        <rFont val="Arial"/>
        <family val="2"/>
      </rPr>
      <t>7</t>
    </r>
    <r>
      <rPr>
        <sz val="10"/>
        <color rgb="FF333333"/>
        <rFont val="Arial"/>
        <family val="2"/>
      </rPr>
      <t>, et </t>
    </r>
    <r>
      <rPr>
        <sz val="10"/>
        <color rgb="FF111111"/>
        <rFont val="Arial"/>
        <family val="2"/>
      </rPr>
      <t>8</t>
    </r>
    <r>
      <rPr>
        <sz val="10"/>
        <color rgb="FF333333"/>
        <rFont val="Arial"/>
        <family val="2"/>
      </rPr>
      <t> continueront à s’appliquer même après la résiliation de la présente Licence.</t>
    </r>
  </si>
  <si>
    <t>Article 7 – Autres termes et conditions.</t>
  </si>
  <si>
    <t>Sauf accord exprès, le Donneur de licence n’est lié par aucune modification des termes de Votre part.</t>
  </si>
  <si>
    <t>Tous arrangements, ententes ou accords relatifs à l’Œuvre sous licence non mentionnés dans la présente Licence sont séparés et indépendants des termes et conditions de la présente Licence.</t>
  </si>
  <si>
    <t>Article 8 – Interprétation.</t>
  </si>
  <si>
    <t>Afin de lever toute ambiguïté, la présente Licence ne doit en aucun cas être interprétée comme ayant pour effet de réduire, limiter, restreindre ou imposer des conditions plus contraignantes que celles qui sont prévues par les dispositions légales applicables.</t>
  </si>
  <si>
    <t>Dans la mesure du possible, si une clause de la présente Licence est déclarée inapplicable, elle sera automatiquement modifiée a minima afin de la rendre applicable. Dans le cas où la clause ne peut être modifiée, elle sera écartée de la présente Licence sans préjudice de l’applicabilité des termes et conditions restants.</t>
  </si>
  <si>
    <t>Aucun terme ni aucune condition de la présente Licence ne sera écarté(e) et aucune violation ne sera admise sans l’accord exprès du Donneur de licence.</t>
  </si>
  <si>
    <t>Aucun terme ni aucune condition de la présente Licence ne constitue ou ne peut être interprété(e) comme une limitation ou une renonciation à un quelconque privilège ou à une immunité s’appliquant au Donneur de licence ou à Vous, y compris lorsque celles-ci émanent d’une procédure légale, quel(le) qu’en soit le système juridique concerné ou l’autorité compétente.</t>
  </si>
  <si>
    <t>Module préparatoire</t>
  </si>
  <si>
    <t xml:space="preserve">Panorama des risques
</t>
  </si>
  <si>
    <t>10*Impact+Pot</t>
  </si>
  <si>
    <t xml:space="preserve">Soit le sinistre ne peut être significativement limité dans ses conséquences directes, soit il ne sera détecté qu’au bout d’un délai important. Les mesures que l’on peut prendre alors n’auront qu’une influence très limitée sur le niveau des conséquences directes. </t>
  </si>
  <si>
    <t>Zone de sélection</t>
  </si>
  <si>
    <t>Tableaux de sélection</t>
  </si>
  <si>
    <t>Actifs primaires</t>
  </si>
  <si>
    <t>Scénarios à analyser</t>
  </si>
  <si>
    <t>Actifs à sélectionner</t>
  </si>
  <si>
    <t>Actifs classifiés</t>
  </si>
  <si>
    <t>Seuil de classification</t>
  </si>
  <si>
    <t>Actifs support</t>
  </si>
  <si>
    <t>Actif sélectionné</t>
  </si>
  <si>
    <t xml:space="preserve">N° Actif </t>
  </si>
  <si>
    <t>L1</t>
  </si>
  <si>
    <t>L2</t>
  </si>
  <si>
    <t>L3</t>
  </si>
  <si>
    <t>L4</t>
  </si>
  <si>
    <t>L5</t>
  </si>
  <si>
    <t>L6</t>
  </si>
  <si>
    <t>Code Actif</t>
  </si>
  <si>
    <t>Type de conséquence à sélectionner</t>
  </si>
  <si>
    <t>I : Défaut d'intégrité</t>
  </si>
  <si>
    <t>C : Défaut de confidentialité</t>
  </si>
  <si>
    <t>E : Défaut d'Efficience de processus</t>
  </si>
  <si>
    <t>Type de conséquence sélectionné</t>
  </si>
  <si>
    <t>c. Type de conséquence (D,I,C,E)</t>
  </si>
  <si>
    <t>d. Actif support concerné</t>
  </si>
  <si>
    <t>SD1</t>
  </si>
  <si>
    <t>Erreur ? :</t>
  </si>
  <si>
    <t>Actif support à sélectionner</t>
  </si>
  <si>
    <t>Actif support sélectionné</t>
  </si>
  <si>
    <t>N° Actif sup</t>
  </si>
  <si>
    <t>Tableau : Types de dommages par actif et type de conséquence</t>
  </si>
  <si>
    <t>Tableau : Actifs suppport par type d'actif primaire</t>
  </si>
  <si>
    <t>Tableau : Références (numéro de colonne) des Types de dommages dans  Tab_X</t>
  </si>
  <si>
    <t>Dommages</t>
  </si>
  <si>
    <t>Dommage à sélectionner</t>
  </si>
  <si>
    <t>Dommage sélectionné</t>
  </si>
  <si>
    <t>Dommage</t>
  </si>
  <si>
    <t>N° Domm.</t>
  </si>
  <si>
    <t>Nom = Tab_nb_event</t>
  </si>
  <si>
    <t>issu de Tab_nb_event</t>
  </si>
  <si>
    <t>Type d'événement</t>
  </si>
  <si>
    <t>Type d'événement à sélectionner</t>
  </si>
  <si>
    <t>Type d'événement sélectionné</t>
  </si>
  <si>
    <t>N° Typ. Ev.</t>
  </si>
  <si>
    <t>Tableau des niveaux de mesures de sécurité</t>
  </si>
  <si>
    <t>Ligne du scénario</t>
  </si>
  <si>
    <t>Type événement :</t>
  </si>
  <si>
    <t>Paramètres du panorama</t>
  </si>
  <si>
    <t>Prendre en compte l'évaluation des effets des mesures de sécurité</t>
  </si>
  <si>
    <t>Inclure les risques "Acceptés"</t>
  </si>
  <si>
    <t>Inclure les risques "Évités"</t>
  </si>
  <si>
    <t>Inclure les risques "A Réduire"</t>
  </si>
  <si>
    <t>Inclure les risques "Transférés"</t>
  </si>
  <si>
    <t>Inclure les risques déclarés "Impossibles"</t>
  </si>
  <si>
    <t>Ig</t>
  </si>
  <si>
    <t>Ia</t>
  </si>
  <si>
    <t>Ie</t>
  </si>
  <si>
    <t>It</t>
  </si>
  <si>
    <t xml:space="preserve">Dysfonctionnement redouté : </t>
  </si>
  <si>
    <t>Date :</t>
  </si>
  <si>
    <t>Nombre de scénarios de risque à analyser :</t>
  </si>
  <si>
    <t>Taux d'avancement de l'analyse :</t>
  </si>
  <si>
    <t>Ne proposer aux divers choix que des scénarios non analysés (Nom = IndS) :</t>
  </si>
  <si>
    <t>Sélection
Pano</t>
  </si>
  <si>
    <t>AH.L.Phi</t>
  </si>
  <si>
    <t>Déclarer le scénario Impossible ou hors domaine</t>
  </si>
  <si>
    <t>Action menée par abus de confiance (Phishing)</t>
  </si>
  <si>
    <t>Tabscenanal</t>
  </si>
  <si>
    <t>Erreur1</t>
  </si>
  <si>
    <t>Actif sélectionné vide</t>
  </si>
  <si>
    <t>Erreur2</t>
  </si>
  <si>
    <t>Actif sélectionné non dans la liste "à sélectionner"</t>
  </si>
  <si>
    <t>Erreurs :</t>
  </si>
  <si>
    <t>Erreur3</t>
  </si>
  <si>
    <t>Type de conséquence sélectionné vide</t>
  </si>
  <si>
    <t>Type de conséquence sélectionné non dans la liste "à sélectionner"</t>
  </si>
  <si>
    <t>Erreur4</t>
  </si>
  <si>
    <t>Erreur5</t>
  </si>
  <si>
    <t>Type d'actif support sélectionné vide</t>
  </si>
  <si>
    <t>Type d'actif support sélectionné non dans la liste "à sélectionner"</t>
  </si>
  <si>
    <t>Erreur6</t>
  </si>
  <si>
    <t>Erreur7</t>
  </si>
  <si>
    <t>Erreur8</t>
  </si>
  <si>
    <t>Type de dommage sélectionné vide</t>
  </si>
  <si>
    <t>Type de dommage sélectionné non dans la liste "à sélectionner"</t>
  </si>
  <si>
    <t>Ce tableau utilise comme paramètre le type de conséquence récupéré en O25 de Tab_sel ==&gt;</t>
  </si>
  <si>
    <t>Tab_cap</t>
  </si>
  <si>
    <t>Tableau des codes d'actifs primaires</t>
  </si>
  <si>
    <t>AH.L.Kyl</t>
  </si>
  <si>
    <t>Captation de données par Keylogger logiciel</t>
  </si>
  <si>
    <t>Captation de données par Keylogger physique</t>
  </si>
  <si>
    <t>Scénarios acceptés</t>
  </si>
  <si>
    <t>Scénarios à réduire</t>
  </si>
  <si>
    <t>Scénarios à éviter</t>
  </si>
  <si>
    <t>Scénarios à transférer</t>
  </si>
  <si>
    <t>Erreur9</t>
  </si>
  <si>
    <t>Erreur10</t>
  </si>
  <si>
    <t>Diss</t>
  </si>
  <si>
    <t>Prev</t>
  </si>
  <si>
    <t>Conf</t>
  </si>
  <si>
    <t>Pall</t>
  </si>
  <si>
    <t>4. Commentaire</t>
  </si>
  <si>
    <t>Fic</t>
  </si>
  <si>
    <t>Med</t>
  </si>
  <si>
    <t>Doc</t>
  </si>
  <si>
    <t>Cfg</t>
  </si>
  <si>
    <t>Msl</t>
  </si>
  <si>
    <t>Equ</t>
  </si>
  <si>
    <t>Env</t>
  </si>
  <si>
    <t>Pro</t>
  </si>
  <si>
    <t>Coe</t>
  </si>
  <si>
    <t>Cop</t>
  </si>
  <si>
    <t xml:space="preserve">Fichier ou base de données </t>
  </si>
  <si>
    <t>Nom</t>
  </si>
  <si>
    <t>Inac</t>
  </si>
  <si>
    <t>Disp</t>
  </si>
  <si>
    <t>Endp</t>
  </si>
  <si>
    <t>Endl</t>
  </si>
  <si>
    <t>Inop</t>
  </si>
  <si>
    <t>Inex</t>
  </si>
  <si>
    <t>Altd</t>
  </si>
  <si>
    <t>Altf</t>
  </si>
  <si>
    <t>Inco</t>
  </si>
  <si>
    <t>Dive</t>
  </si>
  <si>
    <t>Napp</t>
  </si>
  <si>
    <t>Non application de la procédure adaptée</t>
  </si>
  <si>
    <r>
      <t>aux exigences légales ou contractuelles</t>
    </r>
    <r>
      <rPr>
        <sz val="10"/>
        <rFont val="Arial"/>
        <family val="2"/>
      </rPr>
      <t xml:space="preserve"> ou de l'entité</t>
    </r>
  </si>
  <si>
    <t xml:space="preserve">Eléments matériels supports de services </t>
  </si>
  <si>
    <t>AH.P.Kyp</t>
  </si>
  <si>
    <t xml:space="preserve">Accident grave dû à l'environnement (Incendie, Inondation, foudroiement, etc.) ou à des actes de terrorisme </t>
  </si>
  <si>
    <t>Accident grave d'environnement : Incendie, Inondation, foudroiement, tremblement de terre… ou dû à du terrorisme</t>
  </si>
  <si>
    <t>AC.E.Evt</t>
  </si>
  <si>
    <t>Perte ou oubli de media support de données bureautiques</t>
  </si>
  <si>
    <t>Vol physique de media support de données bureautiques</t>
  </si>
  <si>
    <t>Sélection</t>
  </si>
  <si>
    <r>
      <rPr>
        <sz val="11"/>
        <rFont val="Times New Roman"/>
        <family val="1"/>
      </rPr>
      <t xml:space="preserve"> </t>
    </r>
    <r>
      <rPr>
        <sz val="11"/>
        <rFont val="Arial"/>
        <family val="2"/>
      </rPr>
      <t>Procédure support des processus</t>
    </r>
  </si>
  <si>
    <t>1 = éligible</t>
  </si>
  <si>
    <t>Type d'actifs</t>
  </si>
  <si>
    <t>Act P</t>
  </si>
  <si>
    <t>Act S</t>
  </si>
  <si>
    <t>Dom</t>
  </si>
  <si>
    <t>Global</t>
  </si>
  <si>
    <t>Eligible à la sélection</t>
  </si>
  <si>
    <t>Sélection si 0</t>
  </si>
  <si>
    <t>Niveau 4 : Vital</t>
  </si>
  <si>
    <t>Niveau 3 : Très Grave</t>
  </si>
  <si>
    <t>Niveau 2 : Important</t>
  </si>
  <si>
    <t>Niveau 1 : Non significatif</t>
  </si>
  <si>
    <t>(Vital)</t>
  </si>
  <si>
    <t>(Important)</t>
  </si>
  <si>
    <t>(Non significatif)</t>
  </si>
  <si>
    <t xml:space="preserve">Niveau 4 : Très probable </t>
  </si>
  <si>
    <t xml:space="preserve">Niveau 3 : Probable </t>
  </si>
  <si>
    <t xml:space="preserve">Niveau 2 : Improbable </t>
  </si>
  <si>
    <t xml:space="preserve">Niveau 1 : Très improbable </t>
  </si>
  <si>
    <t>A ce niveau, il est raisonnable de penser que le scénario se produira très certainement et vraisemblablement à court terme.
Quand le risque est survenu, personne n’est surpris.</t>
  </si>
  <si>
    <t xml:space="preserve">Il s’agit là des scénarios dont il est raisonnable de penser qu’ils pourraient bien se produire, à plus ou moins court terme. L’espoir que le risque ne survienne pas n’est pas insensé mais dénote un certain optimisme.
La survenance du risque déçoit, mais ne surprend pas. </t>
  </si>
  <si>
    <t>Il s’agit là de scénarios dont il est raisonnable de penser qu’ils ne surviendront pas. L’expérience passée montre souvent d’ailleurs qu’ils ne sont pas survenus.
Ils demeurent néanmoins « possibles » et ne sont pas complètement invraisemblables.</t>
  </si>
  <si>
    <t>A ce niveau l’occurrence du risque est tout à fait improbable. De tels scénarios ne sont pas strictement impossibles car il existe toujours une infime probabilité pour que cela se produise.</t>
  </si>
  <si>
    <t>(Très grave)</t>
  </si>
  <si>
    <t>(Très probable)</t>
  </si>
  <si>
    <t>(Probable)</t>
  </si>
  <si>
    <t>(Improbable)</t>
  </si>
  <si>
    <t>(Très improbable)</t>
  </si>
  <si>
    <t>Échelle de Potentialité</t>
  </si>
  <si>
    <t>Échelle d'Impact</t>
  </si>
  <si>
    <t>Potentialité intrinsèque (Pi)</t>
  </si>
  <si>
    <t>Impact intrinsèque (Ii)</t>
  </si>
  <si>
    <t>Echelle de Gravité du Scénario</t>
  </si>
  <si>
    <t>Acceptabilité du Risque</t>
  </si>
  <si>
    <t>Risque toléré</t>
  </si>
  <si>
    <t>Risque inadmissible</t>
  </si>
  <si>
    <t>Risque insupportable</t>
  </si>
  <si>
    <t>Gravité 4</t>
  </si>
  <si>
    <t>Gravité 3</t>
  </si>
  <si>
    <t>Gravité 2</t>
  </si>
  <si>
    <t>Gravité 1</t>
  </si>
  <si>
    <t>N° Risque</t>
  </si>
  <si>
    <t>ID Risque</t>
  </si>
  <si>
    <t>-</t>
  </si>
  <si>
    <t>Niveau 0 : Il n'y a pas de mesure palliative pour ce scénario</t>
  </si>
  <si>
    <t>Sélection du niveau de mesure</t>
  </si>
  <si>
    <t>Indiquez vos mesures mises en places</t>
  </si>
  <si>
    <t>Potentialité résiduelle résultante (Pr)</t>
  </si>
  <si>
    <t>Décision prise</t>
  </si>
  <si>
    <t>ID Risque (si déjà existant)</t>
  </si>
  <si>
    <t>ID Risque (n° à enregistrer : maj existant ou nouveau)</t>
  </si>
  <si>
    <t>Impact résiduel résultant (Ir)</t>
  </si>
  <si>
    <t>Risque non significatif</t>
  </si>
  <si>
    <t>Mettez dans la case ci-contre tout commentaire éventuel que vous souhaiteriez conserver</t>
  </si>
  <si>
    <t>Mes_Diss</t>
  </si>
  <si>
    <t>Mes_Prev</t>
  </si>
  <si>
    <t>Mes_Conf</t>
  </si>
  <si>
    <t>Mes_Pall</t>
  </si>
  <si>
    <t>R1</t>
  </si>
  <si>
    <t>R2</t>
  </si>
  <si>
    <t>N° Fiche</t>
  </si>
  <si>
    <t>Actif Support</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</si>
  <si>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</si>
  <si>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</si>
  <si>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</si>
  <si>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</si>
  <si>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</si>
  <si>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</si>
  <si>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</si>
  <si>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</si>
  <si>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</si>
  <si>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</si>
  <si>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</si>
  <si>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</si>
  <si>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</si>
  <si>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</si>
  <si>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</si>
  <si>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</si>
  <si>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</si>
  <si>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</si>
  <si>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</si>
  <si>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</si>
  <si>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</si>
  <si>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</si>
  <si>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</si>
  <si>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</si>
  <si>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</si>
  <si>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</si>
  <si>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</si>
  <si>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</si>
  <si>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Absence de matériel compatible ou incompatibilité de systèmes</t>
  </si>
  <si>
    <t>Pi*</t>
  </si>
  <si>
    <t>Ii*</t>
  </si>
  <si>
    <t>Pr*</t>
  </si>
  <si>
    <t>Ir*</t>
  </si>
  <si>
    <t>M PALL Libellé</t>
  </si>
  <si>
    <t>M CONF Libellé</t>
  </si>
  <si>
    <t>M DISS Libellé</t>
  </si>
  <si>
    <t>M PREV Libellé</t>
  </si>
  <si>
    <t>DIC Libellé</t>
  </si>
  <si>
    <t>Impact résiduel personnalisé (Ir*)</t>
  </si>
  <si>
    <t>Gravité résiduelle du scénario
[Gr = f(Ir,Ir* ; Pr,Pr*)]</t>
  </si>
  <si>
    <t>Impact intrinsèque personnalisé (Ii*)</t>
  </si>
  <si>
    <t>Potentialité intrinsèque personnalisé (Pi*)</t>
  </si>
  <si>
    <t>Potentialité résiduelle personnalisée (Pr*)</t>
  </si>
  <si>
    <t>Gravité intrinsèque
[Gi = f(Ii,Ii* ; Pi,Pi*)]</t>
  </si>
  <si>
    <t>Horodatage</t>
  </si>
  <si>
    <t>Pi~*</t>
  </si>
  <si>
    <t>Ii~*</t>
  </si>
  <si>
    <t>Pr~*</t>
  </si>
  <si>
    <t>Ir~*</t>
  </si>
  <si>
    <t>Colonnes "techniques" : A masquer. Entêtes bleues = informations remontées pour la lecture de la fiche.     NE PAS MODIFIER LES NOMS DES ENTETES</t>
  </si>
  <si>
    <t>Niveaux d'impact</t>
  </si>
  <si>
    <t>Données applicatives</t>
  </si>
  <si>
    <t>Données contenues dans des fichiers ou bases de données utilisés par les appplications</t>
  </si>
  <si>
    <t>Données bureautiques</t>
  </si>
  <si>
    <t>Données contenues dans des fichiers personnels ou partagés, incluant les fichiers d'agenda ou de contacts</t>
  </si>
  <si>
    <t>Courrier électronique ou postal</t>
  </si>
  <si>
    <t>sur le cloud</t>
  </si>
  <si>
    <t>ou hébergés sur le cloud</t>
  </si>
  <si>
    <t>Det</t>
  </si>
  <si>
    <t>Données en transit</t>
  </si>
  <si>
    <t>Eléments mixtes de type "services"</t>
  </si>
  <si>
    <t>Iml</t>
  </si>
  <si>
    <t>Infrastructure matérielle et logicielle support de services externalisés</t>
  </si>
  <si>
    <t>AB.S.Ser</t>
  </si>
  <si>
    <t>AH.L.Cav</t>
  </si>
  <si>
    <t>Absence de service : défaillance ou indisponibilité des services fournis par un prestataire externe</t>
  </si>
  <si>
    <t xml:space="preserve">Captation visuelle de données </t>
  </si>
  <si>
    <t>DAP</t>
  </si>
  <si>
    <t>DAPD01</t>
  </si>
  <si>
    <t>DAPD02</t>
  </si>
  <si>
    <t>DAPD03</t>
  </si>
  <si>
    <t>DAPD04</t>
  </si>
  <si>
    <t>DAPD05</t>
  </si>
  <si>
    <t>DAPD06</t>
  </si>
  <si>
    <t>Effacement de données applicatives en transit</t>
  </si>
  <si>
    <t>DAPD07</t>
  </si>
  <si>
    <t>DAPD08</t>
  </si>
  <si>
    <t>DAPD09</t>
  </si>
  <si>
    <t>DAPD10</t>
  </si>
  <si>
    <t>DAPD11</t>
  </si>
  <si>
    <t>DAPD12</t>
  </si>
  <si>
    <t>DAPI01</t>
  </si>
  <si>
    <t>DAPI02</t>
  </si>
  <si>
    <t>DAPI03</t>
  </si>
  <si>
    <t>Falsification ou altération de données applicatives en transit</t>
  </si>
  <si>
    <t>DAPI04</t>
  </si>
  <si>
    <t>DAPI05</t>
  </si>
  <si>
    <t>DAPC01</t>
  </si>
  <si>
    <t>DAPC02</t>
  </si>
  <si>
    <t>DAPC03</t>
  </si>
  <si>
    <t>Captation de données affichées sur écran</t>
  </si>
  <si>
    <t>DAPC04</t>
  </si>
  <si>
    <t>DBU</t>
  </si>
  <si>
    <t>DBUD01</t>
  </si>
  <si>
    <t>DBUD02</t>
  </si>
  <si>
    <t>DBUD03</t>
  </si>
  <si>
    <t>DBUD04</t>
  </si>
  <si>
    <t>DBUD05</t>
  </si>
  <si>
    <t>DBUD06</t>
  </si>
  <si>
    <t>DBUD07</t>
  </si>
  <si>
    <t>Effacement de donnée bureautique en transit</t>
  </si>
  <si>
    <t>DBUD08</t>
  </si>
  <si>
    <t>DBUD09</t>
  </si>
  <si>
    <t>DBUD10</t>
  </si>
  <si>
    <t>DBUD11</t>
  </si>
  <si>
    <t>DBUD12</t>
  </si>
  <si>
    <t>DBUD13</t>
  </si>
  <si>
    <t>DBUD14</t>
  </si>
  <si>
    <t>DBUI01</t>
  </si>
  <si>
    <t>DBUI02</t>
  </si>
  <si>
    <t>DBUI03</t>
  </si>
  <si>
    <t>Falsification ou altération de données bureautiques en transit</t>
  </si>
  <si>
    <t>DBUI04</t>
  </si>
  <si>
    <t>DBUC01</t>
  </si>
  <si>
    <t>DBUC02</t>
  </si>
  <si>
    <t>DBUC03</t>
  </si>
  <si>
    <t>DBUC04</t>
  </si>
  <si>
    <t>DBUC05</t>
  </si>
  <si>
    <t>DBUC06</t>
  </si>
  <si>
    <t>DBUC07</t>
  </si>
  <si>
    <t>DBUC08</t>
  </si>
  <si>
    <t>DBUC09</t>
  </si>
  <si>
    <t>DBUC10</t>
  </si>
  <si>
    <t>Interruption ou indisponibilité des services de partenaires nécessaires à la messagerie électronique</t>
  </si>
  <si>
    <t>DPU</t>
  </si>
  <si>
    <t>DPUD01</t>
  </si>
  <si>
    <t>DPUI01</t>
  </si>
  <si>
    <t>DEXD01</t>
  </si>
  <si>
    <t>DEXD02</t>
  </si>
  <si>
    <t>DEXI01</t>
  </si>
  <si>
    <t>DEXI02</t>
  </si>
  <si>
    <t>DEXC01</t>
  </si>
  <si>
    <t>DEXC02</t>
  </si>
  <si>
    <t>DEXC03</t>
  </si>
  <si>
    <t>SAPD26</t>
  </si>
  <si>
    <t>SAPI05</t>
  </si>
  <si>
    <t>SAPC02</t>
  </si>
  <si>
    <t>Absence de partenaire ou de prestataire nécessaire à l'accès aux services externalisés</t>
  </si>
  <si>
    <t>Contrôle de l'intégrité des services externalisés</t>
  </si>
  <si>
    <t>SPU</t>
  </si>
  <si>
    <t>Saturation malveillante des serveurs de publication</t>
  </si>
  <si>
    <t>PGC</t>
  </si>
  <si>
    <t>PGD</t>
  </si>
  <si>
    <t>Divulgation de données</t>
  </si>
  <si>
    <t>Fonctions liées à la continuité de service et de l'activité</t>
  </si>
  <si>
    <t>Fonctions de continuité de l'accès aux données et informations</t>
  </si>
  <si>
    <t>6B07 : Sauvegarde des configurations des postes de travail des utilisateurs</t>
  </si>
  <si>
    <t>GMAF</t>
  </si>
  <si>
    <t>5C01 : Gestion des moyens d'accès aux fichiers de données ou de programme</t>
  </si>
  <si>
    <t>1C06 : Protection contre l'hameçonnage (phishing)</t>
  </si>
  <si>
    <t>5D04 : Maintien des moyens nécessaires à la mise en opération des applications critiques</t>
  </si>
  <si>
    <t>Fonctions liées aux contrôles d'accès</t>
  </si>
  <si>
    <t>CASE</t>
  </si>
  <si>
    <t>Contrôle d'accès aux systèmes et services externalisés</t>
  </si>
  <si>
    <t>3A09 : Contrôle d'accès aux systèmes et services externalisés</t>
  </si>
  <si>
    <t>Fonctions liées à l'exploitation et au contrôle des activités</t>
  </si>
  <si>
    <t>Fonctions liées au contrôle des configurations</t>
  </si>
  <si>
    <t>4A14 : Protection des programmes</t>
  </si>
  <si>
    <t xml:space="preserve">4B01 : Paramétrage des systèmes et applications et contrôle de la conformité </t>
  </si>
  <si>
    <t>5A06 : Contrôle de l'intégrité des fonctionnalités logicielles</t>
  </si>
  <si>
    <t>7B02 : Contrôles des changements et évolutions systèmes ou applicatifs</t>
  </si>
  <si>
    <t>Fonctions liées au contrôle des activités sensibles</t>
  </si>
  <si>
    <t>SIPU</t>
  </si>
  <si>
    <t>Surveillance des informations publiées sur un site web ou interne</t>
  </si>
  <si>
    <t>5A05 : Surveillance des informations publiées sur un site web ou interne</t>
  </si>
  <si>
    <t>5C03 : Surveillance en temps réel de l'accessibilité et de la disponibilité de services sensibles</t>
  </si>
  <si>
    <t>Fonctions liées à la sécurité des données</t>
  </si>
  <si>
    <t>Fonctions de protection de la confidentialité des données</t>
  </si>
  <si>
    <t>SCPO</t>
  </si>
  <si>
    <t>Sécurité du courrier postal</t>
  </si>
  <si>
    <t>2E05 : Sécurité du courrier postal</t>
  </si>
  <si>
    <t>PCCV</t>
  </si>
  <si>
    <t>Fonctions de protection de l'intégrité des données et fonctions</t>
  </si>
  <si>
    <t>Fonctions de sécurité applicative</t>
  </si>
  <si>
    <t>5E04 : Contrôle de la transmission des données</t>
  </si>
  <si>
    <t>Fonctions de sécurité des documents écrits ou imprimés</t>
  </si>
  <si>
    <t>Fonctions de sécurité des médias supports</t>
  </si>
  <si>
    <t>Sécurité physique des médias</t>
  </si>
  <si>
    <t>Fonctions liées à la conformité des processus de management aux exigences légales ou contractuelles</t>
  </si>
  <si>
    <t>Conformité aux exigences légales ou contractuelles</t>
  </si>
  <si>
    <t>8A01 : Mise en place des processus et procédures adaptés aux exigences légales ou contractuelles</t>
  </si>
  <si>
    <t>8A02 : Contrôle de l'application des procédures visant le respect des exigences légales et contractuelles</t>
  </si>
  <si>
    <t>8A03 : Supervision des processus et procédures adaptés aux exigences légales et contractuelles</t>
  </si>
  <si>
    <t>CRGD</t>
  </si>
  <si>
    <t>Conformité aux règles de gouvernance et de prise de décision</t>
  </si>
  <si>
    <t>8B01 : Mise en place des processus et procédures adaptés aux règles de gouvernance et de prise de décision</t>
  </si>
  <si>
    <t xml:space="preserve">8B03 : Supervision des processus et procédures adaptés aux règles de gouvernance et de prise de décision </t>
  </si>
  <si>
    <t>🖉</t>
  </si>
  <si>
    <t>🔍</t>
  </si>
  <si>
    <t>R31</t>
  </si>
  <si>
    <t>R32</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</si>
  <si>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</si>
  <si>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</si>
  <si>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</si>
  <si>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</si>
  <si>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</si>
  <si>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</si>
  <si>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</si>
  <si>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</si>
  <si>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</si>
  <si>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</si>
  <si>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</si>
  <si>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</si>
  <si>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</si>
  <si>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</si>
  <si>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</si>
  <si>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</si>
  <si>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</si>
  <si>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</si>
  <si>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</si>
  <si>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</si>
  <si>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</si>
  <si>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</si>
  <si>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</si>
  <si>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</si>
  <si>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R57</t>
  </si>
  <si>
    <t>R58</t>
  </si>
  <si>
    <t>R59</t>
  </si>
  <si>
    <t>R60</t>
  </si>
  <si>
    <t>R61</t>
  </si>
  <si>
    <t>R62</t>
  </si>
  <si>
    <t>R63</t>
  </si>
  <si>
    <t>R64</t>
  </si>
  <si>
    <t>R65</t>
  </si>
  <si>
    <t>R66</t>
  </si>
  <si>
    <t>R67</t>
  </si>
  <si>
    <t>R68</t>
  </si>
  <si>
    <t>R69</t>
  </si>
  <si>
    <t>R70</t>
  </si>
  <si>
    <t>R71</t>
  </si>
  <si>
    <t>R72</t>
  </si>
  <si>
    <t>R73</t>
  </si>
  <si>
    <t>R74</t>
  </si>
  <si>
    <t>R75</t>
  </si>
  <si>
    <t>R76</t>
  </si>
  <si>
    <t>R77</t>
  </si>
  <si>
    <t>R78</t>
  </si>
  <si>
    <t>R79</t>
  </si>
  <si>
    <t>R80</t>
  </si>
  <si>
    <t>R81</t>
  </si>
  <si>
    <t>R82</t>
  </si>
  <si>
    <t>R83</t>
  </si>
  <si>
    <t>R84</t>
  </si>
  <si>
    <t>R85</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</si>
  <si>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</si>
  <si>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</si>
  <si>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</si>
  <si>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</si>
  <si>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</si>
  <si>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</si>
  <si>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</si>
  <si>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</si>
  <si>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</si>
  <si>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</si>
  <si>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</si>
  <si>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</si>
  <si>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</si>
  <si>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</si>
  <si>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</si>
  <si>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</si>
  <si>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</si>
  <si>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</si>
  <si>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</si>
  <si>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</si>
  <si>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</si>
  <si>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</si>
  <si>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</si>
  <si>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</si>
  <si>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t>R110</t>
  </si>
  <si>
    <t>R111</t>
  </si>
  <si>
    <t>R112</t>
  </si>
  <si>
    <t>R113</t>
  </si>
  <si>
    <t>R114</t>
  </si>
  <si>
    <t>R115</t>
  </si>
  <si>
    <t>R116</t>
  </si>
  <si>
    <t>R117</t>
  </si>
  <si>
    <t>R118</t>
  </si>
  <si>
    <t>R119</t>
  </si>
  <si>
    <t>R120</t>
  </si>
  <si>
    <t>R121</t>
  </si>
  <si>
    <t>R122</t>
  </si>
  <si>
    <t>R123</t>
  </si>
  <si>
    <t>R124</t>
  </si>
  <si>
    <t>R125</t>
  </si>
  <si>
    <t>R126</t>
  </si>
  <si>
    <t>R127</t>
  </si>
  <si>
    <t>R128</t>
  </si>
  <si>
    <t>R129</t>
  </si>
  <si>
    <t>R130</t>
  </si>
  <si>
    <t>R131</t>
  </si>
  <si>
    <t>R132</t>
  </si>
  <si>
    <t>R133</t>
  </si>
  <si>
    <t>invalide</t>
  </si>
  <si>
    <t>Valeur de l'indice IndS à ramener après modification, en cas de modification de fiche (Nom = IndSret)</t>
  </si>
  <si>
    <t>Indicateur de modification en cours, pour retour de IndS (nom = IndR)</t>
  </si>
  <si>
    <t>Tableaux des paramètres enregistrés</t>
  </si>
  <si>
    <t>TAP</t>
  </si>
  <si>
    <t>TAS</t>
  </si>
  <si>
    <t>TDOM</t>
  </si>
  <si>
    <t>Crfx</t>
  </si>
  <si>
    <t>A chaque enregistrement d'une fiche, les tableaux sont renseignés avec les éléments de cette fiche</t>
  </si>
  <si>
    <t>A la réinitialisation des fiches les valeurs de départ (-) sont réinitialisées</t>
  </si>
  <si>
    <t>Si on modifie un des éléments , on pourra alerter et invalider une fiche ou revenir en arrière et rétablir les éléments modifiés</t>
  </si>
  <si>
    <t>TEXPO</t>
  </si>
  <si>
    <t>Réception de courrier falsifié</t>
  </si>
  <si>
    <t>Protection contre les malwares et actions malveillantes menées par voie électronique (hameçonnage), ou non (faux courrier)</t>
  </si>
  <si>
    <t>Msa</t>
  </si>
  <si>
    <t>Invalide</t>
  </si>
  <si>
    <t>🗑</t>
  </si>
  <si>
    <t>Scénarios Impossibles ou hors domaine</t>
  </si>
  <si>
    <t>Isd</t>
  </si>
  <si>
    <t>Inclure les risques sans décision</t>
  </si>
  <si>
    <t>Absence de décision</t>
  </si>
  <si>
    <t>Classif</t>
  </si>
  <si>
    <t>Nb risques valides</t>
  </si>
  <si>
    <t>Indicateur de risque analysé mais en atente de décision (nom = IndA)</t>
  </si>
  <si>
    <t>Indicateur de risque analysé mais invalidé (Nom = IndI)</t>
  </si>
  <si>
    <t>par défaut : FAUX</t>
  </si>
  <si>
    <t>Synthèse des décisions validées</t>
  </si>
  <si>
    <t>Risque à réduire ou à éviter de toute urgence</t>
  </si>
  <si>
    <t>Risque ne nécessitant pas de décision particulière</t>
  </si>
  <si>
    <t>Risque dont la réduction ou  l'évitement doivent être planifiés</t>
  </si>
  <si>
    <t>Nombre de scénarios de risque validés avec décision :</t>
  </si>
  <si>
    <t>Nombre de scénarios de risque validés sans décision :</t>
  </si>
  <si>
    <t>Nombre de scénarios de risque invalidés :</t>
  </si>
  <si>
    <t>Valides avec décision</t>
  </si>
  <si>
    <t>Valides sans décision</t>
  </si>
  <si>
    <t>Décisions validées</t>
  </si>
  <si>
    <t>Tableau initial, mis à jour si modification confirmée</t>
  </si>
  <si>
    <t>Retab :</t>
  </si>
  <si>
    <t>ADMIN</t>
  </si>
  <si>
    <t>issu de Tab_scen (numéro de ligne dans le tableau "Scen"</t>
  </si>
  <si>
    <t>Numéro de ligne relatif (dans le tableau Scen commençant par le titre DAP)</t>
  </si>
  <si>
    <t>Mode d'emploi de la base</t>
  </si>
  <si>
    <t>Actifs Primaires</t>
  </si>
  <si>
    <t>Tableau permettant de désélectionner (éventuellement) des types d'actifs support afin d'adapter l'analyse au contexte de l'organisme</t>
  </si>
  <si>
    <t>Tableau permettant de désélectionner (éventuellement) des types de dommages afin d'adapter l'analyse au contexte de l'organisme</t>
  </si>
  <si>
    <t>Expo</t>
  </si>
  <si>
    <t>Tableau permettant de forcer (éventuellement) des valeurs non standard d'Exposition naturelle (par type d'événement déclencheur) afin d'adapter l'analyse au contexte de l'organisme</t>
  </si>
  <si>
    <t>Module d'analyse de risque</t>
  </si>
  <si>
    <t>Ana_risk</t>
  </si>
  <si>
    <t>Récapitulatif des fiches de risque établies avec possibilité de :
- visualiser à nouveau une fiche établie
- modifier une fiche établie</t>
  </si>
  <si>
    <t>Panorama</t>
  </si>
  <si>
    <t>Tableaux de suivi de l'analyse des risques permettant de visualiser :
- une synthèse des risques sur le tableau d'acceptabilité
- le taux d'avancement de l'analyse
- une synthèse des décisions prises</t>
  </si>
  <si>
    <t>Scénarios</t>
  </si>
  <si>
    <t>Module de paramétrage</t>
  </si>
  <si>
    <t>Gravité</t>
  </si>
  <si>
    <t>Grilles_IP</t>
  </si>
  <si>
    <t>Module de présentation et des aspects juridiques</t>
  </si>
  <si>
    <t>Feuille synthétisant la démarche Méhari</t>
  </si>
  <si>
    <t>Texte complet de la licence de distribution des bases Méhari</t>
  </si>
  <si>
    <t>Suivi des versions</t>
  </si>
  <si>
    <t>Tableau permettant de renseigner :
- le dysfonctionnement redouté à analyser
- les actifs primaires concernés
- les impacts intrinsèques par type de conséquence</t>
  </si>
  <si>
    <t>Feuille permettant la validation ou la modification de la grille d'acceptabilité des risques</t>
  </si>
  <si>
    <t>Nom dans les menus</t>
  </si>
  <si>
    <t>Feuille</t>
  </si>
  <si>
    <t>Grilles de décision</t>
  </si>
  <si>
    <t>Actifs_Primaires</t>
  </si>
  <si>
    <t>Actifs_support</t>
  </si>
  <si>
    <t xml:space="preserve">                                Fiche d'analyse de risque N° </t>
  </si>
  <si>
    <t>Fiche d'analyse de risque</t>
  </si>
  <si>
    <r>
      <t>Actifs primaires</t>
    </r>
    <r>
      <rPr>
        <b/>
        <sz val="11"/>
        <rFont val="Arial"/>
        <family val="2"/>
      </rPr>
      <t xml:space="preserve"> (concernés par le dysfonctionnement décrit ci-dessous)</t>
    </r>
  </si>
  <si>
    <r>
      <t xml:space="preserve">Événements déclencheurs
</t>
    </r>
    <r>
      <rPr>
        <b/>
        <sz val="11"/>
        <rFont val="Arial"/>
        <family val="2"/>
      </rPr>
      <t>Typologie et exposition naturelle</t>
    </r>
  </si>
  <si>
    <t>Événements déclencheurs</t>
  </si>
  <si>
    <t>Fiches de risque</t>
  </si>
  <si>
    <r>
      <t xml:space="preserve">Evénements déclencheurs
</t>
    </r>
    <r>
      <rPr>
        <b/>
        <sz val="9"/>
        <rFont val="Arial"/>
        <family val="2"/>
      </rPr>
      <t>(Typologie et Exposition naturelle)</t>
    </r>
  </si>
  <si>
    <t>Analyse de Risque</t>
  </si>
  <si>
    <t>Chaque fonction de la base peut être atteinte par les boutons de navigation explicités ci-dessous.
Retour vers ce menu général par le bouton "Accueil" ci-contre</t>
  </si>
  <si>
    <t>Feuille permettant la modification des grilles de décision des niveaux d'impact et de potentialité en fonction des niveaux de mesures de sécurité</t>
  </si>
  <si>
    <t>3. Décision</t>
  </si>
  <si>
    <t>Colonnes Techniques : à masquer</t>
  </si>
  <si>
    <t xml:space="preserve"> ''LECTURE SEULE''</t>
  </si>
  <si>
    <t>Valeur validée</t>
  </si>
  <si>
    <t xml:space="preserve">Nb total de fiches </t>
  </si>
  <si>
    <t>Nb total de fiches</t>
  </si>
  <si>
    <t>DAPD13</t>
  </si>
  <si>
    <t>Destruction logique totale (fichiers et leurs sauvegardes) par un membre du personnel doté de droits privilégiés</t>
  </si>
  <si>
    <t>Indisponibilité de références, d’adresses ou de processus d’accès au media support de données</t>
  </si>
  <si>
    <t>DAPC05</t>
  </si>
  <si>
    <t>Diffusion involontaire de données lors de la réaffectation ou de la mise au rebut de média</t>
  </si>
  <si>
    <t>Altération massive ou incohérence accidentelle de données les rendant inutilisables</t>
  </si>
  <si>
    <t>Numéro relatif dans tableau des scénarios dont première ligne = DAP</t>
  </si>
  <si>
    <t>Téléchargement, duplication ou diffusion volontaire de fichiers de données , incluant les fichiers relatifs aux agendas et contacts</t>
  </si>
  <si>
    <t xml:space="preserve">Vol physique ou consultation pendant la distribution de courrier </t>
  </si>
  <si>
    <t>Valides</t>
  </si>
  <si>
    <t>Texpo</t>
  </si>
  <si>
    <t>Panne ou dysfonctionnement d'équipement</t>
  </si>
  <si>
    <t xml:space="preserve">Altérations ou pertes (non détectées) de messages transactionnels </t>
  </si>
  <si>
    <t xml:space="preserve">Edition 1.1 Version initiale </t>
  </si>
  <si>
    <t>Grilles de référence</t>
  </si>
  <si>
    <t>Analyse de risque</t>
  </si>
  <si>
    <t>Fiches de Risque</t>
  </si>
  <si>
    <t>Fic_Risk</t>
  </si>
  <si>
    <r>
      <t xml:space="preserve">Non application de procédure adaptée au respect des exigences légales ou contractuelles, par absence de procédures adaptées </t>
    </r>
    <r>
      <rPr>
        <sz val="10"/>
        <rFont val="Arial"/>
        <family val="2"/>
      </rPr>
      <t>ou par ignorance de la bonne procédure</t>
    </r>
  </si>
  <si>
    <r>
      <t xml:space="preserve">Non application </t>
    </r>
    <r>
      <rPr>
        <sz val="10"/>
        <rFont val="Arial"/>
        <family val="2"/>
      </rPr>
      <t>volontaire de procédure adaptée au respect des exigences légales ou contractuelles</t>
    </r>
  </si>
  <si>
    <r>
      <t xml:space="preserve">Application </t>
    </r>
    <r>
      <rPr>
        <sz val="10"/>
        <rFont val="Arial"/>
        <family val="2"/>
      </rPr>
      <t>d'une procédure inadaptée au respect des exigences légales ou contractuelles (autre que celle qui aurait du être déclenchée) par incompréhension ou conflits entre procédures</t>
    </r>
  </si>
  <si>
    <t>Feuille de travail de base permettant :
- la caractérisation des paramètres d'un risque particulier 
- l'évaluation des mesures de sécurité pouvant agir sur le niveau de risque
- l'établissement d'une fiche de risque récapitulant les points ci-dessus</t>
  </si>
  <si>
    <t>Altération accidentelle (non détectée) de la cohérence de données</t>
  </si>
  <si>
    <t xml:space="preserve">Ces différentes étapes de sélection sont proposées dans l'onglet "Analyse de Risque" </t>
  </si>
  <si>
    <t>Absence de services généraux : défaillance ou indisponibilité de services généraux ou de servitudes, énergie, climatisation, etc.</t>
  </si>
  <si>
    <t>Conflit non ou mal résolu entre procédures</t>
  </si>
  <si>
    <t>Dégâts divers dus à l'environnement (vieillissement, pollution, dégâts des eaux, surcharge électrique, etc.) ou à du vandalisme</t>
  </si>
  <si>
    <t>19 juin 2021</t>
  </si>
  <si>
    <t>Seul un spécialiste, un professionnel doté de moyens très importants, ou une collusion entre plusieurs professionnels ayant des domaines d'expertise différents peuvent aboutir.  Concours de circonstances rares ou circonstances exceptionnelles exigées.</t>
  </si>
  <si>
    <t>Seuls quelques experts, dotés de moyens très importants, peuvent aboutir.  Seuls des concours exceptionnels de circonstances exceptionnelles peuvent conduire à ce scénario.</t>
  </si>
  <si>
    <t>Les mesures seront totalement improvisées et/ou il est raisonnable de penser que leur effet en sera très faible.</t>
  </si>
  <si>
    <t>DAPD01-a</t>
  </si>
  <si>
    <t>DAPD01-b</t>
  </si>
  <si>
    <t>par une personne non autorisée</t>
  </si>
  <si>
    <t>Complément de circonstances</t>
  </si>
  <si>
    <t>DAPD05-a</t>
  </si>
  <si>
    <t>DAPD05-b</t>
  </si>
  <si>
    <t>due à une erreur de procédure, lors d'une opération de maintenance</t>
  </si>
  <si>
    <t>due à une erreur de procédure d'exploitation</t>
  </si>
  <si>
    <t>DAPD06-a</t>
  </si>
  <si>
    <t>DAPD06-b</t>
  </si>
  <si>
    <t>DAPD06-c</t>
  </si>
  <si>
    <t>effectuée volontairement par un tiers non autorisé</t>
  </si>
  <si>
    <t>pendant une opération de maintenance</t>
  </si>
  <si>
    <t>Nombre de lignes de scénarios avec ce dommage</t>
  </si>
  <si>
    <t>Tableau du nombre de lignes de scénarios par dommage</t>
  </si>
  <si>
    <t>Tableau du nombre de lignes de scénarios par dommage pour le premier type d'événement déclencheur</t>
  </si>
  <si>
    <t>Tableau du nombre de lignes de scénarios par dommage pour le deuxième type d'événement déclencheur</t>
  </si>
  <si>
    <t>Tableau du nombre de lignes de scénarios par dommage pour le troisième type d'événement déclencheur</t>
  </si>
  <si>
    <t>Tableau du nombre de lignes de scénarios par dommage pour le quatrième type d'événement déclencheur</t>
  </si>
  <si>
    <t>Gl/dét</t>
  </si>
  <si>
    <t>Type de circonstance</t>
  </si>
  <si>
    <t>Type de circonstance à sélectionner</t>
  </si>
  <si>
    <t>Type de circonstance sélectionné</t>
  </si>
  <si>
    <t>Ce scénario comporte plusieurs scénarios détaillés selon les circonstances de survenance,
indiquez votre choix d'analyse globale ou détaillée ci-contre.</t>
  </si>
  <si>
    <t>Type d'analyse (globale ou détaillée</t>
  </si>
  <si>
    <t>Analyse globale</t>
  </si>
  <si>
    <t>Analyse détaillée</t>
  </si>
  <si>
    <t>h. Circonstance de déclenchement</t>
  </si>
  <si>
    <t>Type d'analyse sélectionné</t>
  </si>
  <si>
    <t>N° Typ. An.</t>
  </si>
  <si>
    <t>N° de ligne Expo :</t>
  </si>
  <si>
    <t>nb lignes</t>
  </si>
  <si>
    <t>num ligne1</t>
  </si>
  <si>
    <t>événement dcélencheur 1</t>
  </si>
  <si>
    <t>événement dcélencheur 2</t>
  </si>
  <si>
    <t>événement dcélencheur 3</t>
  </si>
  <si>
    <t>événement dcélencheur 4</t>
  </si>
  <si>
    <t>numéro si analyse globale</t>
  </si>
  <si>
    <t>Code event</t>
  </si>
  <si>
    <t>Tab_sel_event</t>
  </si>
  <si>
    <t>N° Typ. Circ.</t>
  </si>
  <si>
    <t>Indicateur de phase d'effacement (Nom = IndF)</t>
  </si>
  <si>
    <t xml:space="preserve"> </t>
  </si>
  <si>
    <t>Indicateur d'analyse globale ou détaillée (G ou D)</t>
  </si>
  <si>
    <t>(Nom = Sel_GD)</t>
  </si>
  <si>
    <t>DAPI01-a</t>
  </si>
  <si>
    <t>DAPI01-b</t>
  </si>
  <si>
    <t>DAPI02-a</t>
  </si>
  <si>
    <t>par erreur de procédure d'exploitation, lors de traitements</t>
  </si>
  <si>
    <t>DAPI03-a</t>
  </si>
  <si>
    <t>DAPI03-b</t>
  </si>
  <si>
    <t>DAPI03-c</t>
  </si>
  <si>
    <t>par action volontaire commise par une personne non autorisée (après captation sur le réseau)</t>
  </si>
  <si>
    <t>par rejeu de transaction, commis par une personne non autorisée</t>
  </si>
  <si>
    <t>DAPI05-a</t>
  </si>
  <si>
    <t>DAPI05-b</t>
  </si>
  <si>
    <t>DAPC01-a</t>
  </si>
  <si>
    <t>DAPC01-b</t>
  </si>
  <si>
    <t>par un tiers non autorisé</t>
  </si>
  <si>
    <t>par une personne dotée de droits privilégiés</t>
  </si>
  <si>
    <t>lors d'une opération de maintenance</t>
  </si>
  <si>
    <t>DAPC04-a</t>
  </si>
  <si>
    <t>DAPC04-b</t>
  </si>
  <si>
    <t>dans les locaux de l'exploitation, par une personne non autorisée</t>
  </si>
  <si>
    <t/>
  </si>
  <si>
    <t>Type d'analyse</t>
  </si>
  <si>
    <t xml:space="preserve">  </t>
  </si>
  <si>
    <t>Types de scénarios</t>
  </si>
  <si>
    <t>Scénario multiple, sans circonstance précisée (Analyse globale)</t>
  </si>
  <si>
    <t>Scénario multiple, avec circonstance précisée (Analyse détaillée)</t>
  </si>
  <si>
    <t>Mesures mises en places</t>
  </si>
  <si>
    <t>CODI</t>
  </si>
  <si>
    <t>Contrôles des données sur incidents</t>
  </si>
  <si>
    <t>DBUD01-a</t>
  </si>
  <si>
    <t>sur un serveur de données partagées, par une personne non autorisée</t>
  </si>
  <si>
    <t>sur le poste de travail, par une personne non autorisée</t>
  </si>
  <si>
    <t>Disponibilité des données et services externalisées</t>
  </si>
  <si>
    <t>Gestion des moyens d'accès aux fichiers de données ou de programme</t>
  </si>
  <si>
    <t xml:space="preserve">CASA,PPDT
</t>
  </si>
  <si>
    <t>Contrôle permanent sur les données et traitements</t>
  </si>
  <si>
    <t>Contrôle de l'émission et de la réception de données et de messages</t>
  </si>
  <si>
    <t>Protection contre les logiciels malveillants et actions malveillantes menées par voie électronique (hameçonnage), ou non (faux courrier)</t>
  </si>
  <si>
    <t>6A03 : Plan de continuité de la messagerie électronique</t>
  </si>
  <si>
    <t>DDSE</t>
  </si>
  <si>
    <t>COMA</t>
  </si>
  <si>
    <t>Contrôle des opérations de maintenance</t>
  </si>
  <si>
    <t>CODI,COMA</t>
  </si>
  <si>
    <t>SUBU</t>
  </si>
  <si>
    <t>SULO</t>
  </si>
  <si>
    <t>Surveillance des zones de bureaux sensibles</t>
  </si>
  <si>
    <t>DBUD10-a</t>
  </si>
  <si>
    <t>DBUD10-b</t>
  </si>
  <si>
    <t>DBUI01-a</t>
  </si>
  <si>
    <t>sur serveur de données partagées, par une personne non autorisée</t>
  </si>
  <si>
    <t>DBUI01-b</t>
  </si>
  <si>
    <t>DBUI01-c</t>
  </si>
  <si>
    <t>DBUI03-a</t>
  </si>
  <si>
    <t>par action volontaire menée par une personne non autorisée (après captation sur le réseau)</t>
  </si>
  <si>
    <t>DBUI03-b</t>
  </si>
  <si>
    <t>par action  volontaire menée par une personne dotée de droits privilégiés</t>
  </si>
  <si>
    <t>DBUC01-a</t>
  </si>
  <si>
    <t>DBUC01-b</t>
  </si>
  <si>
    <t>fichiers de données bureautiques partagées, par un tiers non autorisé</t>
  </si>
  <si>
    <t>DBUC01-c</t>
  </si>
  <si>
    <t>fichiers stockés sur le poste de travail, par un tiers non autorisé</t>
  </si>
  <si>
    <t>DBUC01-d</t>
  </si>
  <si>
    <t>DBUC01-e</t>
  </si>
  <si>
    <t>par un proche d’un utilisateur autorisé, via son appareil mobile personnel déclaré et autorisé</t>
  </si>
  <si>
    <t>DBUC10-a</t>
  </si>
  <si>
    <t>DBUC10-b</t>
  </si>
  <si>
    <t>dans les bureaux, par une personne non autorisée</t>
  </si>
  <si>
    <t>DBUC10-c</t>
  </si>
  <si>
    <t>lors de la mise au rebut d'un media</t>
  </si>
  <si>
    <t>IEID01-a</t>
  </si>
  <si>
    <t>IEID01-b</t>
  </si>
  <si>
    <t>lors d'une impression sur imprimante partagée</t>
  </si>
  <si>
    <t>IEIC01-a</t>
  </si>
  <si>
    <t>dans un bureau par une personne non autorisée</t>
  </si>
  <si>
    <t>IEIC01-b</t>
  </si>
  <si>
    <t>IEIC01-c</t>
  </si>
  <si>
    <t>IEIC01-d</t>
  </si>
  <si>
    <t>récupération de brouillon de document ou de document mis au rebut</t>
  </si>
  <si>
    <t>CEPD03-a</t>
  </si>
  <si>
    <t>CEPD03-b</t>
  </si>
  <si>
    <t>ARCC01-a</t>
  </si>
  <si>
    <t>ARCC01-b</t>
  </si>
  <si>
    <t>DPUI01-a</t>
  </si>
  <si>
    <t>DPUI01-b</t>
  </si>
  <si>
    <t>SAPD01-a</t>
  </si>
  <si>
    <t>SAPD01-b</t>
  </si>
  <si>
    <t>SAPD11-a</t>
  </si>
  <si>
    <t>SAPD11-b</t>
  </si>
  <si>
    <t>SAPD16-a</t>
  </si>
  <si>
    <t>SAPD16-b</t>
  </si>
  <si>
    <t>SAPI01-a</t>
  </si>
  <si>
    <t>par action malveillante (non détectée) menée par un membre du personnel doté de droits privilégiés (paramètre de fonctionnement)</t>
  </si>
  <si>
    <t>SAPI01-b</t>
  </si>
  <si>
    <t>par action malveillante (non détectée) menée lors d'une opération de maintenance (fonction logicielle)</t>
  </si>
  <si>
    <t>SAPI01-c</t>
  </si>
  <si>
    <t>par action malveillante (non détectée) menée par une personne usurpant des droits privilégiés</t>
  </si>
  <si>
    <t>SAPI03-a</t>
  </si>
  <si>
    <t>SAPI03-b</t>
  </si>
  <si>
    <t>SAPI04-a</t>
  </si>
  <si>
    <t>SAPI04-b</t>
  </si>
  <si>
    <t>SAPI05-a</t>
  </si>
  <si>
    <t>SAPI05-b</t>
  </si>
  <si>
    <t>par accès physique au poste de travail, dans les bureaux, par une personne non autorisée</t>
  </si>
  <si>
    <t>SAPI05-c</t>
  </si>
  <si>
    <t>altération fonctionnelle d'équipement utilisateur, lors d'une opération de maintenance</t>
  </si>
  <si>
    <t>SAPI05-d</t>
  </si>
  <si>
    <t>altération fonctionnelle d'équipement utilisateur, par accès physique au poste de travail mobile, en dehors de l'entreprise</t>
  </si>
  <si>
    <t>SAPC01-a</t>
  </si>
  <si>
    <t>SAPC01-b</t>
  </si>
  <si>
    <t>SAPC01-c</t>
  </si>
  <si>
    <t>SAPC02-a</t>
  </si>
  <si>
    <t>SAPC02-b</t>
  </si>
  <si>
    <t>SPUI01-a</t>
  </si>
  <si>
    <t>par un membre du personnel doté de droits privilégiés</t>
  </si>
  <si>
    <t>SPUI01-b</t>
  </si>
  <si>
    <t>SPUI01-c</t>
  </si>
  <si>
    <t>par une personne usurpant des droits privilégiés</t>
  </si>
  <si>
    <t>PDSS,SBUR</t>
  </si>
  <si>
    <t>CASA,CHDB,PIDB</t>
  </si>
  <si>
    <t>CHDB,PIDB</t>
  </si>
  <si>
    <t>CASA,CHDB</t>
  </si>
  <si>
    <t>CASA,SIPU</t>
  </si>
  <si>
    <t>CASA,COCF</t>
  </si>
  <si>
    <t>CALO,COCF</t>
  </si>
  <si>
    <t>CALO,CHDA</t>
  </si>
  <si>
    <t>CASA,CHDB,PIDB,PPDT</t>
  </si>
  <si>
    <t>CASA,CHDB,COMA,PPDT</t>
  </si>
  <si>
    <t>PPDT,SBUR</t>
  </si>
  <si>
    <t>CHDA,SARC</t>
  </si>
  <si>
    <t>CASE,PIDE</t>
  </si>
  <si>
    <t>GPES,PCAC</t>
  </si>
  <si>
    <t>GPES,PSSE</t>
  </si>
  <si>
    <t>CASA,COMA</t>
  </si>
  <si>
    <t>CERD,PIED</t>
  </si>
  <si>
    <t>CASA,CHDA,COMA</t>
  </si>
  <si>
    <t>CASA,CHDA</t>
  </si>
  <si>
    <t>CHDB,PIDB,PPDT</t>
  </si>
  <si>
    <t>CHED,PIED</t>
  </si>
  <si>
    <t>CHDB,PPDT</t>
  </si>
  <si>
    <t>CHDB,PMAL</t>
  </si>
  <si>
    <t>CHDB,SBUR</t>
  </si>
  <si>
    <t>COMA,SUBU</t>
  </si>
  <si>
    <t>Ligne de début du tableau des scénarios</t>
  </si>
  <si>
    <t xml:space="preserve">Ligne finale (relative) du scénario après choix éventuel de circonstance </t>
  </si>
  <si>
    <t>Ligne finale absolue du scénario</t>
  </si>
  <si>
    <t>Effacement  volontaire de fichier de données</t>
  </si>
  <si>
    <t>Perte par vol physique de document ou de media</t>
  </si>
  <si>
    <t>DAPD10-a</t>
  </si>
  <si>
    <t>DAPD10-b</t>
  </si>
  <si>
    <t>DAPD14</t>
  </si>
  <si>
    <t>Nombre total de scénarios (analyse globale)</t>
  </si>
  <si>
    <t>DEXD02-a</t>
  </si>
  <si>
    <t>DEXD02-b</t>
  </si>
  <si>
    <t>DEXD03</t>
  </si>
  <si>
    <t>DEXI03</t>
  </si>
  <si>
    <t>Rien ou G ou D</t>
  </si>
  <si>
    <t>Perte accidentelle ou oubli de document ou de media</t>
  </si>
  <si>
    <t>Référence de numéro de fiche à effacer (Nom = Effic)</t>
  </si>
  <si>
    <t>Gestion du retour après modification de l'option d'analyse Globale/détaillée</t>
  </si>
  <si>
    <t>Option initiale, avant changement</t>
  </si>
  <si>
    <t>Ligne de scénario concernée</t>
  </si>
  <si>
    <t>Nombre  de lignes (y compris parent)</t>
  </si>
  <si>
    <t>relatif</t>
  </si>
  <si>
    <t>Tableau = Tab_Gest_GD (déclaré dans Init)</t>
  </si>
  <si>
    <t>Endommagement logique</t>
  </si>
  <si>
    <t>L'élément est sans dommage apparent mais non fonctionnel (panne, saturation, perte de performances rédhibitoire, etc.) ou inexploitable soit totalement (élément nécessaire absent : clé de chiffrement, licence, jeton d'accès, etc. ou ) soit partiellement (dégâts dus à la pollution, au vieillissement) soit à cause d'un défaut d'intégrité détecté (dont un défaut de cohérence)</t>
  </si>
  <si>
    <t>Tout ou partie des données ont été corrompues de manière accidentelle ou malveillante (que ce soit pour un ensemble structuré de données ou pour des données isolées ou messages)</t>
  </si>
  <si>
    <t>Inapplication de procédures adaptées</t>
  </si>
  <si>
    <t xml:space="preserve">Rappel
Ces dommages sont subis par des actifs secondaires (ou supports) qui peuvent être :
Des éléments matériels : équipement fonctionnel, câblage, dispositifs de sécurité, etc. des médias support de logiciel, d'automatisme, de paramètres de processus ou de données.
Des éléments immatériels : logiciel, automatisme, paramétrage de processus, etc. ou des données (fichiers constitués, données fugitives, messages, échanges audiovisuels, etc.)
Des procédures de management
</t>
  </si>
  <si>
    <t>vol commis par une personne non autorisée à pénétrer dans les locaux de l'exploitation</t>
  </si>
  <si>
    <t>due à une erreur de procédure, lors d'une opération de maintenance (programmée ou maintenance à chaud)</t>
  </si>
  <si>
    <t>par action volontaire commise par une personne autorisée (dotée de droits privilégiés)</t>
  </si>
  <si>
    <t>dans un bureau par une personne autorisée à y pénétrer (dont personnel doté de droits d'accès physiques privilégiés)</t>
  </si>
  <si>
    <t>DBUD01-b</t>
  </si>
  <si>
    <t>DBUD01-c</t>
  </si>
  <si>
    <t>par une personne non autorisée à pénétrer dans les espaces de bureau</t>
  </si>
  <si>
    <t>par une personne autorisée à pénétrer dans les espaces de bureau (dont le personnel doté de droits privilégiés)</t>
  </si>
  <si>
    <t>sur serveur de données, par un utilisateur autorisé (dont le personnel doté de droits privilégiés)</t>
  </si>
  <si>
    <t>fichiers de données bureautiques partagées, par un utilisateur autorisé (dont le personnel doté de droits privilégiés)</t>
  </si>
  <si>
    <t>CHDB,COMA</t>
  </si>
  <si>
    <t>dans les bureaux, par une personne autorisée (dont le personnel doté de droits privilégiés)</t>
  </si>
  <si>
    <t>IEID01-c</t>
  </si>
  <si>
    <t>dans un bureau par une personne non autorisée à y pénétrer</t>
  </si>
  <si>
    <t>PDSS,SBUR,PIMP</t>
  </si>
  <si>
    <t>Vol physique ou copie de document</t>
  </si>
  <si>
    <t>CALO,SCPO</t>
  </si>
  <si>
    <t>Destruction ou vol de courrier postal dans les locaux du courrier</t>
  </si>
  <si>
    <t>par une personne non autorisée à pénétrer dans les locaux du courrier</t>
  </si>
  <si>
    <t>par une personne autorisée à pénétrer dans les locaux du courrier (dont le personnel doté de droits privilégiés)</t>
  </si>
  <si>
    <t>Vol physique de document ou de media dans les locaux de l'exploitation</t>
  </si>
  <si>
    <t>par une personne autorisée à y pénétrer (dont le personnel doté de droits privilégiés)</t>
  </si>
  <si>
    <t>par une personne autorisée (dont le personnel doté de droits privilégiés)</t>
  </si>
  <si>
    <t>Vol physique dans les locaux de l'exploitation</t>
  </si>
  <si>
    <t>Echange physique (avec un média au contenu modifié), dans les locaux de l'exploitation</t>
  </si>
  <si>
    <t>par une personne autorisée  (dont le personnel doté de droits privilégiés)</t>
  </si>
  <si>
    <t>par accès physique au poste de travail, dans les bureaux, par une personne autorisée (dont le personnel doté de droits privilégiés)</t>
  </si>
  <si>
    <t>SDMR</t>
  </si>
  <si>
    <t>CHDA,SDMR</t>
  </si>
  <si>
    <t>CHDB,SBUR,SDMR</t>
  </si>
  <si>
    <t>CHDB,SDMR</t>
  </si>
  <si>
    <t>Vol ou échange malveillant de média support de code source, dans les locaux de l'exploitation</t>
  </si>
  <si>
    <t>par une personne autorisée (dont personnel doté de droits privilégiés)</t>
  </si>
  <si>
    <t>SAPC02-c</t>
  </si>
  <si>
    <t>Processus de gestion de la conformité aux exigences légales ou contractuelles</t>
  </si>
  <si>
    <t>G</t>
  </si>
  <si>
    <t>Numéro de ligne relatif au début de la base des scénarios (premier scénario ligne 2)</t>
  </si>
  <si>
    <t>Surveillance de l'activité interne</t>
  </si>
  <si>
    <t>SUAI</t>
  </si>
  <si>
    <t>Surveillance  des événements externes</t>
  </si>
  <si>
    <t>SUEE</t>
  </si>
  <si>
    <t>SUAI,SUBU</t>
  </si>
  <si>
    <t>Contrôle des programmes</t>
  </si>
  <si>
    <t>COPR</t>
  </si>
  <si>
    <t>Surveillance des événements externes</t>
  </si>
  <si>
    <t>pour 1 seule question en sélection multiple</t>
  </si>
  <si>
    <t>pae défaut Faux</t>
  </si>
  <si>
    <t>Indicateur de la réponse Indrepyes</t>
  </si>
  <si>
    <t>Indicateur de modification de l'option (Nom = Indtest)</t>
  </si>
  <si>
    <t>Gestion de l'indicateur de question ssur invalid ou suppression de fiches (Indtest)</t>
  </si>
  <si>
    <t>"non"</t>
  </si>
  <si>
    <t>DAPC01-c</t>
  </si>
  <si>
    <t>Colscentrait</t>
  </si>
  <si>
    <t>Effacement accidentel de fichiers de données, incluant les fichiers relatifs aux agendas et contacts (sur un serveur de données partagées ou sur le poste de travail)</t>
  </si>
  <si>
    <t>Effacement de fichiers de données par un virus ou un logiciel malveillant (sur un serveur de données partagées ou sur le poste de travail)</t>
  </si>
  <si>
    <t xml:space="preserve">Falsification massive ou incohérences de données les rendant inutilisables, suite à une erreur utilisateur, sur un serveur de données partagées ou sur le poste de travail, </t>
  </si>
  <si>
    <t>Consultation de document sensible par une personne non autorisée à pénétrer dans les espaces de bureau</t>
  </si>
  <si>
    <t>Effacement  de fichier d'archive (effacement  malveillant, par un utilisateur ou par une personne dotée de droits privilégiés )</t>
  </si>
  <si>
    <t>Falsification ou altération accidentelle de données en transit, par erreur de protocole ou de codage</t>
  </si>
  <si>
    <t>Falsification ou altération volontaire de données en transit (par action volontaire menée par une personne non autorisée)</t>
  </si>
  <si>
    <t>Nombre total de scénarios (analyse détaillée)</t>
  </si>
  <si>
    <t>DAPI02-b</t>
  </si>
  <si>
    <t>Effacement ou perte de donnée en transfert vers ou depuis le site externalisé du à une erreur de procédure, une panne transitoire d'équipement ou une erreur de transmission irrécupérable</t>
  </si>
  <si>
    <t>Effacement  malveillant de données</t>
  </si>
  <si>
    <t>Effacement  accidentel de données</t>
  </si>
  <si>
    <t xml:space="preserve">Téléchargement, duplication ou diffusion volontaire de données </t>
  </si>
  <si>
    <t>Vol physique ou duplication de média support de données</t>
  </si>
  <si>
    <t>Effacement malveillant de données bureautiques, incluant celles relatives aux agendas et contacts</t>
  </si>
  <si>
    <t>Falsification ou altération malveillante de données, incluant celles relatives aux agendas et contacts</t>
  </si>
  <si>
    <t>Altération accidentelle de données, incluant celles relatives aux agendas et contacts</t>
  </si>
  <si>
    <t>Perte ou altération de message transactionnel rendant le service non fonctionnel</t>
  </si>
  <si>
    <t>CASA,CHDA,PIDA</t>
  </si>
  <si>
    <t>CHDA,PIDA</t>
  </si>
  <si>
    <t>CALO,CHDA,PIDA</t>
  </si>
  <si>
    <t>CHDA,COMA</t>
  </si>
  <si>
    <t>Destruction logique totale (fichiers et leurs sauvegardes) par un membre du personnel ayant des droits privilégiés</t>
  </si>
  <si>
    <t>CASE,PCDE</t>
  </si>
  <si>
    <t>COMA,SUAI</t>
  </si>
  <si>
    <t>CALO,CHDA,SDMR</t>
  </si>
  <si>
    <t>CASA,COCF,SMAI</t>
  </si>
  <si>
    <t>Tout ou partie de l'ensemble de données a été dupliqué, téléchargé, diffusé ou volé</t>
  </si>
  <si>
    <t>Média support d'archive</t>
  </si>
  <si>
    <t>Protection de l'intégrité des données externalisées échangées</t>
  </si>
  <si>
    <t>4A09 : Contrôle des opérations de maintenance</t>
  </si>
  <si>
    <t>Nom de Fonction/Projet</t>
  </si>
  <si>
    <r>
      <t xml:space="preserve">Projet </t>
    </r>
    <r>
      <rPr>
        <b/>
        <sz val="12"/>
        <color rgb="FFFF0000"/>
        <rFont val="Arial"/>
        <family val="2"/>
      </rPr>
      <t xml:space="preserve">(défini dans Méhari-Standard) 
</t>
    </r>
    <r>
      <rPr>
        <b/>
        <sz val="12"/>
        <rFont val="Arial"/>
        <family val="2"/>
      </rPr>
      <t>ou Fonction</t>
    </r>
    <r>
      <rPr>
        <b/>
        <sz val="12"/>
        <color rgb="FFFF0000"/>
        <rFont val="Arial"/>
        <family val="2"/>
      </rPr>
      <t xml:space="preserve"> (dans Manager-BC)</t>
    </r>
  </si>
  <si>
    <t>par un utilisateur autorisé  (dont le personnel ayant des droits privilégiés)</t>
  </si>
  <si>
    <t>effectuée volontairement par un utilisateur autorisé (dont le personnel ayant des droits privilégiés)</t>
  </si>
  <si>
    <t>vol commis par une personne autorisée à pénétrer dans les locaux de l'exploitation (dont le personnel ayant des droits privilégiés)</t>
  </si>
  <si>
    <t>en exploitation, par une personne non autorisée</t>
  </si>
  <si>
    <t>lors de traitements utilisateurs, par un utilisateur autorisé (dont le personnel ayant des droits privilégiés)</t>
  </si>
  <si>
    <t>dans les locaux de l'exploitation, par eu personne autorisée à y pénétrer (dont le personnel ayant des droits privilégiés)</t>
  </si>
  <si>
    <t>dans les locaux de l'exploitation, par une personne non autorisée à y pénétrer</t>
  </si>
  <si>
    <t>par un utilisateur autorisé (dont le personnel ayant des droits privilégiés)</t>
  </si>
  <si>
    <t>Captation et divulgation de données en transit</t>
  </si>
  <si>
    <t>dans les locaux de l'exploitation, par une personne autorisée (dont le personnel ayant des droits privilégiés)</t>
  </si>
  <si>
    <t>Diffusion par l'utilisateur de fichiers de données, incluant les fichiers relatifs aux courriels reçus ou émis, agendas et contacts, par abus de confiance (hameçonnage ou "phishing")</t>
  </si>
  <si>
    <t>Diffusion malveillante de fichiers de données par un logiciel malveillant (y compris rançongiciel et action différée après introduction d'un cheval de Troie)</t>
  </si>
  <si>
    <t>Falsification ou remplacement par un faux</t>
  </si>
  <si>
    <t>Perte accidentelle de courriel en cours d'émission ou de réception</t>
  </si>
  <si>
    <t>Perte accidentelle de courrier postal reçu, dans le circuit de distribution interne.</t>
  </si>
  <si>
    <t>Effacement ou disparition de moyens d'accès nécessaire à la mise en opération d'application (clés de chiffrement, jetons, éléments nécessaires à l'identification et à l'authentification, licences, etc.)</t>
  </si>
  <si>
    <t>Indisponibilité globale des locaux due à un accident grave ou à une interdiction externe</t>
  </si>
  <si>
    <t>dans les locaux de l'exploitation, par une personne autorisée (dont le personnel ayant des droits d'accès physique privilégiés)</t>
  </si>
  <si>
    <t xml:space="preserve">Arrêt de fonctionnement d'un élément de l'infrastructure support des services externalisés </t>
  </si>
  <si>
    <r>
      <t xml:space="preserve">Non application de procédure adaptée aux règles de gouvernance, de décision et de contrôle, par absence de procédures adaptées </t>
    </r>
    <r>
      <rPr>
        <sz val="10"/>
        <rFont val="Arial"/>
        <family val="2"/>
      </rPr>
      <t>ou par ignorance de la bonne procédure</t>
    </r>
  </si>
  <si>
    <r>
      <t xml:space="preserve">Non application </t>
    </r>
    <r>
      <rPr>
        <sz val="10"/>
        <rFont val="Arial"/>
        <family val="2"/>
      </rPr>
      <t>volontaire de procédure adaptée aux règles de gouvernance, de décision et de contrôle</t>
    </r>
  </si>
  <si>
    <r>
      <t xml:space="preserve">Application </t>
    </r>
    <r>
      <rPr>
        <sz val="10"/>
        <rFont val="Arial"/>
        <family val="2"/>
      </rPr>
      <t>d'une procédure non adaptée aux règles de gouvernance, de décision et de contrôle (autre que celle qui aurait du être déclenchée) par incompréhension ou conflits entre procédures</t>
    </r>
  </si>
  <si>
    <t>Diffusion par l'utilisateur de données sensibles , par abus de confiance (hameçonnage ou "phishing")</t>
  </si>
  <si>
    <t>PIDA,COMA</t>
  </si>
  <si>
    <t xml:space="preserve">Surveillance de l'activité interne
</t>
  </si>
  <si>
    <t xml:space="preserve">Contrôle d'accès aux systèmes et applications
</t>
  </si>
  <si>
    <t xml:space="preserve">Sauvegardes des données et configurations (non externalisées)
</t>
  </si>
  <si>
    <t xml:space="preserve">Gestion des moyens d'accès aux fichiers de données ou de programme
</t>
  </si>
  <si>
    <t xml:space="preserve">Contrôles des données sur incidents
Contrôle des opérations de maintenance
</t>
  </si>
  <si>
    <t xml:space="preserve">Contrôle des opérations de maintenance
</t>
  </si>
  <si>
    <t xml:space="preserve">Contrôles des données sur incidents
</t>
  </si>
  <si>
    <t xml:space="preserve">Contrôle d'accès aux systèmes et applications
Contrôle des opérations de maintenance
</t>
  </si>
  <si>
    <t xml:space="preserve">Contrôle de l'émission et de la réception de données et de messages
</t>
  </si>
  <si>
    <t xml:space="preserve">Surveillance des locaux sensibles
</t>
  </si>
  <si>
    <t xml:space="preserve">Contrôle d'accès aux locaux sensibles
</t>
  </si>
  <si>
    <t xml:space="preserve">Sécurité physique des médias
</t>
  </si>
  <si>
    <t xml:space="preserve">Contrôle d'accès aux systèmes et applications
Chiffrement des données applicatives stockées
Protection de l'intégrité des fichiers de données applicatives stockées ou échangées
</t>
  </si>
  <si>
    <t xml:space="preserve">Contrôle permanent sur les données et traitements
</t>
  </si>
  <si>
    <t xml:space="preserve">Contrôle de l'émission et de la réception de données et de messages
Protection de l'intégrité des échanges de données
</t>
  </si>
  <si>
    <t xml:space="preserve">Chiffrement des échanges de données
Protection de l'intégrité des échanges de données
</t>
  </si>
  <si>
    <t xml:space="preserve">Contrôle de la saisie des données
</t>
  </si>
  <si>
    <t xml:space="preserve">Contrôle d'accès aux systèmes et applications
Chiffrement des données applicatives stockées
Contrôle des opérations de maintenance
</t>
  </si>
  <si>
    <t xml:space="preserve">Contrôle d'accès aux systèmes et applications
Chiffrement des données applicatives stockées
</t>
  </si>
  <si>
    <t xml:space="preserve">Chiffrement des données applicatives stockées
Contrôle des opérations de maintenance
</t>
  </si>
  <si>
    <t xml:space="preserve">Chiffrement des échanges de données
</t>
  </si>
  <si>
    <t xml:space="preserve">Contrôle d'accès aux locaux sensibles
Chiffrement des données applicatives stockées
</t>
  </si>
  <si>
    <t xml:space="preserve">Chiffrement des données applicatives stockées
</t>
  </si>
  <si>
    <t xml:space="preserve">Surveillance de l'activité interne
Surveillance des zones de bureaux sensibles
</t>
  </si>
  <si>
    <t xml:space="preserve">Contrôle d'accès aux systèmes et applications
Protection du poste de travail
</t>
  </si>
  <si>
    <t xml:space="preserve">Surveillance des zones de bureaux sensibles
</t>
  </si>
  <si>
    <t xml:space="preserve">Protection du poste de travail
</t>
  </si>
  <si>
    <t xml:space="preserve">Protection contre les logiciels malveillants et actions malveillantes menées par voie électronique (hameçonnage), ou non (faux courrier)
</t>
  </si>
  <si>
    <t xml:space="preserve">Protection des documents et supports sensibles
Sécurisation des zones de bureaux sensibles
</t>
  </si>
  <si>
    <t xml:space="preserve">Protection des documents et supports sensibles
</t>
  </si>
  <si>
    <t xml:space="preserve">Contrôle d'accès aux systèmes et applications
Chiffrement des données bureautiques
Protection de l'intégrité des fichiers de données bureautiques
Protection du poste de travail
</t>
  </si>
  <si>
    <t xml:space="preserve">Contrôle d'accès aux systèmes et applications
Chiffrement des données bureautiques
Protection de l'intégrité des fichiers de données bureautiques
</t>
  </si>
  <si>
    <t xml:space="preserve">Chiffrement des données bureautiques
Protection de l'intégrité des fichiers de données bureautiques
</t>
  </si>
  <si>
    <t xml:space="preserve">Chiffrement des données bureautiques
Protection de l'intégrité des fichiers de données bureautiques
Protection du poste de travail
</t>
  </si>
  <si>
    <t xml:space="preserve">Protection de l'intégrité des fichiers de données bureautiques
</t>
  </si>
  <si>
    <t xml:space="preserve">Contrôle d'accès aux systèmes et applications
Chiffrement des données bureautiques
Contrôle des opérations de maintenance
Protection du poste de travail
</t>
  </si>
  <si>
    <t xml:space="preserve">Chiffrement des données bureautiques
</t>
  </si>
  <si>
    <t xml:space="preserve">Contrôle d'accès aux systèmes et applications
Chiffrement des données bureautiques
</t>
  </si>
  <si>
    <t xml:space="preserve">Chiffrement des données bureautiques
Protection du poste de travail
</t>
  </si>
  <si>
    <t xml:space="preserve">Chiffrement des données bureautiques
Contrôle des opérations de maintenance
</t>
  </si>
  <si>
    <t xml:space="preserve">Sécurité des appareils mobiles personnels
</t>
  </si>
  <si>
    <t xml:space="preserve">Chiffrement des données bureautiques
Protection contre les logiciels malveillants et actions malveillantes menées par voie électronique (hameçonnage), ou non (faux courrier)
</t>
  </si>
  <si>
    <t xml:space="preserve">Protection du poste de travail
Sécurisation des zones de bureaux sensibles
</t>
  </si>
  <si>
    <t xml:space="preserve">Chiffrement des données bureautiques
Sécurisation des zones de bureaux sensibles
</t>
  </si>
  <si>
    <t xml:space="preserve">Protection des documents et supports sensibles
Sécurisation des zones de bureaux sensibles
Protection des impressions sur imprimante partagée
</t>
  </si>
  <si>
    <t xml:space="preserve">Protection des impressions sur imprimante partagée
</t>
  </si>
  <si>
    <t xml:space="preserve">Sécurité des mails et des messages électroniques
</t>
  </si>
  <si>
    <t xml:space="preserve">Contrôle d'accès aux locaux sensibles
Sécurité du courrier postal
</t>
  </si>
  <si>
    <t xml:space="preserve">Sécurité du courrier postal
</t>
  </si>
  <si>
    <t xml:space="preserve">Sécurité des archives 
</t>
  </si>
  <si>
    <t xml:space="preserve">Chiffrement des données applicatives stockées
Sécurité des archives 
</t>
  </si>
  <si>
    <t xml:space="preserve">Surveillance des informations publiées sur un site web ou interne
</t>
  </si>
  <si>
    <t xml:space="preserve">Contrôle d'accès aux systèmes et applications
Surveillance des informations publiées sur un site web ou interne
</t>
  </si>
  <si>
    <t xml:space="preserve">Disponibilité des données et services externalisées
</t>
  </si>
  <si>
    <t xml:space="preserve">Contrôle d'accès aux systèmes et services externalisés
</t>
  </si>
  <si>
    <t xml:space="preserve">Contrôle d'accès aux systèmes et services externalisés
Protection de l'intégrité des fichiers de données externalisées
</t>
  </si>
  <si>
    <t xml:space="preserve">Contrôle d'accès aux systèmes et services externalisés
Protection de la confidentialité des fichiers de données externalisées
</t>
  </si>
  <si>
    <t xml:space="preserve">Gestion du personnel stratégique
</t>
  </si>
  <si>
    <t xml:space="preserve">Contrôle des programmes
</t>
  </si>
  <si>
    <t xml:space="preserve">Organisation de la maintenance des systèmes et applications
</t>
  </si>
  <si>
    <t xml:space="preserve">Surveillance des événements externes
</t>
  </si>
  <si>
    <t xml:space="preserve">Sûreté de fonctionnement des éléments de l'infrastructure
</t>
  </si>
  <si>
    <t xml:space="preserve">Plans de secours des systèmes et applications
</t>
  </si>
  <si>
    <t xml:space="preserve">Gestion du personnel stratégique
Plan de continuité de l'activité
</t>
  </si>
  <si>
    <t xml:space="preserve">Plan de continuité de l'environnement de travail
</t>
  </si>
  <si>
    <t xml:space="preserve">Contrôle des opérations de maintenance
Surveillance de l'activité interne
</t>
  </si>
  <si>
    <t xml:space="preserve">Contrôle d'accès aux systèmes et applications
Contrôle des configurations systèmes et applicatives
Sécurité de la maintenance logicielle
</t>
  </si>
  <si>
    <t xml:space="preserve">Sécurité de la maintenance logicielle
</t>
  </si>
  <si>
    <t xml:space="preserve">Contrôle d'accès aux systèmes et applications
Contrôle des configurations systèmes et applicatives
</t>
  </si>
  <si>
    <t xml:space="preserve">Contrôle d'accès aux locaux sensibles
Contrôle des configurations systèmes et applicatives
</t>
  </si>
  <si>
    <t xml:space="preserve">Contrôle des configurations systèmes et applicatives
</t>
  </si>
  <si>
    <t xml:space="preserve">Contrôle des opérations de maintenance
Surveillance des zones de bureaux sensibles
</t>
  </si>
  <si>
    <t xml:space="preserve">Gestion du personnel stratégique
Plans de secours des systèmes externalisés
</t>
  </si>
  <si>
    <t xml:space="preserve">Plans de secours des systèmes externalisés
</t>
  </si>
  <si>
    <t xml:space="preserve">Contrôle de l'intégrité des services externalisés
</t>
  </si>
  <si>
    <t xml:space="preserve">Conformité aux exigences légales ou contractuelles
</t>
  </si>
  <si>
    <t xml:space="preserve">Conformité aux règles de gouvernance et de prise de décision
</t>
  </si>
  <si>
    <t xml:space="preserve">Protection contre les risques environnementaux divers
</t>
  </si>
  <si>
    <t>Fonctions de sécurité des codes sources de programmes</t>
  </si>
  <si>
    <t>PCCS</t>
  </si>
  <si>
    <t>PCCS,SUAI</t>
  </si>
  <si>
    <t>2D05 : Protection des écrans des postes de travail contre les captations visuelles</t>
  </si>
  <si>
    <t>7B10 : Protection de la confidentialité des codes sources</t>
  </si>
  <si>
    <t>Protection de la confidentialité des codes sources</t>
  </si>
  <si>
    <t>8B02 : Contrôle de l'application des procédures visant le respect des règles de gouvernance et de prise de décision</t>
  </si>
  <si>
    <r>
      <t xml:space="preserve">Services inclus dans les fonctions </t>
    </r>
    <r>
      <rPr>
        <b/>
        <sz val="12"/>
        <color rgb="FFFF0000"/>
        <rFont val="Arial"/>
        <family val="2"/>
      </rPr>
      <t>(Services de Méhari Standard)</t>
    </r>
  </si>
  <si>
    <t>Fonctions liées à l'infrastructure</t>
  </si>
  <si>
    <t>4E03 : Sécurité des médias réaffectés ou mis au rebut</t>
  </si>
  <si>
    <t>Protection contre la captation visuelle des écrans</t>
  </si>
  <si>
    <t>5F03 : Contrôle de l'intégrité des services externalisés</t>
  </si>
  <si>
    <t>4E02 : Sécurité physique des médias</t>
  </si>
  <si>
    <t>Le scénario peut être mis en œuvre par un professionnel sans autres moyens que ceux dont disposent les personnels de la profession.  Des circonstances naturelles rares peuvent aboutir à ce résultat.</t>
  </si>
  <si>
    <t>Scénario simple, sans circonstance particulière</t>
  </si>
  <si>
    <t>Tableau des fonctions de sécurité</t>
  </si>
  <si>
    <t xml:space="preserve">Protection contre la captation visuelle des écrans
</t>
  </si>
  <si>
    <t xml:space="preserve">Protection de la confidentialité des codes sources
Surveillance de l'activité interne
</t>
  </si>
  <si>
    <t xml:space="preserve">Protection de la confidentialité des codes sources
</t>
  </si>
  <si>
    <t>Messages</t>
  </si>
  <si>
    <t>Texte</t>
  </si>
  <si>
    <t>msgact1</t>
  </si>
  <si>
    <t>Impossible d'enregistrer la fiche (informations non cohérentes ou insuffisantes)</t>
  </si>
  <si>
    <t>Prevalid</t>
  </si>
  <si>
    <t>msgact2</t>
  </si>
  <si>
    <t>Impossible d'enregistrer la fiche d'analyse détaillée sans sélection de circonstance</t>
  </si>
  <si>
    <t>msgact3</t>
  </si>
  <si>
    <t>msgact4</t>
  </si>
  <si>
    <t>Les changements ne seront pas enregistrées</t>
  </si>
  <si>
    <t>Abandon</t>
  </si>
  <si>
    <t>msgact5</t>
  </si>
  <si>
    <t>Si oui, ce classeur sera sauvegardé et vous serez invité à renommer une nouvelle version.</t>
  </si>
  <si>
    <t>msgact6</t>
  </si>
  <si>
    <t>Réinitialisation Terminée</t>
  </si>
  <si>
    <t>Réinitialiser</t>
  </si>
  <si>
    <t>msgact7</t>
  </si>
  <si>
    <t>C'est irréversible</t>
  </si>
  <si>
    <t>msgact8</t>
  </si>
  <si>
    <t>Renuméroter</t>
  </si>
  <si>
    <t>msgact9</t>
  </si>
  <si>
    <t>Vous supprimez une sélection utilisée par une ou plusieurs Fiches de risque.</t>
  </si>
  <si>
    <t>Diverses feuilles</t>
  </si>
  <si>
    <t>msgact10</t>
  </si>
  <si>
    <t>Le passage en mode analyse détaillée va supprimer la fiche d'analyse globale déja réalisée.</t>
  </si>
  <si>
    <t>msgact11</t>
  </si>
  <si>
    <t>Le passage en mode analyse globale va supprimer la ou les fiches d'analyse détaillée déja réalisées.</t>
  </si>
  <si>
    <t>msgact12</t>
  </si>
  <si>
    <t>Risk_sheets</t>
  </si>
  <si>
    <t>msgact13</t>
  </si>
  <si>
    <t>msgact14</t>
  </si>
  <si>
    <t>Retournez sur la fiche pour enregistrer ou abandonner les modifications ou l'analyse en cours</t>
  </si>
  <si>
    <t>msgact15</t>
  </si>
  <si>
    <t>Vous modifiez une paramètre utilisé par une ou plusieurs Fiches de risque.</t>
  </si>
  <si>
    <t>Expo &amp; Primary_assets</t>
  </si>
  <si>
    <t>msgact16</t>
  </si>
  <si>
    <t>Vous modifiez un paramètre critique de l'analyse des risques.</t>
  </si>
  <si>
    <t>msgcsq1</t>
  </si>
  <si>
    <t>msgcsq2</t>
  </si>
  <si>
    <t>Valid</t>
  </si>
  <si>
    <t>msgcsq3</t>
  </si>
  <si>
    <t>Cela entraînera la suppression des fiches correspondantes.</t>
  </si>
  <si>
    <t>msgcsq4</t>
  </si>
  <si>
    <t>Cela entraînera l'invalidation des fiches correspondantes.</t>
  </si>
  <si>
    <t>msgcsq5</t>
  </si>
  <si>
    <t>Cela entraînera la suppression de toutes les fiches de risque existantes.</t>
  </si>
  <si>
    <t>msgq1</t>
  </si>
  <si>
    <t>everywhere</t>
  </si>
  <si>
    <t>msgq2</t>
  </si>
  <si>
    <t>msgq3</t>
  </si>
  <si>
    <t>Voulez-vous abandonner la modification en cours ?</t>
  </si>
  <si>
    <t>msgq4</t>
  </si>
  <si>
    <t>Voulez-vous réinitialiser les analyses de risques déjà faites ?</t>
  </si>
  <si>
    <t>msgq5</t>
  </si>
  <si>
    <t>Voulez-vous effacer la saisie ?</t>
  </si>
  <si>
    <t>Effacer saisie</t>
  </si>
  <si>
    <t>msgq6</t>
  </si>
  <si>
    <t>Renuméroter les fiches ?</t>
  </si>
  <si>
    <t>renum</t>
  </si>
  <si>
    <t>msgq7</t>
  </si>
  <si>
    <t>Voulez-vous supprimer cette fiche ?</t>
  </si>
  <si>
    <t>Retour dialogue (RetD)</t>
  </si>
  <si>
    <t>message (msg)</t>
  </si>
  <si>
    <t>Voulez-vous continuer ?</t>
  </si>
  <si>
    <t>Voulez-vous sauvegarder cette fiche ?</t>
  </si>
  <si>
    <t>Cela sauvegardera aussi le classeur.</t>
  </si>
  <si>
    <t>ColscenGD</t>
  </si>
  <si>
    <t>Vous sauvegardez une fiche qui existe déjà.</t>
  </si>
  <si>
    <t>Renumérotation terminée</t>
  </si>
  <si>
    <t>Cela mettra à jour les données correspondantes et sauvegardera le classeur.</t>
  </si>
  <si>
    <t>Event</t>
  </si>
  <si>
    <t>msgact17</t>
  </si>
  <si>
    <t>Vous ne pouvez pas changer de mode d'analyse dans une fiche incomplète</t>
  </si>
  <si>
    <t>msgact18</t>
  </si>
  <si>
    <t>Sélectionnez d'abord des éléments de description du scénario</t>
  </si>
  <si>
    <t>Grille d'acceptabilité des risques</t>
  </si>
  <si>
    <t>4A04 : Sauvegardes des données et configurations externalisées</t>
  </si>
  <si>
    <t>3A04 : Contrôle des accès (aux applications, aux données applicatives et aux fonctions systèmes)</t>
  </si>
  <si>
    <t xml:space="preserve">7B09 : Maintenance d'urgence </t>
  </si>
  <si>
    <t>5A02 : Protection de l'intégrité des fichiers de données applicatives sensibles</t>
  </si>
  <si>
    <t xml:space="preserve">5G01 : Chiffrement des échanges de données, lors des accès aux services externalisés
</t>
  </si>
  <si>
    <t>Sécurité des données des médias réaffectés ou mis au rebut</t>
  </si>
  <si>
    <t>Protection de l'intégrité des fichiers de données applicatives</t>
  </si>
  <si>
    <t>Contrôles permanents sur les données et les traitements</t>
  </si>
  <si>
    <t>Protection des données externalisées échangées</t>
  </si>
  <si>
    <t xml:space="preserve">Contrôle d'accès aux systèmes et applications
Chiffrement des données applicatives stockées
Protection de l'intégrité des fichiers de données applicatives
</t>
  </si>
  <si>
    <t xml:space="preserve">Protection de l'intégrité des fichiers de données applicatives
</t>
  </si>
  <si>
    <t xml:space="preserve">Protection de l'intégrité des fichiers de données applicatives
Contrôle des opérations de maintenance
</t>
  </si>
  <si>
    <t xml:space="preserve">Contrôle d'accès aux locaux sensibles
Chiffrement des données applicatives stockées
Protection de l'intégrité des fichiers de données applicatives
</t>
  </si>
  <si>
    <t xml:space="preserve">Chiffrement des données applicatives stockées
Protection de l'intégrité des fichiers de données applicatives
</t>
  </si>
  <si>
    <t xml:space="preserve">Chiffrement des données applicatives stockées
Sécurité des données des médias réaffectés ou mis au rebut
</t>
  </si>
  <si>
    <t xml:space="preserve">Chiffrement des données bureautiques
Sécurisation des zones de bureaux sensibles
Sécurité des données des médias réaffectés ou mis au rebut
</t>
  </si>
  <si>
    <t xml:space="preserve">Chiffrement des données bureautiques
Sécurité des données des médias réaffectés ou mis au rebut
</t>
  </si>
  <si>
    <t xml:space="preserve">Protection des données externalisées échangées
</t>
  </si>
  <si>
    <t xml:space="preserve">Contrôle d'accès aux locaux sensibles
Chiffrement des données applicatives stockées
Sécurité des données des médias réaffectés ou mis au rebut
</t>
  </si>
  <si>
    <t xml:space="preserve">Sécurité des données des médias réaffectés ou mis au rebut
</t>
  </si>
  <si>
    <t xml:space="preserve">La fiche </t>
  </si>
  <si>
    <t xml:space="preserve"> est déjà en cours de modification ou une nouvelle analyse de risque est en cours</t>
  </si>
  <si>
    <t>Vous supprimez une sélection utilisée par une ou plusieurs Fiches de risque.
Cela entraînera la suppression des fiches correspondantes.
Voulez-vous continuer ?</t>
  </si>
  <si>
    <t>X</t>
  </si>
  <si>
    <t>MEHARI™ - ManagerBC - Ed. 2.1-FR</t>
  </si>
  <si>
    <t>10 avril 2022</t>
  </si>
  <si>
    <t>Edition 2.1-FR Version incorporant la prise en compte des circonstances de déclenchement des risques et les notions d'analyse globale et d'analyse détaillée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</si>
</sst>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_-;\-* #,##0.00\ [$€]_-;_-* &quot;-&quot;??\ [$€]_-;_-@_-"/>
  </numFmts>
  <fonts count="102" x14ac:knownFonts="1">
    <font>
      <sz val="10"/>
      <name val="Arial"/>
      <family val="2"/>
    </font>
    <font>
      <sz val="11"/>
      <color theme="1"/>
      <name val="Calibri"/>
      <family val="2"/>
      <scheme val="minor"/>
    </font>
    <font>
      <sz val="11"/>
      <color theme="1"/>
      <name val="Calibri"/>
      <family val="2"/>
      <scheme val="minor"/>
    </font>
    <font>
      <sz val="10"/>
      <name val="Arial"/>
      <family val="2"/>
    </font>
    <font>
      <sz val="9"/>
      <name val="Arial"/>
      <family val="2"/>
    </font>
    <font>
      <sz val="8"/>
      <name val="Arial"/>
      <family val="2"/>
    </font>
    <font>
      <b/>
      <sz val="14"/>
      <name val="Arial"/>
      <family val="2"/>
    </font>
    <font>
      <b/>
      <i/>
      <sz val="10"/>
      <name val="Arial"/>
      <family val="2"/>
    </font>
    <font>
      <sz val="8"/>
      <color indexed="10"/>
      <name val="Arial"/>
      <family val="2"/>
    </font>
    <font>
      <b/>
      <sz val="10"/>
      <name val="Arial"/>
      <family val="2"/>
    </font>
    <font>
      <sz val="10"/>
      <color indexed="10"/>
      <name val="Arial"/>
      <family val="2"/>
    </font>
    <font>
      <sz val="10"/>
      <name val="Arial"/>
      <family val="2"/>
    </font>
    <font>
      <b/>
      <sz val="8"/>
      <name val="Arial"/>
      <family val="2"/>
    </font>
    <font>
      <b/>
      <sz val="11"/>
      <name val="Arial"/>
      <family val="2"/>
    </font>
    <font>
      <b/>
      <sz val="12"/>
      <name val="Arial"/>
      <family val="2"/>
    </font>
    <font>
      <sz val="8"/>
      <name val="Arial Narrow"/>
      <family val="2"/>
    </font>
    <font>
      <b/>
      <sz val="8"/>
      <color indexed="10"/>
      <name val="Arial"/>
      <family val="2"/>
    </font>
    <font>
      <b/>
      <sz val="12"/>
      <color indexed="9"/>
      <name val="Arial"/>
      <family val="2"/>
    </font>
    <font>
      <sz val="8"/>
      <color indexed="9"/>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1"/>
      <color indexed="8"/>
      <name val="Calibri"/>
      <family val="2"/>
    </font>
    <font>
      <b/>
      <sz val="11"/>
      <color indexed="9"/>
      <name val="Calibri"/>
      <family val="2"/>
    </font>
    <font>
      <b/>
      <sz val="12"/>
      <color indexed="43"/>
      <name val="Arial"/>
      <family val="2"/>
    </font>
    <font>
      <sz val="8"/>
      <color indexed="8"/>
      <name val="Arial"/>
      <family val="2"/>
    </font>
    <font>
      <b/>
      <sz val="12"/>
      <color indexed="10"/>
      <name val="Arial"/>
      <family val="2"/>
    </font>
    <font>
      <sz val="10"/>
      <color rgb="FFFF0000"/>
      <name val="Arial"/>
      <family val="2"/>
    </font>
    <font>
      <sz val="8"/>
      <color rgb="FFFF0000"/>
      <name val="Arial"/>
      <family val="2"/>
    </font>
    <font>
      <sz val="9"/>
      <color indexed="81"/>
      <name val="Tahoma"/>
      <family val="2"/>
    </font>
    <font>
      <sz val="12"/>
      <name val="Arial"/>
      <family val="2"/>
    </font>
    <font>
      <b/>
      <sz val="12"/>
      <color theme="0"/>
      <name val="Arial"/>
      <family val="2"/>
    </font>
    <font>
      <b/>
      <i/>
      <sz val="12"/>
      <name val="Arial"/>
      <family val="2"/>
    </font>
    <font>
      <sz val="10"/>
      <color theme="0"/>
      <name val="Arial"/>
      <family val="2"/>
    </font>
    <font>
      <b/>
      <sz val="12"/>
      <color rgb="FFFF0000"/>
      <name val="Arial"/>
      <family val="2"/>
    </font>
    <font>
      <b/>
      <sz val="8"/>
      <color rgb="FFFF0000"/>
      <name val="Arial"/>
      <family val="2"/>
    </font>
    <font>
      <sz val="8"/>
      <color indexed="10"/>
      <name val="Arial Narrow"/>
      <family val="2"/>
    </font>
    <font>
      <i/>
      <strike/>
      <sz val="9"/>
      <color indexed="12"/>
      <name val="Arial Narrow"/>
      <family val="2"/>
    </font>
    <font>
      <b/>
      <sz val="18"/>
      <name val="Arial"/>
      <family val="2"/>
    </font>
    <font>
      <sz val="18"/>
      <name val="Arial"/>
      <family val="2"/>
    </font>
    <font>
      <b/>
      <i/>
      <sz val="11"/>
      <name val="Arial"/>
      <family val="2"/>
    </font>
    <font>
      <sz val="11"/>
      <name val="Arial"/>
      <family val="2"/>
    </font>
    <font>
      <i/>
      <sz val="11"/>
      <name val="Arial"/>
      <family val="2"/>
    </font>
    <font>
      <b/>
      <sz val="10"/>
      <color rgb="FFFF0000"/>
      <name val="Arial"/>
      <family val="2"/>
    </font>
    <font>
      <sz val="16"/>
      <name val="Arial"/>
      <family val="2"/>
    </font>
    <font>
      <b/>
      <i/>
      <sz val="12"/>
      <color rgb="FFFF0000"/>
      <name val="Arial"/>
      <family val="2"/>
    </font>
    <font>
      <b/>
      <sz val="11"/>
      <color rgb="FFFF0000"/>
      <name val="Arial"/>
      <family val="2"/>
    </font>
    <font>
      <b/>
      <sz val="14"/>
      <color rgb="FFFF0000"/>
      <name val="Arial"/>
      <family val="2"/>
    </font>
    <font>
      <b/>
      <sz val="10"/>
      <color indexed="8"/>
      <name val="Arial"/>
      <family val="2"/>
    </font>
    <font>
      <sz val="10"/>
      <name val="Comic Sans MS"/>
      <family val="4"/>
    </font>
    <font>
      <b/>
      <sz val="14"/>
      <name val="Comic Sans MS"/>
      <family val="4"/>
    </font>
    <font>
      <b/>
      <sz val="12"/>
      <name val="Comic Sans MS"/>
      <family val="4"/>
    </font>
    <font>
      <sz val="8"/>
      <name val="Comic Sans MS"/>
      <family val="4"/>
    </font>
    <font>
      <b/>
      <sz val="8"/>
      <name val="Comic Sans MS"/>
      <family val="4"/>
    </font>
    <font>
      <b/>
      <sz val="9"/>
      <name val="Arial"/>
      <family val="2"/>
    </font>
    <font>
      <i/>
      <sz val="10"/>
      <color rgb="FFFF0000"/>
      <name val="Arial"/>
      <family val="2"/>
    </font>
    <font>
      <strike/>
      <sz val="10"/>
      <color rgb="FFFF0000"/>
      <name val="Arial"/>
      <family val="2"/>
    </font>
    <font>
      <u/>
      <sz val="10"/>
      <color theme="10"/>
      <name val="Arial"/>
      <family val="2"/>
    </font>
    <font>
      <b/>
      <sz val="20"/>
      <name val="Arial"/>
      <family val="2"/>
    </font>
    <font>
      <b/>
      <sz val="18"/>
      <name val="Calibri"/>
      <family val="2"/>
    </font>
    <font>
      <u/>
      <sz val="10"/>
      <color indexed="12"/>
      <name val="Arial"/>
      <family val="2"/>
    </font>
    <font>
      <b/>
      <sz val="15"/>
      <color rgb="FF333333"/>
      <name val="Arial"/>
      <family val="2"/>
    </font>
    <font>
      <b/>
      <i/>
      <sz val="8"/>
      <color rgb="FF333333"/>
      <name val="Arial"/>
      <family val="2"/>
    </font>
    <font>
      <b/>
      <sz val="10"/>
      <color rgb="FF222222"/>
      <name val="Arial"/>
      <family val="2"/>
    </font>
    <font>
      <sz val="10"/>
      <color rgb="FF333333"/>
      <name val="Arial"/>
      <family val="2"/>
    </font>
    <font>
      <sz val="10"/>
      <color rgb="FF222222"/>
      <name val="Arial"/>
      <family val="2"/>
    </font>
    <font>
      <i/>
      <sz val="10"/>
      <color rgb="FF333333"/>
      <name val="Arial"/>
      <family val="2"/>
    </font>
    <font>
      <b/>
      <sz val="10"/>
      <color rgb="FF333333"/>
      <name val="Arial"/>
      <family val="2"/>
    </font>
    <font>
      <u/>
      <sz val="10"/>
      <color rgb="FF333333"/>
      <name val="Arial"/>
      <family val="2"/>
    </font>
    <font>
      <sz val="10"/>
      <color rgb="FF111111"/>
      <name val="Arial"/>
      <family val="2"/>
    </font>
    <font>
      <b/>
      <i/>
      <sz val="18"/>
      <name val="Arial"/>
      <family val="2"/>
    </font>
    <font>
      <sz val="16"/>
      <color rgb="FFFF0000"/>
      <name val="Arial"/>
      <family val="2"/>
    </font>
    <font>
      <sz val="11"/>
      <name val="Symbol"/>
      <family val="1"/>
      <charset val="2"/>
    </font>
    <font>
      <sz val="11"/>
      <name val="Times New Roman"/>
      <family val="1"/>
    </font>
    <font>
      <i/>
      <sz val="11"/>
      <color rgb="FFFF0000"/>
      <name val="Arial"/>
      <family val="2"/>
    </font>
    <font>
      <b/>
      <i/>
      <sz val="10"/>
      <color theme="0"/>
      <name val="Arial"/>
      <family val="2"/>
    </font>
    <font>
      <b/>
      <sz val="14"/>
      <color theme="0"/>
      <name val="Arial"/>
      <family val="2"/>
    </font>
    <font>
      <b/>
      <sz val="11"/>
      <color theme="0"/>
      <name val="Arial"/>
      <family val="2"/>
    </font>
    <font>
      <sz val="11"/>
      <color theme="0"/>
      <name val="Arial"/>
      <family val="2"/>
    </font>
    <font>
      <sz val="14"/>
      <color theme="0" tint="-0.14999847407452621"/>
      <name val="Arial"/>
      <family val="2"/>
    </font>
    <font>
      <b/>
      <sz val="22"/>
      <color theme="0"/>
      <name val="Arial"/>
      <family val="2"/>
    </font>
    <font>
      <sz val="14"/>
      <color theme="0"/>
      <name val="Arial"/>
      <family val="2"/>
    </font>
    <font>
      <b/>
      <sz val="10"/>
      <color theme="3"/>
      <name val="Arial"/>
      <family val="2"/>
    </font>
    <font>
      <sz val="16"/>
      <color theme="0" tint="-0.14999847407452621"/>
      <name val="Arial"/>
      <family val="2"/>
    </font>
    <font>
      <b/>
      <sz val="10"/>
      <color theme="0"/>
      <name val="Arial"/>
      <family val="2"/>
    </font>
    <font>
      <b/>
      <sz val="11"/>
      <color theme="1"/>
      <name val="Arial"/>
      <family val="2"/>
    </font>
    <font>
      <b/>
      <sz val="11"/>
      <color theme="1"/>
      <name val="Calibri"/>
      <family val="2"/>
      <scheme val="minor"/>
    </font>
    <font>
      <b/>
      <i/>
      <sz val="12"/>
      <color theme="0"/>
      <name val="Arial"/>
      <family val="2"/>
    </font>
    <font>
      <b/>
      <i/>
      <sz val="14"/>
      <color theme="3"/>
      <name val="Arial"/>
      <family val="2"/>
    </font>
    <font>
      <b/>
      <i/>
      <sz val="12"/>
      <color theme="3"/>
      <name val="Arial"/>
      <family val="2"/>
    </font>
  </fonts>
  <fills count="43">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42"/>
      </patternFill>
    </fill>
    <fill>
      <patternFill patternType="solid">
        <fgColor indexed="55"/>
      </patternFill>
    </fill>
    <fill>
      <patternFill patternType="solid">
        <fgColor indexed="42"/>
        <bgColor indexed="64"/>
      </patternFill>
    </fill>
    <fill>
      <patternFill patternType="solid">
        <fgColor indexed="54"/>
        <bgColor indexed="64"/>
      </patternFill>
    </fill>
    <fill>
      <patternFill patternType="solid">
        <fgColor indexed="9"/>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79998168889431442"/>
        <bgColor indexed="64"/>
      </patternFill>
    </fill>
    <fill>
      <patternFill patternType="solid">
        <fgColor rgb="FFFFC000"/>
        <bgColor indexed="64"/>
      </patternFill>
    </fill>
    <fill>
      <patternFill patternType="solid">
        <fgColor indexed="51"/>
        <bgColor indexed="64"/>
      </patternFill>
    </fill>
    <fill>
      <patternFill patternType="solid">
        <fgColor indexed="10"/>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9" tint="0.3999450666829432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theme="4" tint="0.59999389629810485"/>
        <bgColor indexed="64"/>
      </patternFill>
    </fill>
    <fill>
      <gradientFill degree="90">
        <stop position="0">
          <color theme="3"/>
        </stop>
        <stop position="1">
          <color theme="4" tint="0.59999389629810485"/>
        </stop>
      </gradientFill>
    </fill>
    <fill>
      <patternFill patternType="solid">
        <fgColor theme="4" tint="0.59996337778862885"/>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4"/>
        <bgColor indexed="64"/>
      </patternFill>
    </fill>
    <fill>
      <patternFill patternType="solid">
        <fgColor theme="3"/>
        <bgColor indexed="64"/>
      </patternFill>
    </fill>
    <fill>
      <patternFill patternType="solid">
        <fgColor theme="1"/>
        <bgColor indexed="64"/>
      </patternFill>
    </fill>
    <fill>
      <patternFill patternType="solid">
        <fgColor theme="4" tint="0.59999389629810485"/>
        <bgColor indexed="27"/>
      </patternFill>
    </fill>
  </fills>
  <borders count="193">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double">
        <color indexed="63"/>
      </left>
      <right style="double">
        <color indexed="63"/>
      </right>
      <top style="double">
        <color indexed="63"/>
      </top>
      <bottom style="double">
        <color indexed="63"/>
      </bottom>
      <diagonal/>
    </border>
    <border>
      <left/>
      <right style="thin">
        <color indexed="64"/>
      </right>
      <top/>
      <bottom style="thin">
        <color indexed="64"/>
      </bottom>
      <diagonal/>
    </border>
    <border>
      <left/>
      <right style="thin">
        <color indexed="64"/>
      </right>
      <top/>
      <bottom/>
      <diagonal/>
    </border>
    <border>
      <left/>
      <right/>
      <top style="hair">
        <color indexed="64"/>
      </top>
      <bottom style="hair">
        <color indexed="64"/>
      </bottom>
      <diagonal/>
    </border>
    <border>
      <left/>
      <right/>
      <top style="hair">
        <color indexed="64"/>
      </top>
      <bottom/>
      <diagonal/>
    </border>
    <border>
      <left style="thin">
        <color indexed="64"/>
      </left>
      <right/>
      <top/>
      <bottom/>
      <diagonal/>
    </border>
    <border>
      <left style="thin">
        <color indexed="64"/>
      </left>
      <right/>
      <top/>
      <bottom style="thin">
        <color indexed="64"/>
      </bottom>
      <diagonal/>
    </border>
    <border>
      <left/>
      <right/>
      <top/>
      <bottom style="hair">
        <color indexed="64"/>
      </bottom>
      <diagonal/>
    </border>
    <border>
      <left/>
      <right/>
      <top/>
      <bottom style="thin">
        <color auto="1"/>
      </bottom>
      <diagonal/>
    </border>
    <border>
      <left style="medium">
        <color auto="1"/>
      </left>
      <right/>
      <top/>
      <bottom/>
      <diagonal/>
    </border>
    <border>
      <left/>
      <right/>
      <top/>
      <bottom style="medium">
        <color auto="1"/>
      </bottom>
      <diagonal/>
    </border>
    <border>
      <left/>
      <right/>
      <top style="medium">
        <color auto="1"/>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indexed="64"/>
      </left>
      <right/>
      <top style="medium">
        <color auto="1"/>
      </top>
      <bottom/>
      <diagonal/>
    </border>
    <border>
      <left style="thin">
        <color indexed="8"/>
      </left>
      <right style="thin">
        <color indexed="8"/>
      </right>
      <top style="thin">
        <color indexed="8"/>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style="medium">
        <color auto="1"/>
      </bottom>
      <diagonal/>
    </border>
    <border>
      <left/>
      <right style="thin">
        <color auto="1"/>
      </right>
      <top style="medium">
        <color auto="1"/>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medium">
        <color indexed="8"/>
      </bottom>
      <diagonal/>
    </border>
    <border>
      <left style="thin">
        <color indexed="8"/>
      </left>
      <right style="thin">
        <color indexed="8"/>
      </right>
      <top style="thin">
        <color indexed="8"/>
      </top>
      <bottom style="medium">
        <color indexed="8"/>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thin">
        <color indexed="64"/>
      </left>
      <right style="medium">
        <color indexed="64"/>
      </right>
      <top style="medium">
        <color indexed="64"/>
      </top>
      <bottom/>
      <diagonal/>
    </border>
    <border>
      <left style="thin">
        <color auto="1"/>
      </left>
      <right style="medium">
        <color auto="1"/>
      </right>
      <top style="medium">
        <color auto="1"/>
      </top>
      <bottom style="thin">
        <color auto="1"/>
      </bottom>
      <diagonal/>
    </border>
    <border>
      <left style="thin">
        <color indexed="8"/>
      </left>
      <right style="thin">
        <color indexed="8"/>
      </right>
      <top style="thin">
        <color indexed="8"/>
      </top>
      <bottom style="thin">
        <color indexed="8"/>
      </bottom>
      <diagonal/>
    </border>
    <border>
      <left style="thin">
        <color indexed="64"/>
      </left>
      <right style="medium">
        <color indexed="64"/>
      </right>
      <top style="thin">
        <color auto="1"/>
      </top>
      <bottom/>
      <diagonal/>
    </border>
    <border>
      <left style="thin">
        <color indexed="8"/>
      </left>
      <right style="thin">
        <color indexed="8"/>
      </right>
      <top style="thin">
        <color indexed="8"/>
      </top>
      <bottom/>
      <diagonal/>
    </border>
    <border>
      <left style="thick">
        <color auto="1"/>
      </left>
      <right style="thick">
        <color auto="1"/>
      </right>
      <top style="thick">
        <color auto="1"/>
      </top>
      <bottom style="thick">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diagonal/>
    </border>
    <border>
      <left/>
      <right style="thin">
        <color auto="1"/>
      </right>
      <top style="thin">
        <color auto="1"/>
      </top>
      <bottom style="thin">
        <color auto="1"/>
      </bottom>
      <diagonal/>
    </border>
    <border>
      <left/>
      <right style="thin">
        <color indexed="64"/>
      </right>
      <top style="thin">
        <color auto="1"/>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top style="medium">
        <color auto="1"/>
      </top>
      <bottom style="medium">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
      <left style="thin">
        <color indexed="8"/>
      </left>
      <right style="thin">
        <color indexed="8"/>
      </right>
      <top/>
      <bottom/>
      <diagonal/>
    </border>
    <border>
      <left style="thin">
        <color auto="1"/>
      </left>
      <right style="thin">
        <color indexed="64"/>
      </right>
      <top style="thin">
        <color auto="1"/>
      </top>
      <bottom/>
      <diagonal/>
    </border>
    <border>
      <left style="medium">
        <color auto="1"/>
      </left>
      <right style="thin">
        <color auto="1"/>
      </right>
      <top style="medium">
        <color auto="1"/>
      </top>
      <bottom/>
      <diagonal/>
    </border>
    <border>
      <left style="medium">
        <color auto="1"/>
      </left>
      <right style="thin">
        <color auto="1"/>
      </right>
      <top style="thin">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auto="1"/>
      </bottom>
      <diagonal/>
    </border>
    <border>
      <left style="thin">
        <color theme="4"/>
      </left>
      <right style="hair">
        <color theme="4"/>
      </right>
      <top style="thin">
        <color theme="4"/>
      </top>
      <bottom style="thin">
        <color theme="4"/>
      </bottom>
      <diagonal/>
    </border>
    <border>
      <left style="hair">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medium">
        <color auto="1"/>
      </left>
      <right/>
      <top style="thin">
        <color auto="1"/>
      </top>
      <bottom style="thin">
        <color auto="1"/>
      </bottom>
      <diagonal/>
    </border>
    <border>
      <left/>
      <right style="thin">
        <color auto="1"/>
      </right>
      <top style="thin">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style="thin">
        <color auto="1"/>
      </right>
      <top/>
      <bottom/>
      <diagonal/>
    </border>
    <border>
      <left style="thin">
        <color indexed="8"/>
      </left>
      <right style="thin">
        <color indexed="8"/>
      </right>
      <top style="thin">
        <color indexed="64"/>
      </top>
      <bottom style="thin">
        <color indexed="8"/>
      </bottom>
      <diagonal/>
    </border>
    <border>
      <left style="thin">
        <color indexed="8"/>
      </left>
      <right style="thin">
        <color indexed="8"/>
      </right>
      <top style="thin">
        <color indexed="8"/>
      </top>
      <bottom style="thin">
        <color indexed="8"/>
      </bottom>
      <diagonal/>
    </border>
    <border>
      <left style="medium">
        <color auto="1"/>
      </left>
      <right style="thin">
        <color indexed="64"/>
      </right>
      <top/>
      <bottom/>
      <diagonal/>
    </border>
    <border>
      <left style="medium">
        <color auto="1"/>
      </left>
      <right style="thin">
        <color indexed="64"/>
      </right>
      <top/>
      <bottom style="thin">
        <color indexed="64"/>
      </bottom>
      <diagonal/>
    </border>
    <border>
      <left/>
      <right/>
      <top style="thin">
        <color indexed="64"/>
      </top>
      <bottom/>
      <diagonal/>
    </border>
    <border>
      <left style="medium">
        <color auto="1"/>
      </left>
      <right/>
      <top style="thin">
        <color auto="1"/>
      </top>
      <bottom/>
      <diagonal/>
    </border>
    <border>
      <left/>
      <right style="medium">
        <color auto="1"/>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style="thin">
        <color auto="1"/>
      </right>
      <top/>
      <bottom style="thin">
        <color auto="1"/>
      </bottom>
      <diagonal/>
    </border>
    <border>
      <left style="medium">
        <color indexed="64"/>
      </left>
      <right style="thin">
        <color auto="1"/>
      </right>
      <top style="thin">
        <color auto="1"/>
      </top>
      <bottom/>
      <diagonal/>
    </border>
    <border>
      <left style="thin">
        <color indexed="64"/>
      </left>
      <right/>
      <top style="thin">
        <color indexed="64"/>
      </top>
      <bottom style="medium">
        <color indexed="64"/>
      </bottom>
      <diagonal/>
    </border>
    <border>
      <left style="medium">
        <color indexed="64"/>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auto="1"/>
      </left>
      <right style="medium">
        <color indexed="64"/>
      </right>
      <top style="medium">
        <color indexed="64"/>
      </top>
      <bottom style="medium">
        <color indexed="64"/>
      </bottom>
      <diagonal/>
    </border>
    <border>
      <left/>
      <right/>
      <top/>
      <bottom style="thick">
        <color theme="0"/>
      </bottom>
      <diagonal/>
    </border>
    <border>
      <left style="thin">
        <color indexed="64"/>
      </left>
      <right style="medium">
        <color indexed="64"/>
      </right>
      <top style="thin">
        <color indexed="64"/>
      </top>
      <bottom style="thin">
        <color indexed="64"/>
      </bottom>
      <diagonal/>
    </border>
    <border>
      <left style="medium">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right/>
      <top style="thin">
        <color auto="1"/>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indexed="64"/>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8"/>
      </left>
      <right style="medium">
        <color indexed="8"/>
      </right>
      <top style="thin">
        <color indexed="8"/>
      </top>
      <bottom style="thin">
        <color indexed="8"/>
      </bottom>
      <diagonal/>
    </border>
    <border>
      <left style="thin">
        <color indexed="8"/>
      </left>
      <right style="medium">
        <color indexed="8"/>
      </right>
      <top style="thin">
        <color indexed="8"/>
      </top>
      <bottom/>
      <diagonal/>
    </border>
    <border>
      <left style="medium">
        <color indexed="64"/>
      </left>
      <right style="thin">
        <color indexed="8"/>
      </right>
      <top style="thin">
        <color indexed="8"/>
      </top>
      <bottom/>
      <diagonal/>
    </border>
    <border>
      <left style="thin">
        <color indexed="8"/>
      </left>
      <right style="thin">
        <color indexed="8"/>
      </right>
      <top style="thin">
        <color indexed="8"/>
      </top>
      <bottom/>
      <diagonal/>
    </border>
    <border>
      <left style="medium">
        <color indexed="8"/>
      </left>
      <right style="thin">
        <color indexed="8"/>
      </right>
      <top style="thin">
        <color auto="1"/>
      </top>
      <bottom style="thin">
        <color auto="1"/>
      </bottom>
      <diagonal/>
    </border>
    <border>
      <left style="thin">
        <color indexed="8"/>
      </left>
      <right style="thin">
        <color auto="1"/>
      </right>
      <top style="thin">
        <color auto="1"/>
      </top>
      <bottom style="thin">
        <color auto="1"/>
      </bottom>
      <diagonal/>
    </border>
    <border>
      <left style="medium">
        <color indexed="64"/>
      </left>
      <right style="thin">
        <color indexed="8"/>
      </right>
      <top/>
      <bottom/>
      <diagonal/>
    </border>
    <border>
      <left style="medium">
        <color indexed="64"/>
      </left>
      <right style="thin">
        <color indexed="8"/>
      </right>
      <top/>
      <bottom style="thin">
        <color indexed="8"/>
      </bottom>
      <diagonal/>
    </border>
    <border>
      <left style="thin">
        <color indexed="8"/>
      </left>
      <right style="thin">
        <color indexed="8"/>
      </right>
      <top/>
      <bottom style="thin">
        <color indexed="8"/>
      </bottom>
      <diagonal/>
    </border>
    <border>
      <left style="medium">
        <color indexed="64"/>
      </left>
      <right style="thin">
        <color indexed="8"/>
      </right>
      <top/>
      <bottom style="medium">
        <color indexed="64"/>
      </bottom>
      <diagonal/>
    </border>
    <border>
      <left/>
      <right/>
      <top/>
      <bottom style="medium">
        <color indexed="64"/>
      </bottom>
      <diagonal/>
    </border>
    <border>
      <left style="thin">
        <color indexed="8"/>
      </left>
      <right style="thin">
        <color indexed="8"/>
      </right>
      <top style="thin">
        <color indexed="8"/>
      </top>
      <bottom style="medium">
        <color indexed="64"/>
      </bottom>
      <diagonal/>
    </border>
    <border>
      <left style="thin">
        <color indexed="8"/>
      </left>
      <right style="medium">
        <color indexed="8"/>
      </right>
      <top style="thin">
        <color indexed="8"/>
      </top>
      <bottom style="medium">
        <color indexed="64"/>
      </bottom>
      <diagonal/>
    </border>
    <border>
      <left style="medium">
        <color indexed="8"/>
      </left>
      <right style="thin">
        <color indexed="8"/>
      </right>
      <top style="thin">
        <color auto="1"/>
      </top>
      <bottom style="medium">
        <color indexed="64"/>
      </bottom>
      <diagonal/>
    </border>
    <border>
      <left style="thin">
        <color indexed="8"/>
      </left>
      <right style="thin">
        <color auto="1"/>
      </right>
      <top style="thin">
        <color auto="1"/>
      </top>
      <bottom style="medium">
        <color indexed="64"/>
      </bottom>
      <diagonal/>
    </border>
    <border>
      <left style="medium">
        <color auto="1"/>
      </left>
      <right style="medium">
        <color indexed="64"/>
      </right>
      <top style="thin">
        <color auto="1"/>
      </top>
      <bottom style="medium">
        <color indexed="64"/>
      </bottom>
      <diagonal/>
    </border>
    <border>
      <left style="thin">
        <color indexed="8"/>
      </left>
      <right style="medium">
        <color indexed="8"/>
      </right>
      <top/>
      <bottom style="thin">
        <color indexed="8"/>
      </bottom>
      <diagonal/>
    </border>
    <border>
      <left style="medium">
        <color indexed="8"/>
      </left>
      <right style="thin">
        <color indexed="8"/>
      </right>
      <top/>
      <bottom style="thin">
        <color auto="1"/>
      </bottom>
      <diagonal/>
    </border>
    <border>
      <left style="thin">
        <color indexed="8"/>
      </left>
      <right style="thin">
        <color auto="1"/>
      </right>
      <top/>
      <bottom style="thin">
        <color auto="1"/>
      </bottom>
      <diagonal/>
    </border>
    <border>
      <left style="medium">
        <color auto="1"/>
      </left>
      <right style="medium">
        <color indexed="64"/>
      </right>
      <top/>
      <bottom style="thin">
        <color auto="1"/>
      </bottom>
      <diagonal/>
    </border>
    <border>
      <left style="medium">
        <color auto="1"/>
      </left>
      <right style="thin">
        <color auto="1"/>
      </right>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bottom style="thin">
        <color indexed="64"/>
      </bottom>
      <diagonal/>
    </border>
    <border>
      <left style="medium">
        <color auto="1"/>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style="thin">
        <color auto="1"/>
      </left>
      <right style="medium">
        <color auto="1"/>
      </right>
      <top/>
      <bottom style="thin">
        <color auto="1"/>
      </bottom>
      <diagonal/>
    </border>
    <border>
      <left style="thin">
        <color indexed="64"/>
      </left>
      <right/>
      <top style="thin">
        <color indexed="64"/>
      </top>
      <bottom style="thin">
        <color indexed="64"/>
      </bottom>
      <diagonal/>
    </border>
    <border>
      <left/>
      <right style="thin">
        <color auto="1"/>
      </right>
      <top style="thin">
        <color auto="1"/>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style="thin">
        <color auto="1"/>
      </right>
      <top style="thin">
        <color auto="1"/>
      </top>
      <bottom style="thin">
        <color auto="1"/>
      </bottom>
      <diagonal/>
    </border>
    <border>
      <left/>
      <right/>
      <top style="thin">
        <color indexed="64"/>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s>
  <cellStyleXfs count="61">
    <xf numFmtId="0" fontId="0" fillId="0" borderId="0">
      <alignment vertical="center" wrapText="1"/>
    </xf>
    <xf numFmtId="0" fontId="19" fillId="2" borderId="0" applyNumberFormat="0" applyBorder="0" applyAlignment="0" applyProtection="0"/>
    <xf numFmtId="0" fontId="19" fillId="3" borderId="0" applyNumberFormat="0" applyBorder="0" applyAlignment="0" applyProtection="0"/>
    <xf numFmtId="0" fontId="19" fillId="4" borderId="0" applyNumberFormat="0" applyBorder="0" applyAlignment="0" applyProtection="0"/>
    <xf numFmtId="0" fontId="19" fillId="2" borderId="0" applyNumberFormat="0" applyBorder="0" applyAlignment="0" applyProtection="0"/>
    <xf numFmtId="0" fontId="19" fillId="5" borderId="0" applyNumberFormat="0" applyBorder="0" applyAlignment="0" applyProtection="0"/>
    <xf numFmtId="0" fontId="19" fillId="3" borderId="0" applyNumberFormat="0" applyBorder="0" applyAlignment="0" applyProtection="0"/>
    <xf numFmtId="0" fontId="19" fillId="6" borderId="0" applyNumberFormat="0" applyBorder="0" applyAlignment="0" applyProtection="0"/>
    <xf numFmtId="0" fontId="19" fillId="7" borderId="0" applyNumberFormat="0" applyBorder="0" applyAlignment="0" applyProtection="0"/>
    <xf numFmtId="0" fontId="19" fillId="8" borderId="0" applyNumberFormat="0" applyBorder="0" applyAlignment="0" applyProtection="0"/>
    <xf numFmtId="0" fontId="19" fillId="6" borderId="0" applyNumberFormat="0" applyBorder="0" applyAlignment="0" applyProtection="0"/>
    <xf numFmtId="0" fontId="19" fillId="9" borderId="0" applyNumberFormat="0" applyBorder="0" applyAlignment="0" applyProtection="0"/>
    <xf numFmtId="0" fontId="19" fillId="3" borderId="0" applyNumberFormat="0" applyBorder="0" applyAlignment="0" applyProtection="0"/>
    <xf numFmtId="0" fontId="20" fillId="10"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6" borderId="0" applyNumberFormat="0" applyBorder="0" applyAlignment="0" applyProtection="0"/>
    <xf numFmtId="0" fontId="20" fillId="10" borderId="0" applyNumberFormat="0" applyBorder="0" applyAlignment="0" applyProtection="0"/>
    <xf numFmtId="0" fontId="20" fillId="3"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0" borderId="0" applyNumberFormat="0" applyBorder="0" applyAlignment="0" applyProtection="0"/>
    <xf numFmtId="0" fontId="20" fillId="14" borderId="0" applyNumberFormat="0" applyBorder="0" applyAlignment="0" applyProtection="0"/>
    <xf numFmtId="0" fontId="21" fillId="0" borderId="0" applyNumberFormat="0" applyFill="0" applyBorder="0" applyAlignment="0" applyProtection="0"/>
    <xf numFmtId="0" fontId="22" fillId="2" borderId="1" applyNumberFormat="0" applyAlignment="0" applyProtection="0"/>
    <xf numFmtId="0" fontId="23" fillId="0" borderId="2" applyNumberFormat="0" applyFill="0" applyAlignment="0" applyProtection="0"/>
    <xf numFmtId="0" fontId="11" fillId="4" borderId="3" applyNumberFormat="0" applyFont="0" applyAlignment="0" applyProtection="0"/>
    <xf numFmtId="0" fontId="24" fillId="3" borderId="1" applyNumberFormat="0" applyAlignment="0" applyProtection="0"/>
    <xf numFmtId="164" fontId="11" fillId="0" borderId="0" applyFont="0" applyFill="0" applyBorder="0" applyAlignment="0" applyProtection="0">
      <alignment vertical="center" wrapText="1"/>
    </xf>
    <xf numFmtId="0" fontId="25" fillId="15" borderId="0" applyNumberFormat="0" applyBorder="0" applyAlignment="0" applyProtection="0"/>
    <xf numFmtId="0" fontId="26" fillId="8" borderId="0" applyNumberFormat="0" applyBorder="0" applyAlignment="0" applyProtection="0"/>
    <xf numFmtId="0" fontId="3" fillId="0" borderId="0"/>
    <xf numFmtId="0" fontId="3" fillId="0" borderId="0"/>
    <xf numFmtId="0" fontId="3" fillId="0" borderId="0"/>
    <xf numFmtId="0" fontId="27" fillId="16" borderId="0" applyNumberFormat="0" applyBorder="0" applyAlignment="0" applyProtection="0"/>
    <xf numFmtId="0" fontId="28" fillId="2" borderId="4" applyNumberFormat="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1" fillId="0" borderId="5" applyNumberFormat="0" applyFill="0" applyAlignment="0" applyProtection="0"/>
    <xf numFmtId="0" fontId="32" fillId="0" borderId="6" applyNumberFormat="0" applyFill="0" applyAlignment="0" applyProtection="0"/>
    <xf numFmtId="0" fontId="33" fillId="0" borderId="7" applyNumberFormat="0" applyFill="0" applyAlignment="0" applyProtection="0"/>
    <xf numFmtId="0" fontId="33" fillId="0" borderId="0" applyNumberFormat="0" applyFill="0" applyBorder="0" applyAlignment="0" applyProtection="0"/>
    <xf numFmtId="0" fontId="34" fillId="0" borderId="8" applyNumberFormat="0" applyFill="0" applyAlignment="0" applyProtection="0"/>
    <xf numFmtId="0" fontId="35" fillId="17" borderId="9" applyNumberFormat="0" applyAlignment="0" applyProtection="0"/>
    <xf numFmtId="0" fontId="3" fillId="0" borderId="0"/>
    <xf numFmtId="0" fontId="3" fillId="0" borderId="0"/>
    <xf numFmtId="0" fontId="3" fillId="0" borderId="0">
      <alignment vertical="center" wrapText="1"/>
    </xf>
    <xf numFmtId="0" fontId="2" fillId="0" borderId="0"/>
    <xf numFmtId="0" fontId="3" fillId="0" borderId="0"/>
    <xf numFmtId="0" fontId="1" fillId="0" borderId="0"/>
    <xf numFmtId="0" fontId="3" fillId="0" borderId="0"/>
    <xf numFmtId="0" fontId="3" fillId="0" borderId="0">
      <alignment vertical="center" wrapText="1"/>
    </xf>
    <xf numFmtId="0" fontId="3" fillId="0" borderId="0">
      <alignment vertical="center" wrapText="1"/>
    </xf>
    <xf numFmtId="0" fontId="3" fillId="0" borderId="0"/>
    <xf numFmtId="0" fontId="3" fillId="0" borderId="0"/>
    <xf numFmtId="0" fontId="69" fillId="0" borderId="0" applyNumberFormat="0" applyFill="0" applyBorder="0" applyAlignment="0" applyProtection="0"/>
    <xf numFmtId="0" fontId="72" fillId="0" borderId="0" applyNumberFormat="0" applyFill="0" applyBorder="0" applyAlignment="0" applyProtection="0">
      <alignment vertical="top"/>
      <protection locked="0"/>
    </xf>
    <xf numFmtId="164" fontId="3" fillId="0" borderId="0">
      <alignment vertical="center" wrapText="1"/>
    </xf>
    <xf numFmtId="0" fontId="3" fillId="0" borderId="0"/>
  </cellStyleXfs>
  <cellXfs count="1121">
    <xf numFmtId="0" fontId="0" fillId="0" borderId="0" xfId="0">
      <alignment vertical="center" wrapText="1"/>
    </xf>
    <xf numFmtId="0" fontId="3" fillId="0" borderId="0" xfId="34"/>
    <xf numFmtId="49" fontId="12" fillId="0" borderId="12" xfId="34" applyNumberFormat="1" applyFont="1" applyFill="1" applyBorder="1" applyAlignment="1" applyProtection="1">
      <alignment horizontal="left" vertical="top"/>
      <protection locked="0"/>
    </xf>
    <xf numFmtId="0" fontId="5" fillId="0" borderId="12" xfId="34" applyFont="1" applyFill="1" applyBorder="1" applyAlignment="1" applyProtection="1">
      <alignment vertical="top" wrapText="1"/>
      <protection locked="0"/>
    </xf>
    <xf numFmtId="0" fontId="5" fillId="0" borderId="12" xfId="34" applyFont="1" applyBorder="1"/>
    <xf numFmtId="49" fontId="5" fillId="0" borderId="12" xfId="34" applyNumberFormat="1" applyFont="1" applyFill="1" applyBorder="1" applyAlignment="1" applyProtection="1">
      <alignment horizontal="left" vertical="top" wrapText="1"/>
      <protection locked="0"/>
    </xf>
    <xf numFmtId="0" fontId="5" fillId="0" borderId="0" xfId="34" applyFont="1"/>
    <xf numFmtId="0" fontId="5" fillId="0" borderId="0" xfId="34" applyFont="1" applyFill="1" applyBorder="1" applyAlignment="1" applyProtection="1">
      <alignment vertical="top" wrapText="1"/>
      <protection locked="0"/>
    </xf>
    <xf numFmtId="49" fontId="12" fillId="0" borderId="12" xfId="34" applyNumberFormat="1" applyFont="1" applyFill="1" applyBorder="1" applyAlignment="1" applyProtection="1">
      <alignment vertical="top"/>
      <protection locked="0"/>
    </xf>
    <xf numFmtId="49" fontId="5" fillId="0" borderId="12" xfId="34" applyNumberFormat="1" applyFont="1" applyFill="1" applyBorder="1" applyAlignment="1" applyProtection="1">
      <alignment horizontal="left" vertical="top"/>
      <protection locked="0"/>
    </xf>
    <xf numFmtId="0" fontId="5" fillId="0" borderId="12" xfId="34" applyNumberFormat="1" applyFont="1" applyFill="1" applyBorder="1" applyAlignment="1" applyProtection="1">
      <alignment vertical="top" wrapText="1"/>
      <protection locked="0"/>
    </xf>
    <xf numFmtId="0" fontId="5" fillId="0" borderId="0" xfId="34" applyNumberFormat="1" applyFont="1" applyFill="1" applyBorder="1" applyAlignment="1" applyProtection="1">
      <alignment vertical="top" wrapText="1"/>
      <protection locked="0"/>
    </xf>
    <xf numFmtId="49" fontId="5" fillId="0" borderId="0" xfId="34" applyNumberFormat="1" applyFont="1" applyFill="1" applyBorder="1" applyAlignment="1" applyProtection="1">
      <alignment horizontal="left" vertical="top" wrapText="1"/>
      <protection locked="0"/>
    </xf>
    <xf numFmtId="49" fontId="5" fillId="0" borderId="12" xfId="34" applyNumberFormat="1" applyFont="1" applyFill="1" applyBorder="1" applyAlignment="1" applyProtection="1">
      <alignment vertical="top"/>
      <protection locked="0"/>
    </xf>
    <xf numFmtId="0" fontId="5" fillId="0" borderId="0" xfId="34" applyFont="1" applyFill="1" applyBorder="1" applyAlignment="1" applyProtection="1">
      <alignment vertical="top"/>
      <protection locked="0"/>
    </xf>
    <xf numFmtId="0" fontId="5" fillId="0" borderId="12" xfId="34" applyFont="1" applyFill="1" applyBorder="1" applyAlignment="1" applyProtection="1">
      <alignment vertical="top"/>
      <protection locked="0"/>
    </xf>
    <xf numFmtId="49" fontId="5" fillId="0" borderId="12" xfId="34" applyNumberFormat="1" applyFont="1" applyBorder="1" applyAlignment="1">
      <alignment horizontal="left" vertical="top" wrapText="1"/>
    </xf>
    <xf numFmtId="0" fontId="12" fillId="0" borderId="12" xfId="34" applyFont="1" applyBorder="1" applyAlignment="1">
      <alignment horizontal="left" vertical="top" wrapText="1"/>
    </xf>
    <xf numFmtId="0" fontId="5" fillId="0" borderId="12" xfId="34" applyFont="1" applyBorder="1" applyAlignment="1">
      <alignment vertical="top" wrapText="1"/>
    </xf>
    <xf numFmtId="0" fontId="3" fillId="0" borderId="0" xfId="35"/>
    <xf numFmtId="0" fontId="5" fillId="0" borderId="0" xfId="35" applyFont="1" applyFill="1" applyAlignment="1" applyProtection="1">
      <alignment horizontal="left" vertical="top" wrapText="1"/>
      <protection locked="0"/>
    </xf>
    <xf numFmtId="0" fontId="5" fillId="0" borderId="12" xfId="35" applyFont="1" applyFill="1" applyBorder="1" applyAlignment="1" applyProtection="1">
      <alignment vertical="top" wrapText="1"/>
      <protection locked="0"/>
    </xf>
    <xf numFmtId="0" fontId="5" fillId="0" borderId="12" xfId="35" applyNumberFormat="1" applyFont="1" applyFill="1" applyBorder="1" applyAlignment="1" applyProtection="1">
      <alignment vertical="top" wrapText="1"/>
      <protection locked="0"/>
    </xf>
    <xf numFmtId="0" fontId="5" fillId="0" borderId="12" xfId="35" applyNumberFormat="1" applyFont="1" applyFill="1" applyBorder="1" applyAlignment="1" applyProtection="1">
      <alignment horizontal="left" vertical="center"/>
      <protection locked="0"/>
    </xf>
    <xf numFmtId="0" fontId="12" fillId="0" borderId="12" xfId="35" applyNumberFormat="1" applyFont="1" applyFill="1" applyBorder="1" applyAlignment="1" applyProtection="1">
      <alignment horizontal="left" vertical="center"/>
      <protection locked="0"/>
    </xf>
    <xf numFmtId="49" fontId="5" fillId="0" borderId="0" xfId="34" applyNumberFormat="1" applyFont="1" applyFill="1" applyAlignment="1" applyProtection="1">
      <alignment horizontal="left" vertical="top" wrapText="1"/>
      <protection locked="0"/>
    </xf>
    <xf numFmtId="0" fontId="5" fillId="0" borderId="0" xfId="0" applyFont="1" applyFill="1" applyBorder="1" applyAlignment="1" applyProtection="1">
      <alignment vertical="top" wrapText="1"/>
      <protection locked="0"/>
    </xf>
    <xf numFmtId="0" fontId="5" fillId="0" borderId="0" xfId="33" applyFont="1" applyAlignment="1">
      <alignment vertical="top" wrapText="1"/>
    </xf>
    <xf numFmtId="0" fontId="5" fillId="0" borderId="0" xfId="33" applyFont="1" applyFill="1" applyBorder="1" applyAlignment="1" applyProtection="1">
      <alignment vertical="top" wrapText="1"/>
      <protection locked="0"/>
    </xf>
    <xf numFmtId="0" fontId="5" fillId="0" borderId="0" xfId="33" applyFont="1" applyFill="1" applyBorder="1" applyAlignment="1" applyProtection="1">
      <alignment horizontal="center" vertical="top" wrapText="1"/>
      <protection locked="0"/>
    </xf>
    <xf numFmtId="0" fontId="5" fillId="0" borderId="0" xfId="33" applyFont="1" applyFill="1" applyAlignment="1">
      <alignment vertical="top" wrapText="1"/>
    </xf>
    <xf numFmtId="0" fontId="5" fillId="0" borderId="0" xfId="34" applyFont="1" applyAlignment="1">
      <alignment vertical="top"/>
    </xf>
    <xf numFmtId="49" fontId="12" fillId="0" borderId="0" xfId="34" applyNumberFormat="1" applyFont="1" applyFill="1" applyBorder="1" applyAlignment="1" applyProtection="1">
      <alignment horizontal="left" vertical="top"/>
      <protection locked="0"/>
    </xf>
    <xf numFmtId="0" fontId="5" fillId="0" borderId="0" xfId="0" applyFont="1" applyAlignment="1">
      <alignment vertical="top" wrapText="1"/>
    </xf>
    <xf numFmtId="0" fontId="5" fillId="0" borderId="0" xfId="0" applyFont="1" applyFill="1" applyBorder="1" applyAlignment="1" applyProtection="1">
      <alignment horizontal="left" vertical="top" wrapText="1"/>
      <protection locked="0"/>
    </xf>
    <xf numFmtId="0" fontId="0" fillId="0" borderId="0" xfId="34" applyFont="1"/>
    <xf numFmtId="0" fontId="5" fillId="0" borderId="0" xfId="35" applyFont="1" applyFill="1" applyAlignment="1" applyProtection="1">
      <alignment horizontal="left" vertical="center" wrapText="1"/>
      <protection locked="0"/>
    </xf>
    <xf numFmtId="0" fontId="5" fillId="0" borderId="0" xfId="35" applyFont="1" applyFill="1" applyBorder="1" applyAlignment="1" applyProtection="1">
      <alignment vertical="top"/>
      <protection locked="0"/>
    </xf>
    <xf numFmtId="49" fontId="12" fillId="0" borderId="0" xfId="46" applyNumberFormat="1" applyFont="1" applyFill="1" applyBorder="1" applyAlignment="1" applyProtection="1">
      <alignment horizontal="left" vertical="top"/>
      <protection locked="0"/>
    </xf>
    <xf numFmtId="0" fontId="5" fillId="0" borderId="0" xfId="46" applyFont="1" applyFill="1" applyBorder="1" applyAlignment="1" applyProtection="1">
      <alignment vertical="top" wrapText="1"/>
      <protection locked="0"/>
    </xf>
    <xf numFmtId="0" fontId="3" fillId="0" borderId="0" xfId="34" applyFont="1"/>
    <xf numFmtId="0" fontId="5" fillId="0" borderId="13" xfId="34" applyFont="1" applyBorder="1"/>
    <xf numFmtId="0" fontId="3" fillId="0" borderId="0" xfId="46" applyFont="1"/>
    <xf numFmtId="49" fontId="5" fillId="0" borderId="0" xfId="34" applyNumberFormat="1" applyFont="1" applyAlignment="1">
      <alignment vertical="top"/>
    </xf>
    <xf numFmtId="0" fontId="5" fillId="0" borderId="0" xfId="34" applyFont="1" applyAlignment="1">
      <alignment vertical="top" wrapText="1"/>
    </xf>
    <xf numFmtId="49" fontId="5" fillId="0" borderId="12" xfId="35" applyNumberFormat="1" applyFont="1" applyFill="1" applyBorder="1" applyAlignment="1" applyProtection="1">
      <alignment horizontal="left" vertical="center"/>
      <protection locked="0"/>
    </xf>
    <xf numFmtId="0" fontId="5" fillId="0" borderId="0" xfId="34" applyFont="1" applyBorder="1"/>
    <xf numFmtId="0" fontId="5" fillId="0" borderId="0" xfId="47" applyFont="1" applyFill="1" applyBorder="1" applyAlignment="1" applyProtection="1">
      <alignment vertical="top" wrapText="1"/>
      <protection locked="0"/>
    </xf>
    <xf numFmtId="0" fontId="12" fillId="0" borderId="0" xfId="47" applyFont="1" applyFill="1" applyBorder="1" applyAlignment="1">
      <alignment horizontal="left" vertical="top"/>
    </xf>
    <xf numFmtId="0" fontId="5" fillId="0" borderId="0" xfId="47" applyFont="1" applyBorder="1" applyAlignment="1">
      <alignment vertical="top" wrapText="1"/>
    </xf>
    <xf numFmtId="0" fontId="9" fillId="0" borderId="0" xfId="47" applyFont="1" applyFill="1" applyBorder="1" applyAlignment="1">
      <alignment horizontal="left" vertical="top" wrapText="1"/>
    </xf>
    <xf numFmtId="0" fontId="3" fillId="0" borderId="0" xfId="34" applyAlignment="1">
      <alignment vertical="top"/>
    </xf>
    <xf numFmtId="0" fontId="5" fillId="0" borderId="12" xfId="34" applyFont="1" applyFill="1" applyBorder="1" applyAlignment="1" applyProtection="1">
      <alignment vertical="top" wrapText="1"/>
    </xf>
    <xf numFmtId="49" fontId="5" fillId="0" borderId="12" xfId="34" applyNumberFormat="1" applyFont="1" applyFill="1" applyBorder="1" applyAlignment="1" applyProtection="1">
      <alignment horizontal="left" vertical="top" wrapText="1"/>
    </xf>
    <xf numFmtId="0" fontId="5" fillId="0" borderId="13" xfId="34" applyFont="1" applyBorder="1" applyAlignment="1">
      <alignment vertical="top"/>
    </xf>
    <xf numFmtId="0" fontId="5" fillId="0" borderId="12" xfId="35" applyNumberFormat="1" applyFont="1" applyFill="1" applyBorder="1" applyAlignment="1" applyProtection="1">
      <alignment horizontal="left" vertical="center"/>
    </xf>
    <xf numFmtId="0" fontId="5" fillId="0" borderId="12" xfId="34" applyNumberFormat="1" applyFont="1" applyFill="1" applyBorder="1" applyAlignment="1" applyProtection="1">
      <alignment vertical="top" wrapText="1"/>
    </xf>
    <xf numFmtId="0" fontId="5" fillId="0" borderId="12" xfId="34" applyFont="1" applyBorder="1" applyAlignment="1">
      <alignment vertical="top"/>
    </xf>
    <xf numFmtId="0" fontId="5" fillId="0" borderId="13" xfId="34" applyFont="1" applyFill="1" applyBorder="1" applyAlignment="1" applyProtection="1">
      <alignment vertical="top" wrapText="1"/>
      <protection locked="0"/>
    </xf>
    <xf numFmtId="0" fontId="5" fillId="0" borderId="0" xfId="33" applyFont="1" applyFill="1" applyBorder="1" applyAlignment="1" applyProtection="1">
      <alignment horizontal="left" vertical="top" wrapText="1"/>
      <protection locked="0"/>
    </xf>
    <xf numFmtId="49" fontId="12" fillId="0" borderId="0" xfId="34" applyNumberFormat="1" applyFont="1" applyFill="1" applyBorder="1" applyAlignment="1" applyProtection="1">
      <alignment horizontal="left" vertical="top" wrapText="1"/>
      <protection locked="0"/>
    </xf>
    <xf numFmtId="0" fontId="0" fillId="0" borderId="0" xfId="0" applyAlignment="1">
      <alignment horizontal="center" vertical="center" wrapText="1"/>
    </xf>
    <xf numFmtId="0" fontId="0" fillId="0" borderId="0" xfId="0" applyAlignment="1">
      <alignment vertical="center"/>
    </xf>
    <xf numFmtId="0" fontId="7" fillId="0" borderId="0" xfId="0" applyFont="1">
      <alignment vertical="center" wrapText="1"/>
    </xf>
    <xf numFmtId="0" fontId="5" fillId="0" borderId="0" xfId="33" applyFont="1" applyAlignment="1" applyProtection="1">
      <alignment vertical="top" wrapText="1"/>
    </xf>
    <xf numFmtId="0" fontId="44" fillId="0" borderId="0" xfId="0" applyFont="1" applyAlignment="1">
      <alignment vertical="center"/>
    </xf>
    <xf numFmtId="0" fontId="0" fillId="0" borderId="0" xfId="0" applyAlignment="1">
      <alignment vertical="center" wrapText="1"/>
    </xf>
    <xf numFmtId="0" fontId="0" fillId="0" borderId="0" xfId="0" applyAlignment="1">
      <alignment vertical="center" wrapText="1"/>
    </xf>
    <xf numFmtId="49" fontId="9" fillId="0" borderId="22" xfId="35" applyNumberFormat="1" applyFont="1" applyFill="1" applyBorder="1" applyAlignment="1" applyProtection="1">
      <alignment horizontal="left"/>
      <protection locked="0"/>
    </xf>
    <xf numFmtId="0" fontId="5" fillId="0" borderId="23" xfId="35" applyNumberFormat="1" applyFont="1" applyFill="1" applyBorder="1" applyAlignment="1" applyProtection="1">
      <alignment horizontal="left" vertical="top" wrapText="1"/>
      <protection locked="0"/>
    </xf>
    <xf numFmtId="0" fontId="12" fillId="0" borderId="24" xfId="35" applyFont="1" applyFill="1" applyBorder="1" applyAlignment="1" applyProtection="1">
      <alignment vertical="center" wrapText="1"/>
      <protection locked="0"/>
    </xf>
    <xf numFmtId="0" fontId="9" fillId="0" borderId="22" xfId="34" applyNumberFormat="1" applyFont="1" applyFill="1" applyBorder="1" applyAlignment="1" applyProtection="1">
      <alignment horizontal="left"/>
      <protection locked="0"/>
    </xf>
    <xf numFmtId="49" fontId="5" fillId="0" borderId="23" xfId="34" applyNumberFormat="1" applyFont="1" applyFill="1" applyBorder="1" applyAlignment="1" applyProtection="1">
      <alignment horizontal="left" vertical="top" wrapText="1"/>
      <protection locked="0"/>
    </xf>
    <xf numFmtId="0" fontId="12" fillId="0" borderId="24" xfId="34" applyFont="1" applyFill="1" applyBorder="1" applyAlignment="1" applyProtection="1">
      <alignment vertical="center" wrapText="1"/>
      <protection locked="0"/>
    </xf>
    <xf numFmtId="49" fontId="12" fillId="0" borderId="14" xfId="35" applyNumberFormat="1" applyFont="1" applyFill="1" applyBorder="1" applyAlignment="1" applyProtection="1">
      <alignment horizontal="center"/>
      <protection locked="0"/>
    </xf>
    <xf numFmtId="0" fontId="9" fillId="0" borderId="0" xfId="35" applyNumberFormat="1" applyFont="1" applyFill="1" applyBorder="1" applyAlignment="1" applyProtection="1">
      <alignment horizontal="left"/>
      <protection locked="0"/>
    </xf>
    <xf numFmtId="0" fontId="12" fillId="0" borderId="11" xfId="35" applyFont="1" applyFill="1" applyBorder="1" applyAlignment="1" applyProtection="1">
      <alignment vertical="center" wrapText="1"/>
      <protection locked="0"/>
    </xf>
    <xf numFmtId="0" fontId="12" fillId="0" borderId="14" xfId="34" applyNumberFormat="1" applyFont="1" applyFill="1" applyBorder="1" applyAlignment="1" applyProtection="1">
      <alignment horizontal="center"/>
      <protection locked="0"/>
    </xf>
    <xf numFmtId="49" fontId="9" fillId="0" borderId="0" xfId="34" applyNumberFormat="1" applyFont="1" applyFill="1" applyBorder="1" applyAlignment="1" applyProtection="1">
      <alignment horizontal="left"/>
      <protection locked="0"/>
    </xf>
    <xf numFmtId="0" fontId="12" fillId="0" borderId="11" xfId="34" applyFont="1" applyFill="1" applyBorder="1" applyAlignment="1" applyProtection="1">
      <alignment vertical="center" wrapText="1"/>
      <protection locked="0"/>
    </xf>
    <xf numFmtId="49" fontId="12" fillId="0" borderId="15" xfId="35" applyNumberFormat="1" applyFont="1" applyFill="1" applyBorder="1" applyAlignment="1" applyProtection="1">
      <alignment horizontal="center" vertical="center"/>
      <protection locked="0"/>
    </xf>
    <xf numFmtId="0" fontId="5" fillId="0" borderId="17" xfId="35" applyNumberFormat="1" applyFont="1" applyFill="1" applyBorder="1" applyAlignment="1" applyProtection="1">
      <alignment horizontal="left" vertical="center"/>
      <protection locked="0"/>
    </xf>
    <xf numFmtId="0" fontId="9" fillId="0" borderId="10" xfId="35" applyNumberFormat="1" applyFont="1" applyFill="1" applyBorder="1" applyAlignment="1" applyProtection="1">
      <alignment horizontal="left" vertical="center"/>
      <protection locked="0"/>
    </xf>
    <xf numFmtId="0" fontId="12" fillId="0" borderId="15" xfId="34" applyNumberFormat="1" applyFont="1" applyFill="1" applyBorder="1" applyAlignment="1" applyProtection="1">
      <alignment horizontal="center" vertical="center"/>
      <protection locked="0"/>
    </xf>
    <xf numFmtId="49" fontId="5" fillId="0" borderId="17" xfId="34" applyNumberFormat="1" applyFont="1" applyFill="1" applyBorder="1" applyAlignment="1" applyProtection="1">
      <alignment horizontal="left" vertical="center"/>
      <protection locked="0"/>
    </xf>
    <xf numFmtId="0" fontId="9" fillId="0" borderId="10" xfId="34" applyNumberFormat="1" applyFont="1" applyFill="1" applyBorder="1" applyAlignment="1" applyProtection="1">
      <alignment horizontal="left" vertical="center"/>
      <protection locked="0"/>
    </xf>
    <xf numFmtId="49" fontId="17" fillId="19" borderId="21" xfId="35" applyNumberFormat="1" applyFont="1" applyFill="1" applyBorder="1" applyAlignment="1" applyProtection="1">
      <alignment horizontal="left" vertical="center"/>
      <protection locked="0"/>
    </xf>
    <xf numFmtId="0" fontId="17" fillId="19" borderId="21" xfId="35" applyNumberFormat="1" applyFont="1" applyFill="1" applyBorder="1" applyAlignment="1" applyProtection="1">
      <alignment horizontal="left" vertical="center"/>
      <protection locked="0"/>
    </xf>
    <xf numFmtId="0" fontId="18" fillId="19" borderId="21" xfId="35" applyNumberFormat="1" applyFont="1" applyFill="1" applyBorder="1" applyAlignment="1" applyProtection="1">
      <alignment horizontal="left" vertical="center"/>
      <protection locked="0"/>
    </xf>
    <xf numFmtId="0" fontId="36" fillId="19" borderId="21" xfId="34" applyNumberFormat="1" applyFont="1" applyFill="1" applyBorder="1" applyAlignment="1" applyProtection="1">
      <alignment horizontal="left" vertical="center"/>
      <protection locked="0"/>
    </xf>
    <xf numFmtId="49" fontId="36" fillId="19" borderId="21" xfId="34" applyNumberFormat="1" applyFont="1" applyFill="1" applyBorder="1" applyAlignment="1" applyProtection="1">
      <alignment horizontal="left" vertical="center"/>
      <protection locked="0"/>
    </xf>
    <xf numFmtId="0" fontId="37" fillId="19" borderId="21" xfId="34" applyNumberFormat="1" applyFont="1" applyFill="1" applyBorder="1" applyAlignment="1" applyProtection="1">
      <alignment horizontal="left" vertical="center"/>
      <protection locked="0"/>
    </xf>
    <xf numFmtId="0" fontId="5" fillId="0" borderId="12" xfId="34" applyFont="1" applyFill="1" applyBorder="1" applyAlignment="1" applyProtection="1">
      <alignment horizontal="center"/>
      <protection locked="0"/>
    </xf>
    <xf numFmtId="0" fontId="5" fillId="0" borderId="12" xfId="34" applyFont="1" applyFill="1" applyBorder="1" applyAlignment="1" applyProtection="1">
      <alignment horizontal="center" vertical="top"/>
      <protection locked="0"/>
    </xf>
    <xf numFmtId="49" fontId="12" fillId="0" borderId="12" xfId="34" applyNumberFormat="1" applyFont="1" applyFill="1" applyBorder="1" applyAlignment="1" applyProtection="1">
      <alignment horizontal="left" vertical="top" wrapText="1"/>
      <protection locked="0"/>
    </xf>
    <xf numFmtId="0" fontId="8" fillId="0" borderId="12" xfId="34" applyFont="1" applyFill="1" applyBorder="1" applyAlignment="1" applyProtection="1">
      <alignment vertical="top" wrapText="1"/>
      <protection locked="0"/>
    </xf>
    <xf numFmtId="0" fontId="47" fillId="0" borderId="12" xfId="34" applyFont="1" applyFill="1" applyBorder="1" applyAlignment="1" applyProtection="1">
      <alignment vertical="top" wrapText="1"/>
      <protection locked="0"/>
    </xf>
    <xf numFmtId="0" fontId="40" fillId="0" borderId="12" xfId="34" applyFont="1" applyFill="1" applyBorder="1" applyAlignment="1" applyProtection="1">
      <alignment vertical="top" wrapText="1"/>
      <protection locked="0"/>
    </xf>
    <xf numFmtId="0" fontId="39" fillId="0" borderId="16" xfId="0" applyFont="1" applyBorder="1" applyAlignment="1">
      <alignment vertical="center" wrapText="1"/>
    </xf>
    <xf numFmtId="0" fontId="40" fillId="0" borderId="13" xfId="34" applyFont="1" applyFill="1" applyBorder="1" applyAlignment="1" applyProtection="1">
      <alignment vertical="top" wrapText="1"/>
      <protection locked="0"/>
    </xf>
    <xf numFmtId="49" fontId="5" fillId="0" borderId="12" xfId="34" applyNumberFormat="1" applyFont="1" applyFill="1" applyBorder="1" applyAlignment="1" applyProtection="1">
      <alignment vertical="top" wrapText="1"/>
      <protection locked="0"/>
    </xf>
    <xf numFmtId="49" fontId="5" fillId="0" borderId="12" xfId="35" applyNumberFormat="1" applyFont="1" applyFill="1" applyBorder="1" applyAlignment="1" applyProtection="1">
      <alignment horizontal="center" vertical="top"/>
      <protection locked="0"/>
    </xf>
    <xf numFmtId="0" fontId="12" fillId="0" borderId="0" xfId="35" applyFont="1" applyFill="1" applyBorder="1" applyAlignment="1" applyProtection="1">
      <alignment vertical="top"/>
      <protection locked="0"/>
    </xf>
    <xf numFmtId="0" fontId="5" fillId="0" borderId="0" xfId="35" applyFont="1"/>
    <xf numFmtId="49" fontId="5" fillId="0" borderId="12" xfId="35" applyNumberFormat="1" applyFont="1" applyFill="1" applyBorder="1" applyAlignment="1" applyProtection="1">
      <alignment horizontal="center"/>
      <protection locked="0"/>
    </xf>
    <xf numFmtId="0" fontId="47" fillId="0" borderId="0" xfId="35" applyFont="1" applyFill="1" applyAlignment="1" applyProtection="1">
      <alignment horizontal="left" vertical="top" wrapText="1"/>
      <protection locked="0"/>
    </xf>
    <xf numFmtId="0" fontId="5" fillId="0" borderId="0" xfId="35" applyFont="1" applyFill="1" applyBorder="1" applyAlignment="1" applyProtection="1">
      <alignment vertical="top" wrapText="1"/>
      <protection locked="0"/>
    </xf>
    <xf numFmtId="0" fontId="5" fillId="0" borderId="12" xfId="35" applyFont="1" applyFill="1" applyBorder="1" applyAlignment="1" applyProtection="1">
      <alignment horizontal="left" vertical="top" wrapText="1"/>
      <protection locked="0"/>
    </xf>
    <xf numFmtId="0" fontId="8" fillId="0" borderId="0" xfId="35" applyFont="1" applyFill="1" applyAlignment="1" applyProtection="1">
      <alignment horizontal="left" vertical="top" wrapText="1"/>
      <protection locked="0"/>
    </xf>
    <xf numFmtId="49" fontId="12" fillId="0" borderId="0" xfId="34" applyNumberFormat="1" applyFont="1" applyFill="1" applyBorder="1" applyAlignment="1" applyProtection="1">
      <alignment vertical="top"/>
      <protection locked="0"/>
    </xf>
    <xf numFmtId="0" fontId="5" fillId="0" borderId="12" xfId="34" applyFont="1" applyBorder="1" applyAlignment="1">
      <alignment horizontal="left" vertical="top" wrapText="1"/>
    </xf>
    <xf numFmtId="0" fontId="47" fillId="0" borderId="13" xfId="35" applyFont="1" applyBorder="1" applyAlignment="1">
      <alignment wrapText="1"/>
    </xf>
    <xf numFmtId="0" fontId="0" fillId="0" borderId="16" xfId="0" applyBorder="1" applyAlignment="1">
      <alignment vertical="center" wrapText="1"/>
    </xf>
    <xf numFmtId="49" fontId="8" fillId="0" borderId="12" xfId="34" applyNumberFormat="1" applyFont="1" applyFill="1" applyBorder="1" applyAlignment="1" applyProtection="1">
      <alignment horizontal="left" vertical="top" wrapText="1"/>
      <protection locked="0"/>
    </xf>
    <xf numFmtId="49" fontId="5" fillId="0" borderId="12" xfId="34" applyNumberFormat="1" applyFont="1" applyBorder="1" applyAlignment="1">
      <alignment vertical="top" wrapText="1"/>
    </xf>
    <xf numFmtId="49" fontId="5" fillId="0" borderId="12" xfId="34" applyNumberFormat="1" applyFont="1" applyBorder="1"/>
    <xf numFmtId="0" fontId="8" fillId="0" borderId="0" xfId="0" applyFont="1" applyFill="1" applyBorder="1" applyAlignment="1" applyProtection="1">
      <alignment horizontal="left" vertical="top" wrapText="1"/>
      <protection locked="0"/>
    </xf>
    <xf numFmtId="0" fontId="12" fillId="0" borderId="0" xfId="0" applyFont="1" applyFill="1" applyBorder="1" applyAlignment="1" applyProtection="1">
      <alignment horizontal="left" vertical="top" wrapText="1"/>
      <protection locked="0"/>
    </xf>
    <xf numFmtId="0" fontId="16" fillId="0" borderId="12" xfId="34" applyFont="1" applyBorder="1" applyAlignment="1">
      <alignment vertical="top" wrapText="1"/>
    </xf>
    <xf numFmtId="0" fontId="12" fillId="0" borderId="12" xfId="34" applyFont="1" applyBorder="1" applyAlignment="1">
      <alignment vertical="top" wrapText="1"/>
    </xf>
    <xf numFmtId="2" fontId="4" fillId="0" borderId="12" xfId="34" applyNumberFormat="1" applyFont="1" applyBorder="1" applyAlignment="1">
      <alignment horizontal="center"/>
    </xf>
    <xf numFmtId="0" fontId="8" fillId="0" borderId="12" xfId="34" applyNumberFormat="1" applyFont="1" applyFill="1" applyBorder="1" applyAlignment="1" applyProtection="1">
      <alignment vertical="top" wrapText="1"/>
      <protection locked="0"/>
    </xf>
    <xf numFmtId="0" fontId="47" fillId="0" borderId="12" xfId="34" applyFont="1" applyBorder="1"/>
    <xf numFmtId="49" fontId="5" fillId="0" borderId="0" xfId="46" applyNumberFormat="1" applyFont="1" applyFill="1" applyBorder="1" applyAlignment="1" applyProtection="1">
      <alignment horizontal="center" vertical="top" wrapText="1"/>
      <protection locked="0"/>
    </xf>
    <xf numFmtId="0" fontId="12" fillId="0" borderId="12" xfId="35" applyFont="1" applyFill="1" applyBorder="1" applyAlignment="1" applyProtection="1">
      <alignment vertical="top"/>
      <protection locked="0"/>
    </xf>
    <xf numFmtId="0" fontId="5" fillId="0" borderId="12" xfId="35" applyFont="1" applyBorder="1"/>
    <xf numFmtId="49" fontId="12" fillId="0" borderId="12" xfId="35" applyNumberFormat="1" applyFont="1" applyFill="1" applyBorder="1" applyAlignment="1" applyProtection="1">
      <alignment horizontal="center"/>
      <protection locked="0"/>
    </xf>
    <xf numFmtId="0" fontId="12" fillId="0" borderId="12" xfId="34" applyFont="1" applyFill="1" applyBorder="1" applyAlignment="1" applyProtection="1">
      <alignment horizontal="center"/>
      <protection locked="0"/>
    </xf>
    <xf numFmtId="49" fontId="5" fillId="0" borderId="0" xfId="34" applyNumberFormat="1" applyFont="1"/>
    <xf numFmtId="49" fontId="3" fillId="0" borderId="12" xfId="35" applyNumberFormat="1" applyBorder="1"/>
    <xf numFmtId="0" fontId="3" fillId="0" borderId="12" xfId="34" applyBorder="1"/>
    <xf numFmtId="0" fontId="12" fillId="0" borderId="0" xfId="34" applyFont="1" applyFill="1" applyBorder="1" applyAlignment="1" applyProtection="1">
      <alignment horizontal="center"/>
      <protection locked="0"/>
    </xf>
    <xf numFmtId="0" fontId="5" fillId="0" borderId="13" xfId="34" applyFont="1" applyBorder="1" applyAlignment="1">
      <alignment wrapText="1"/>
    </xf>
    <xf numFmtId="0" fontId="47" fillId="0" borderId="12" xfId="34" applyNumberFormat="1" applyFont="1" applyFill="1" applyBorder="1" applyAlignment="1" applyProtection="1">
      <alignment vertical="top" wrapText="1"/>
      <protection locked="0"/>
    </xf>
    <xf numFmtId="0" fontId="5" fillId="0" borderId="13" xfId="34" applyNumberFormat="1" applyFont="1" applyFill="1" applyBorder="1" applyAlignment="1" applyProtection="1">
      <alignment vertical="top" wrapText="1"/>
      <protection locked="0"/>
    </xf>
    <xf numFmtId="0" fontId="0" fillId="0" borderId="16" xfId="0" applyBorder="1" applyAlignment="1">
      <alignment vertical="top" wrapText="1"/>
    </xf>
    <xf numFmtId="0" fontId="12" fillId="0" borderId="0" xfId="34" applyNumberFormat="1" applyFont="1" applyFill="1" applyBorder="1" applyAlignment="1" applyProtection="1">
      <alignment vertical="top" wrapText="1"/>
      <protection locked="0"/>
    </xf>
    <xf numFmtId="49" fontId="47" fillId="0" borderId="12" xfId="34" applyNumberFormat="1" applyFont="1" applyFill="1" applyBorder="1" applyAlignment="1" applyProtection="1">
      <alignment horizontal="left" vertical="top" wrapText="1"/>
      <protection locked="0"/>
    </xf>
    <xf numFmtId="0" fontId="12" fillId="0" borderId="12" xfId="34" applyFont="1" applyFill="1" applyBorder="1" applyAlignment="1" applyProtection="1">
      <alignment vertical="top" wrapText="1"/>
      <protection locked="0"/>
    </xf>
    <xf numFmtId="0" fontId="5" fillId="0" borderId="0" xfId="34" applyFont="1" applyFill="1" applyBorder="1" applyAlignment="1" applyProtection="1">
      <alignment horizontal="center" vertical="top"/>
      <protection locked="0"/>
    </xf>
    <xf numFmtId="49" fontId="14" fillId="0" borderId="12" xfId="35" applyNumberFormat="1" applyFont="1" applyFill="1" applyBorder="1" applyAlignment="1" applyProtection="1">
      <alignment horizontal="left" vertical="center"/>
      <protection locked="0"/>
    </xf>
    <xf numFmtId="49" fontId="14" fillId="0" borderId="25" xfId="35" applyNumberFormat="1" applyFont="1" applyFill="1" applyBorder="1" applyAlignment="1" applyProtection="1">
      <alignment horizontal="left" vertical="center"/>
      <protection locked="0"/>
    </xf>
    <xf numFmtId="0" fontId="12" fillId="0" borderId="25" xfId="35" applyNumberFormat="1" applyFont="1" applyFill="1" applyBorder="1" applyAlignment="1" applyProtection="1">
      <alignment horizontal="left" vertical="center"/>
      <protection locked="0"/>
    </xf>
    <xf numFmtId="0" fontId="5" fillId="0" borderId="25" xfId="35" applyNumberFormat="1" applyFont="1" applyFill="1" applyBorder="1" applyAlignment="1" applyProtection="1">
      <alignment horizontal="left" vertical="center"/>
      <protection locked="0"/>
    </xf>
    <xf numFmtId="49" fontId="12" fillId="0" borderId="0" xfId="34" applyNumberFormat="1" applyFont="1"/>
    <xf numFmtId="0" fontId="12" fillId="0" borderId="0" xfId="34" applyFont="1"/>
    <xf numFmtId="49" fontId="8" fillId="0" borderId="0" xfId="34" applyNumberFormat="1" applyFont="1"/>
    <xf numFmtId="0" fontId="5" fillId="0" borderId="0" xfId="34" applyFont="1" applyAlignment="1">
      <alignment wrapText="1"/>
    </xf>
    <xf numFmtId="49" fontId="14" fillId="0" borderId="13" xfId="35" applyNumberFormat="1" applyFont="1" applyFill="1" applyBorder="1" applyAlignment="1" applyProtection="1">
      <alignment horizontal="left" vertical="center"/>
      <protection locked="0"/>
    </xf>
    <xf numFmtId="0" fontId="5" fillId="0" borderId="13" xfId="35" applyNumberFormat="1" applyFont="1" applyFill="1" applyBorder="1" applyAlignment="1" applyProtection="1">
      <alignment horizontal="left" vertical="center"/>
      <protection locked="0"/>
    </xf>
    <xf numFmtId="0" fontId="3" fillId="0" borderId="0" xfId="34" applyBorder="1"/>
    <xf numFmtId="49" fontId="12" fillId="0" borderId="0" xfId="34" applyNumberFormat="1" applyFont="1" applyBorder="1"/>
    <xf numFmtId="0" fontId="12" fillId="0" borderId="0" xfId="34" applyFont="1" applyBorder="1"/>
    <xf numFmtId="0" fontId="46" fillId="0" borderId="0" xfId="34" applyFont="1" applyBorder="1"/>
    <xf numFmtId="49" fontId="5" fillId="0" borderId="0" xfId="34" applyNumberFormat="1" applyFont="1" applyFill="1" applyBorder="1" applyAlignment="1" applyProtection="1">
      <alignment vertical="top"/>
      <protection locked="0"/>
    </xf>
    <xf numFmtId="0" fontId="5" fillId="0" borderId="0" xfId="33" applyNumberFormat="1" applyFont="1" applyFill="1" applyBorder="1" applyAlignment="1" applyProtection="1">
      <alignment vertical="top" wrapText="1"/>
      <protection locked="0"/>
    </xf>
    <xf numFmtId="49" fontId="12" fillId="0" borderId="12" xfId="34" applyNumberFormat="1" applyFont="1" applyBorder="1" applyAlignment="1">
      <alignment horizontal="left" vertical="top"/>
    </xf>
    <xf numFmtId="0" fontId="3" fillId="0" borderId="12" xfId="34" applyBorder="1" applyAlignment="1">
      <alignment vertical="top" wrapText="1"/>
    </xf>
    <xf numFmtId="0" fontId="3" fillId="0" borderId="12" xfId="34" applyFont="1" applyBorder="1" applyAlignment="1">
      <alignment vertical="top" wrapText="1"/>
    </xf>
    <xf numFmtId="0" fontId="17" fillId="19" borderId="21" xfId="34" applyNumberFormat="1" applyFont="1" applyFill="1" applyBorder="1" applyAlignment="1" applyProtection="1">
      <alignment horizontal="left" vertical="center"/>
      <protection locked="0"/>
    </xf>
    <xf numFmtId="0" fontId="38" fillId="0" borderId="0" xfId="33" applyNumberFormat="1" applyFont="1" applyFill="1" applyBorder="1" applyAlignment="1" applyProtection="1">
      <alignment vertical="top" wrapText="1"/>
      <protection locked="0"/>
    </xf>
    <xf numFmtId="0" fontId="15" fillId="0" borderId="0" xfId="33" applyFont="1" applyFill="1" applyBorder="1" applyAlignment="1" applyProtection="1">
      <alignment horizontal="center" vertical="top" wrapText="1"/>
      <protection locked="0"/>
    </xf>
    <xf numFmtId="0" fontId="48" fillId="0" borderId="0" xfId="33" applyNumberFormat="1" applyFont="1" applyFill="1" applyBorder="1" applyAlignment="1" applyProtection="1">
      <alignment vertical="top" wrapText="1"/>
      <protection locked="0"/>
    </xf>
    <xf numFmtId="49" fontId="5" fillId="0" borderId="0" xfId="47" applyNumberFormat="1" applyFont="1" applyBorder="1" applyAlignment="1">
      <alignment horizontal="center" vertical="top" wrapText="1"/>
    </xf>
    <xf numFmtId="49" fontId="5" fillId="0" borderId="0" xfId="47" applyNumberFormat="1" applyFont="1" applyFill="1" applyBorder="1" applyAlignment="1" applyProtection="1">
      <alignment horizontal="center" vertical="top" wrapText="1"/>
      <protection locked="0"/>
    </xf>
    <xf numFmtId="49" fontId="5" fillId="0" borderId="0" xfId="35" applyNumberFormat="1" applyFont="1" applyFill="1"/>
    <xf numFmtId="49" fontId="5" fillId="0" borderId="0" xfId="47" applyNumberFormat="1" applyFont="1" applyFill="1" applyBorder="1" applyAlignment="1">
      <alignment horizontal="left" vertical="top" wrapText="1"/>
    </xf>
    <xf numFmtId="0" fontId="5" fillId="0" borderId="0" xfId="47" applyFont="1" applyFill="1" applyBorder="1" applyAlignment="1">
      <alignment horizontal="left" vertical="top" wrapText="1"/>
    </xf>
    <xf numFmtId="0" fontId="5" fillId="0" borderId="0" xfId="35" applyFont="1" applyFill="1"/>
    <xf numFmtId="49" fontId="5" fillId="0" borderId="0" xfId="35" applyNumberFormat="1" applyFont="1"/>
    <xf numFmtId="0" fontId="5" fillId="0" borderId="12" xfId="34" applyFont="1" applyFill="1" applyBorder="1" applyAlignment="1" applyProtection="1">
      <alignment horizontal="center" wrapText="1"/>
      <protection locked="0"/>
    </xf>
    <xf numFmtId="49" fontId="14" fillId="0" borderId="12" xfId="35" applyNumberFormat="1" applyFont="1" applyFill="1" applyBorder="1" applyAlignment="1" applyProtection="1">
      <alignment horizontal="left" vertical="top" wrapText="1"/>
      <protection locked="0"/>
    </xf>
    <xf numFmtId="0" fontId="5" fillId="0" borderId="12" xfId="35" applyNumberFormat="1" applyFont="1" applyFill="1" applyBorder="1" applyAlignment="1" applyProtection="1">
      <alignment horizontal="left" vertical="top" wrapText="1"/>
      <protection locked="0"/>
    </xf>
    <xf numFmtId="0" fontId="3" fillId="0" borderId="0" xfId="34" applyAlignment="1">
      <alignment vertical="top" wrapText="1"/>
    </xf>
    <xf numFmtId="0" fontId="3" fillId="0" borderId="0" xfId="34" applyFont="1" applyAlignment="1">
      <alignment vertical="top" wrapText="1"/>
    </xf>
    <xf numFmtId="0" fontId="0" fillId="0" borderId="0" xfId="0" applyAlignment="1">
      <alignment vertical="top" wrapText="1"/>
    </xf>
    <xf numFmtId="49" fontId="17" fillId="19" borderId="21" xfId="35" applyNumberFormat="1" applyFont="1" applyFill="1" applyBorder="1" applyAlignment="1" applyProtection="1">
      <alignment horizontal="left" vertical="top"/>
      <protection locked="0"/>
    </xf>
    <xf numFmtId="0" fontId="17" fillId="19" borderId="21" xfId="35" applyNumberFormat="1" applyFont="1" applyFill="1" applyBorder="1" applyAlignment="1" applyProtection="1">
      <alignment horizontal="left" vertical="top"/>
      <protection locked="0"/>
    </xf>
    <xf numFmtId="0" fontId="18" fillId="19" borderId="21" xfId="35" applyNumberFormat="1" applyFont="1" applyFill="1" applyBorder="1" applyAlignment="1" applyProtection="1">
      <alignment horizontal="left" vertical="top"/>
      <protection locked="0"/>
    </xf>
    <xf numFmtId="0" fontId="36" fillId="19" borderId="21" xfId="34" applyNumberFormat="1" applyFont="1" applyFill="1" applyBorder="1" applyAlignment="1" applyProtection="1">
      <alignment horizontal="left" vertical="top"/>
      <protection locked="0"/>
    </xf>
    <xf numFmtId="0" fontId="12" fillId="0" borderId="23" xfId="35" applyFont="1" applyFill="1" applyBorder="1" applyAlignment="1" applyProtection="1">
      <alignment vertical="top" wrapText="1"/>
      <protection locked="0"/>
    </xf>
    <xf numFmtId="0" fontId="0" fillId="0" borderId="23" xfId="0" applyBorder="1" applyAlignment="1">
      <alignment vertical="center" wrapText="1"/>
    </xf>
    <xf numFmtId="49" fontId="50" fillId="0" borderId="0" xfId="35" applyNumberFormat="1" applyFont="1" applyAlignment="1">
      <alignment vertical="center"/>
    </xf>
    <xf numFmtId="0" fontId="6" fillId="20" borderId="21" xfId="35" applyFont="1" applyFill="1" applyBorder="1" applyAlignment="1">
      <alignment horizontal="center" vertical="center"/>
    </xf>
    <xf numFmtId="0" fontId="0" fillId="0" borderId="0" xfId="34" applyFont="1" applyAlignment="1">
      <alignment vertical="top"/>
    </xf>
    <xf numFmtId="0" fontId="39" fillId="0" borderId="0" xfId="0" applyFont="1" applyAlignment="1">
      <alignment vertical="top" wrapText="1"/>
    </xf>
    <xf numFmtId="0" fontId="39" fillId="0" borderId="16" xfId="0" applyFont="1" applyBorder="1" applyAlignment="1">
      <alignment vertical="top" wrapText="1"/>
    </xf>
    <xf numFmtId="0" fontId="5" fillId="0" borderId="0" xfId="35" applyFont="1" applyAlignment="1">
      <alignment vertical="top"/>
    </xf>
    <xf numFmtId="49" fontId="3" fillId="0" borderId="12" xfId="35" applyNumberFormat="1" applyFont="1" applyBorder="1"/>
    <xf numFmtId="0" fontId="3" fillId="0" borderId="12" xfId="34" applyFont="1" applyBorder="1"/>
    <xf numFmtId="0" fontId="3" fillId="0" borderId="0" xfId="0" applyFont="1">
      <alignment vertical="center" wrapText="1"/>
    </xf>
    <xf numFmtId="0" fontId="5" fillId="0" borderId="12" xfId="35" applyNumberFormat="1" applyFont="1" applyFill="1" applyBorder="1" applyAlignment="1" applyProtection="1">
      <alignment horizontal="left" vertical="top"/>
      <protection locked="0"/>
    </xf>
    <xf numFmtId="0" fontId="5" fillId="0" borderId="12" xfId="35" applyNumberFormat="1" applyFont="1" applyFill="1" applyBorder="1" applyAlignment="1" applyProtection="1">
      <alignment horizontal="left" vertical="center" wrapText="1"/>
    </xf>
    <xf numFmtId="0" fontId="5" fillId="0" borderId="12" xfId="35" applyNumberFormat="1" applyFont="1" applyFill="1" applyBorder="1" applyAlignment="1" applyProtection="1">
      <alignment horizontal="left" vertical="center" wrapText="1"/>
      <protection locked="0"/>
    </xf>
    <xf numFmtId="49" fontId="5" fillId="0" borderId="12" xfId="35" applyNumberFormat="1" applyFont="1" applyFill="1" applyBorder="1" applyAlignment="1" applyProtection="1">
      <alignment horizontal="left" vertical="top"/>
      <protection locked="0"/>
    </xf>
    <xf numFmtId="0" fontId="12" fillId="0" borderId="12" xfId="35" applyNumberFormat="1" applyFont="1" applyFill="1" applyBorder="1" applyAlignment="1" applyProtection="1">
      <alignment horizontal="left" vertical="top"/>
      <protection locked="0"/>
    </xf>
    <xf numFmtId="49" fontId="17" fillId="19" borderId="21" xfId="35" applyNumberFormat="1" applyFont="1" applyFill="1" applyBorder="1" applyAlignment="1" applyProtection="1">
      <alignment vertical="top"/>
      <protection locked="0"/>
    </xf>
    <xf numFmtId="0" fontId="5" fillId="0" borderId="0" xfId="47" applyFont="1" applyFill="1" applyBorder="1" applyAlignment="1" applyProtection="1">
      <alignment horizontal="center" vertical="top" wrapText="1"/>
      <protection locked="0"/>
    </xf>
    <xf numFmtId="0" fontId="5" fillId="0" borderId="0" xfId="47" applyNumberFormat="1" applyFont="1" applyFill="1" applyBorder="1" applyAlignment="1" applyProtection="1">
      <alignment vertical="top" wrapText="1"/>
      <protection locked="0"/>
    </xf>
    <xf numFmtId="0" fontId="8" fillId="0" borderId="0" xfId="34" applyNumberFormat="1" applyFont="1" applyFill="1" applyBorder="1" applyAlignment="1" applyProtection="1">
      <alignment vertical="top" wrapText="1"/>
      <protection locked="0"/>
    </xf>
    <xf numFmtId="0" fontId="47" fillId="0" borderId="0" xfId="34" applyFont="1" applyFill="1" applyBorder="1" applyAlignment="1" applyProtection="1">
      <alignment vertical="top" wrapText="1"/>
      <protection locked="0"/>
    </xf>
    <xf numFmtId="0" fontId="42" fillId="0" borderId="0" xfId="33" applyNumberFormat="1" applyFont="1" applyFill="1" applyBorder="1" applyAlignment="1" applyProtection="1">
      <alignment vertical="top" wrapText="1"/>
      <protection locked="0"/>
    </xf>
    <xf numFmtId="0" fontId="15" fillId="0" borderId="0" xfId="33" applyNumberFormat="1" applyFont="1" applyFill="1" applyBorder="1" applyAlignment="1" applyProtection="1">
      <alignment vertical="top" wrapText="1"/>
      <protection locked="0"/>
    </xf>
    <xf numFmtId="49" fontId="17" fillId="0" borderId="0" xfId="35" applyNumberFormat="1" applyFont="1" applyFill="1" applyBorder="1" applyAlignment="1" applyProtection="1">
      <alignment horizontal="left" vertical="center"/>
      <protection locked="0"/>
    </xf>
    <xf numFmtId="0" fontId="17" fillId="0" borderId="0" xfId="35" applyNumberFormat="1" applyFont="1" applyFill="1" applyBorder="1" applyAlignment="1" applyProtection="1">
      <alignment horizontal="left" vertical="center"/>
      <protection locked="0"/>
    </xf>
    <xf numFmtId="0" fontId="18" fillId="0" borderId="0" xfId="35" applyNumberFormat="1" applyFont="1" applyFill="1" applyBorder="1" applyAlignment="1" applyProtection="1">
      <alignment horizontal="left" vertical="center"/>
      <protection locked="0"/>
    </xf>
    <xf numFmtId="0" fontId="5" fillId="0" borderId="0" xfId="35" applyNumberFormat="1" applyFont="1" applyFill="1" applyBorder="1" applyAlignment="1" applyProtection="1">
      <alignment horizontal="left" vertical="center"/>
      <protection locked="0"/>
    </xf>
    <xf numFmtId="49" fontId="12" fillId="0" borderId="12" xfId="34" applyNumberFormat="1" applyFont="1" applyFill="1" applyBorder="1" applyAlignment="1" applyProtection="1">
      <alignment vertical="center"/>
      <protection locked="0"/>
    </xf>
    <xf numFmtId="0" fontId="5" fillId="0" borderId="0" xfId="35" applyNumberFormat="1" applyFont="1" applyFill="1" applyBorder="1" applyAlignment="1" applyProtection="1">
      <alignment horizontal="left" vertical="center" wrapText="1"/>
      <protection locked="0"/>
    </xf>
    <xf numFmtId="0" fontId="5" fillId="0" borderId="0" xfId="35" applyNumberFormat="1" applyFont="1" applyFill="1" applyBorder="1" applyAlignment="1" applyProtection="1">
      <alignment horizontal="left" vertical="top"/>
      <protection locked="0"/>
    </xf>
    <xf numFmtId="0" fontId="5" fillId="0" borderId="12" xfId="35" applyFont="1" applyFill="1" applyBorder="1" applyAlignment="1" applyProtection="1">
      <alignment horizontal="left" vertical="top" wrapText="1"/>
    </xf>
    <xf numFmtId="49" fontId="12" fillId="0" borderId="0" xfId="35" applyNumberFormat="1" applyFont="1" applyFill="1" applyBorder="1" applyAlignment="1" applyProtection="1">
      <alignment horizontal="center"/>
      <protection locked="0"/>
    </xf>
    <xf numFmtId="0" fontId="5" fillId="0" borderId="12" xfId="35" applyFont="1" applyFill="1" applyBorder="1" applyAlignment="1" applyProtection="1">
      <alignment vertical="top" wrapText="1"/>
    </xf>
    <xf numFmtId="0" fontId="5" fillId="0" borderId="12" xfId="35" applyNumberFormat="1" applyFont="1" applyFill="1" applyBorder="1" applyAlignment="1" applyProtection="1">
      <alignment horizontal="left" vertical="top"/>
    </xf>
    <xf numFmtId="0" fontId="51" fillId="0" borderId="0" xfId="0" applyFont="1" applyAlignment="1">
      <alignment vertical="center"/>
    </xf>
    <xf numFmtId="0" fontId="53" fillId="0" borderId="0" xfId="0" applyFont="1">
      <alignment vertical="center" wrapText="1"/>
    </xf>
    <xf numFmtId="0" fontId="42" fillId="0" borderId="0" xfId="0" applyFont="1">
      <alignment vertical="center" wrapText="1"/>
    </xf>
    <xf numFmtId="0" fontId="55" fillId="0" borderId="0" xfId="0" applyFont="1">
      <alignment vertical="center" wrapText="1"/>
    </xf>
    <xf numFmtId="0" fontId="3" fillId="0" borderId="29" xfId="52" applyBorder="1" applyAlignment="1">
      <alignment horizontal="left" vertical="top" wrapText="1"/>
    </xf>
    <xf numFmtId="0" fontId="56" fillId="0" borderId="0" xfId="0" applyFont="1" applyAlignment="1">
      <alignment vertical="center"/>
    </xf>
    <xf numFmtId="0" fontId="3" fillId="0" borderId="33" xfId="52" applyBorder="1" applyAlignment="1">
      <alignment horizontal="left" vertical="top" wrapText="1"/>
    </xf>
    <xf numFmtId="0" fontId="7" fillId="0" borderId="0" xfId="0" applyFont="1" applyAlignment="1">
      <alignment horizontal="center" vertical="center" wrapText="1"/>
    </xf>
    <xf numFmtId="0" fontId="0" fillId="0" borderId="0" xfId="0" applyFont="1" applyAlignment="1">
      <alignment vertical="center"/>
    </xf>
    <xf numFmtId="0" fontId="58" fillId="0" borderId="0" xfId="0" applyFont="1">
      <alignment vertical="center" wrapText="1"/>
    </xf>
    <xf numFmtId="0" fontId="4" fillId="0" borderId="36" xfId="0" applyFont="1" applyBorder="1">
      <alignment vertical="center" wrapText="1"/>
    </xf>
    <xf numFmtId="0" fontId="4" fillId="0" borderId="38" xfId="0" applyFont="1" applyBorder="1">
      <alignment vertical="center" wrapText="1"/>
    </xf>
    <xf numFmtId="0" fontId="3" fillId="0" borderId="0" xfId="55"/>
    <xf numFmtId="0" fontId="61" fillId="0" borderId="0" xfId="55" applyFont="1"/>
    <xf numFmtId="0" fontId="62" fillId="0" borderId="0" xfId="55" applyFont="1"/>
    <xf numFmtId="0" fontId="61" fillId="0" borderId="0" xfId="55" applyFont="1" applyAlignment="1">
      <alignment horizontal="center"/>
    </xf>
    <xf numFmtId="0" fontId="63" fillId="0" borderId="0" xfId="55" applyFont="1"/>
    <xf numFmtId="0" fontId="64" fillId="0" borderId="0" xfId="55" applyFont="1"/>
    <xf numFmtId="0" fontId="65" fillId="0" borderId="0" xfId="55" applyFont="1" applyAlignment="1">
      <alignment horizontal="right"/>
    </xf>
    <xf numFmtId="0" fontId="65" fillId="0" borderId="0" xfId="55" applyFont="1" applyAlignment="1">
      <alignment horizontal="center"/>
    </xf>
    <xf numFmtId="0" fontId="64" fillId="0" borderId="0" xfId="55" applyFont="1" applyAlignment="1">
      <alignment horizontal="center"/>
    </xf>
    <xf numFmtId="0" fontId="10" fillId="0" borderId="0" xfId="55" applyFont="1"/>
    <xf numFmtId="0" fontId="63" fillId="0" borderId="0" xfId="55" applyFont="1" applyAlignment="1">
      <alignment vertical="center"/>
    </xf>
    <xf numFmtId="0" fontId="61" fillId="0" borderId="0" xfId="55" applyFont="1" applyAlignment="1">
      <alignment vertical="center"/>
    </xf>
    <xf numFmtId="0" fontId="61" fillId="0" borderId="0" xfId="55" applyFont="1" applyAlignment="1">
      <alignment horizontal="center" vertical="center"/>
    </xf>
    <xf numFmtId="0" fontId="3" fillId="0" borderId="0" xfId="55" applyAlignment="1">
      <alignment vertical="center"/>
    </xf>
    <xf numFmtId="0" fontId="5" fillId="0" borderId="0" xfId="0" applyFont="1" applyAlignment="1">
      <alignment horizontal="center" vertical="center" wrapText="1"/>
    </xf>
    <xf numFmtId="0" fontId="9" fillId="0" borderId="0" xfId="0" applyFont="1" applyAlignment="1">
      <alignment horizontal="center"/>
    </xf>
    <xf numFmtId="0" fontId="9" fillId="0" borderId="0" xfId="0" applyFont="1" applyAlignment="1">
      <alignment horizontal="center" vertical="center" wrapText="1"/>
    </xf>
    <xf numFmtId="0" fontId="4" fillId="0" borderId="0" xfId="0" applyFont="1">
      <alignment vertical="center" wrapText="1"/>
    </xf>
    <xf numFmtId="0" fontId="4" fillId="0" borderId="0" xfId="0" applyFont="1" applyAlignment="1">
      <alignment horizontal="center" vertical="center" wrapText="1"/>
    </xf>
    <xf numFmtId="0" fontId="14" fillId="0" borderId="0" xfId="0" applyFont="1" applyAlignment="1">
      <alignment horizontal="center" vertical="center" wrapText="1"/>
    </xf>
    <xf numFmtId="0" fontId="3" fillId="0" borderId="0" xfId="52"/>
    <xf numFmtId="0" fontId="0" fillId="0" borderId="0" xfId="0" applyFont="1">
      <alignment vertical="center" wrapText="1"/>
    </xf>
    <xf numFmtId="0" fontId="14" fillId="0" borderId="0" xfId="0" applyFont="1" applyAlignment="1">
      <alignment horizontal="center" vertical="center" wrapText="1"/>
    </xf>
    <xf numFmtId="0" fontId="55" fillId="0" borderId="0" xfId="0" applyFont="1" applyAlignment="1">
      <alignment vertical="center" wrapText="1"/>
    </xf>
    <xf numFmtId="0" fontId="4" fillId="0" borderId="30" xfId="0" applyFont="1" applyBorder="1">
      <alignment vertical="center" wrapText="1"/>
    </xf>
    <xf numFmtId="0" fontId="0" fillId="0" borderId="42" xfId="0" applyBorder="1">
      <alignment vertical="center" wrapText="1"/>
    </xf>
    <xf numFmtId="0" fontId="55" fillId="0" borderId="0" xfId="0" applyFont="1" applyAlignment="1">
      <alignment vertical="center"/>
    </xf>
    <xf numFmtId="0" fontId="0" fillId="0" borderId="45" xfId="0" applyBorder="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 fillId="0" borderId="0" xfId="0" applyFont="1" applyAlignment="1">
      <alignment vertical="center"/>
    </xf>
    <xf numFmtId="0" fontId="53" fillId="0" borderId="0" xfId="0" applyFont="1" applyAlignment="1">
      <alignment vertical="center"/>
    </xf>
    <xf numFmtId="0" fontId="42" fillId="0" borderId="0" xfId="0" applyFont="1" applyAlignment="1">
      <alignment horizontal="center" vertical="center" wrapText="1"/>
    </xf>
    <xf numFmtId="0" fontId="55" fillId="0" borderId="0" xfId="0" applyFont="1" applyAlignment="1">
      <alignment horizontal="center" vertical="center" wrapText="1"/>
    </xf>
    <xf numFmtId="0" fontId="4" fillId="0" borderId="46" xfId="0" applyFont="1" applyBorder="1">
      <alignment vertical="center" wrapText="1"/>
    </xf>
    <xf numFmtId="0" fontId="0" fillId="0" borderId="47" xfId="0" applyBorder="1">
      <alignment vertical="center" wrapText="1"/>
    </xf>
    <xf numFmtId="0" fontId="4" fillId="0" borderId="48" xfId="0" applyFont="1" applyBorder="1">
      <alignment vertical="center" wrapText="1"/>
    </xf>
    <xf numFmtId="0" fontId="7" fillId="0" borderId="0" xfId="0" applyFont="1" applyAlignment="1">
      <alignment horizontal="center" vertical="center" wrapText="1"/>
    </xf>
    <xf numFmtId="0" fontId="0" fillId="0" borderId="0" xfId="0" applyAlignment="1">
      <alignment horizontal="center" vertical="center" wrapText="1"/>
    </xf>
    <xf numFmtId="0" fontId="39" fillId="0" borderId="0" xfId="0" applyFont="1">
      <alignment vertical="center" wrapText="1"/>
    </xf>
    <xf numFmtId="0" fontId="3" fillId="0" borderId="0" xfId="56"/>
    <xf numFmtId="0" fontId="3" fillId="0" borderId="0" xfId="56" applyAlignment="1">
      <alignment vertical="center" wrapText="1"/>
    </xf>
    <xf numFmtId="0" fontId="9" fillId="0" borderId="49" xfId="56" applyFont="1" applyBorder="1" applyAlignment="1">
      <alignment horizontal="center" vertical="center"/>
    </xf>
    <xf numFmtId="0" fontId="3" fillId="0" borderId="0" xfId="56" applyAlignment="1">
      <alignment wrapText="1"/>
    </xf>
    <xf numFmtId="0" fontId="71" fillId="0" borderId="0" xfId="56" applyFont="1" applyAlignment="1">
      <alignment horizontal="center"/>
    </xf>
    <xf numFmtId="0" fontId="9" fillId="0" borderId="49" xfId="56" applyFont="1" applyBorder="1" applyAlignment="1">
      <alignment horizontal="center" vertical="center" wrapText="1"/>
    </xf>
    <xf numFmtId="0" fontId="9" fillId="0" borderId="0" xfId="56" applyFont="1"/>
    <xf numFmtId="0" fontId="69" fillId="0" borderId="0" xfId="57" applyAlignment="1">
      <alignment horizontal="center" vertical="center" wrapText="1"/>
    </xf>
    <xf numFmtId="0" fontId="9" fillId="29" borderId="0" xfId="56" applyFont="1" applyFill="1" applyAlignment="1">
      <alignment horizontal="center" wrapText="1"/>
    </xf>
    <xf numFmtId="0" fontId="3" fillId="0" borderId="0" xfId="56" applyAlignment="1">
      <alignment horizontal="left" vertical="center" wrapText="1"/>
    </xf>
    <xf numFmtId="0" fontId="0" fillId="0" borderId="52" xfId="52" applyFont="1" applyBorder="1" applyAlignment="1">
      <alignment vertical="top" wrapText="1"/>
    </xf>
    <xf numFmtId="0" fontId="0" fillId="0" borderId="41" xfId="0" applyBorder="1">
      <alignment vertical="center" wrapText="1"/>
    </xf>
    <xf numFmtId="0" fontId="0" fillId="20" borderId="0" xfId="0" applyFill="1">
      <alignment vertical="center" wrapText="1"/>
    </xf>
    <xf numFmtId="164" fontId="3" fillId="0" borderId="0" xfId="59" applyAlignment="1">
      <alignment horizontal="center" vertical="top" wrapText="1"/>
    </xf>
    <xf numFmtId="49" fontId="75" fillId="0" borderId="0" xfId="59" applyNumberFormat="1" applyFont="1" applyAlignment="1">
      <alignment vertical="top" wrapText="1"/>
    </xf>
    <xf numFmtId="164" fontId="79" fillId="0" borderId="0" xfId="59" applyFont="1" applyAlignment="1">
      <alignment vertical="center"/>
    </xf>
    <xf numFmtId="49" fontId="3" fillId="0" borderId="0" xfId="59" applyNumberFormat="1">
      <alignment vertical="center" wrapText="1"/>
    </xf>
    <xf numFmtId="49" fontId="3" fillId="0" borderId="0" xfId="59" applyNumberFormat="1" applyAlignment="1">
      <alignment horizontal="center" vertical="center" wrapText="1"/>
    </xf>
    <xf numFmtId="164" fontId="75" fillId="0" borderId="0" xfId="59" applyFont="1">
      <alignment vertical="center" wrapText="1"/>
    </xf>
    <xf numFmtId="49" fontId="76" fillId="0" borderId="0" xfId="59" applyNumberFormat="1" applyFont="1" applyAlignment="1">
      <alignment horizontal="left" vertical="center" wrapText="1" indent="2"/>
    </xf>
    <xf numFmtId="49" fontId="76" fillId="0" borderId="0" xfId="59" applyNumberFormat="1" applyFont="1" applyAlignment="1">
      <alignment horizontal="left" vertical="center" wrapText="1" indent="3"/>
    </xf>
    <xf numFmtId="49" fontId="80" fillId="0" borderId="0" xfId="59" applyNumberFormat="1" applyFont="1" applyAlignment="1">
      <alignment horizontal="left" vertical="center" wrapText="1" indent="2"/>
    </xf>
    <xf numFmtId="49" fontId="80" fillId="0" borderId="0" xfId="59" applyNumberFormat="1" applyFont="1" applyAlignment="1">
      <alignment horizontal="left" vertical="center" wrapText="1" indent="3"/>
    </xf>
    <xf numFmtId="49" fontId="76" fillId="0" borderId="0" xfId="59" applyNumberFormat="1" applyFont="1" applyAlignment="1">
      <alignment horizontal="left" vertical="top" wrapText="1" indent="2"/>
    </xf>
    <xf numFmtId="164" fontId="76" fillId="0" borderId="0" xfId="59" applyFont="1" applyAlignment="1">
      <alignment vertical="center"/>
    </xf>
    <xf numFmtId="164" fontId="3" fillId="0" borderId="0" xfId="59">
      <alignment vertical="center" wrapText="1"/>
    </xf>
    <xf numFmtId="49" fontId="76" fillId="0" borderId="0" xfId="59" applyNumberFormat="1" applyFont="1" applyAlignment="1">
      <alignment horizontal="left" vertical="center" wrapText="1" indent="4"/>
    </xf>
    <xf numFmtId="49" fontId="76" fillId="0" borderId="0" xfId="59" applyNumberFormat="1" applyFont="1" applyAlignment="1">
      <alignment horizontal="left" vertical="top" wrapText="1" indent="4"/>
    </xf>
    <xf numFmtId="49" fontId="3" fillId="0" borderId="0" xfId="59" applyNumberFormat="1" applyAlignment="1">
      <alignment horizontal="left" vertical="center" wrapText="1" indent="2"/>
    </xf>
    <xf numFmtId="164" fontId="3" fillId="0" borderId="0" xfId="59" applyAlignment="1">
      <alignment vertical="top" wrapText="1"/>
    </xf>
    <xf numFmtId="49" fontId="3" fillId="0" borderId="0" xfId="59" applyNumberFormat="1" applyAlignment="1">
      <alignment vertical="top" wrapText="1"/>
    </xf>
    <xf numFmtId="164" fontId="9" fillId="0" borderId="0" xfId="59" applyFont="1" applyAlignment="1">
      <alignment horizontal="center" vertical="top" wrapText="1"/>
    </xf>
    <xf numFmtId="49" fontId="75" fillId="0" borderId="0" xfId="59" applyNumberFormat="1" applyFont="1" applyAlignment="1">
      <alignment horizontal="left" vertical="top" wrapText="1"/>
    </xf>
    <xf numFmtId="49" fontId="75" fillId="0" borderId="0" xfId="59" applyNumberFormat="1" applyFont="1" applyAlignment="1">
      <alignment horizontal="left" vertical="center" wrapText="1"/>
    </xf>
    <xf numFmtId="49" fontId="3" fillId="0" borderId="0" xfId="59" applyNumberFormat="1" applyAlignment="1">
      <alignment horizontal="left" vertical="center" wrapText="1" indent="1"/>
    </xf>
    <xf numFmtId="49" fontId="76" fillId="0" borderId="0" xfId="59" applyNumberFormat="1" applyFont="1" applyAlignment="1">
      <alignment horizontal="left" vertical="top" wrapText="1"/>
    </xf>
    <xf numFmtId="49" fontId="3" fillId="0" borderId="0" xfId="59" applyNumberFormat="1" applyAlignment="1">
      <alignment horizontal="left" vertical="top" wrapText="1"/>
    </xf>
    <xf numFmtId="0" fontId="3" fillId="0" borderId="0" xfId="60"/>
    <xf numFmtId="0" fontId="3" fillId="0" borderId="0" xfId="60" applyAlignment="1">
      <alignment vertical="center"/>
    </xf>
    <xf numFmtId="0" fontId="9" fillId="0" borderId="0" xfId="0" applyFont="1" applyAlignment="1">
      <alignment horizontal="right" wrapText="1"/>
    </xf>
    <xf numFmtId="0" fontId="3" fillId="0" borderId="0" xfId="60" applyAlignment="1">
      <alignment horizontal="center"/>
    </xf>
    <xf numFmtId="0" fontId="0" fillId="0" borderId="18" xfId="0" applyBorder="1" applyAlignment="1">
      <alignment horizontal="center" vertical="center" wrapText="1"/>
    </xf>
    <xf numFmtId="0" fontId="42" fillId="0" borderId="0" xfId="0" applyFont="1" applyAlignment="1">
      <alignment vertical="center"/>
    </xf>
    <xf numFmtId="1" fontId="0" fillId="0" borderId="0" xfId="0" applyNumberFormat="1">
      <alignment vertical="center" wrapText="1"/>
    </xf>
    <xf numFmtId="0" fontId="0" fillId="0" borderId="0" xfId="0" applyAlignment="1">
      <alignment horizontal="center" vertical="center" wrapText="1"/>
    </xf>
    <xf numFmtId="0" fontId="7" fillId="0" borderId="0" xfId="0" applyFont="1" applyAlignment="1">
      <alignment horizontal="center" vertical="center" wrapText="1"/>
    </xf>
    <xf numFmtId="0" fontId="0" fillId="0" borderId="0" xfId="0" applyFont="1" applyFill="1" applyBorder="1" applyAlignment="1">
      <alignment horizontal="left" vertical="center" wrapText="1"/>
    </xf>
    <xf numFmtId="0" fontId="9" fillId="0" borderId="0" xfId="0" applyFont="1" applyAlignment="1">
      <alignment vertical="center" wrapText="1"/>
    </xf>
    <xf numFmtId="0" fontId="0" fillId="31" borderId="43" xfId="0" applyFill="1" applyBorder="1">
      <alignment vertical="center" wrapText="1"/>
    </xf>
    <xf numFmtId="0" fontId="0" fillId="31" borderId="64" xfId="0" applyFill="1" applyBorder="1">
      <alignment vertical="center" wrapText="1"/>
    </xf>
    <xf numFmtId="0" fontId="9" fillId="31" borderId="62" xfId="0" applyFont="1" applyFill="1" applyBorder="1" applyAlignment="1">
      <alignment horizontal="center" vertical="center" wrapText="1"/>
    </xf>
    <xf numFmtId="0" fontId="9" fillId="0" borderId="65" xfId="0" applyFont="1" applyBorder="1" applyAlignment="1">
      <alignment horizontal="center" vertical="center" wrapText="1"/>
    </xf>
    <xf numFmtId="0" fontId="0" fillId="0" borderId="62" xfId="0" applyBorder="1" applyAlignment="1">
      <alignment horizontal="center" vertical="center" wrapText="1"/>
    </xf>
    <xf numFmtId="0" fontId="0" fillId="0" borderId="62" xfId="0" applyBorder="1">
      <alignment vertical="center" wrapText="1"/>
    </xf>
    <xf numFmtId="0" fontId="0" fillId="0" borderId="58" xfId="0" applyBorder="1">
      <alignment vertical="center" wrapText="1"/>
    </xf>
    <xf numFmtId="0" fontId="0" fillId="0" borderId="58" xfId="0" applyFill="1" applyBorder="1">
      <alignment vertical="center" wrapText="1"/>
    </xf>
    <xf numFmtId="0" fontId="0" fillId="0" borderId="58" xfId="0" applyBorder="1" applyAlignment="1">
      <alignment horizontal="center" vertical="center" wrapText="1"/>
    </xf>
    <xf numFmtId="0" fontId="9" fillId="0" borderId="62" xfId="0" applyFont="1" applyBorder="1" applyAlignment="1">
      <alignment vertical="center" wrapText="1"/>
    </xf>
    <xf numFmtId="0" fontId="0" fillId="32" borderId="43" xfId="0" applyFill="1" applyBorder="1">
      <alignment vertical="center" wrapText="1"/>
    </xf>
    <xf numFmtId="0" fontId="0" fillId="32" borderId="64" xfId="0" applyFill="1" applyBorder="1">
      <alignment vertical="center" wrapText="1"/>
    </xf>
    <xf numFmtId="0" fontId="0" fillId="32" borderId="63" xfId="0" applyFill="1" applyBorder="1">
      <alignment vertical="center" wrapText="1"/>
    </xf>
    <xf numFmtId="0" fontId="9" fillId="32" borderId="62" xfId="0" applyFont="1" applyFill="1" applyBorder="1" applyAlignment="1">
      <alignment horizontal="center" vertical="center" wrapText="1"/>
    </xf>
    <xf numFmtId="0" fontId="9" fillId="0" borderId="62" xfId="0" applyFont="1" applyBorder="1" applyAlignment="1">
      <alignment horizontal="center" vertical="center" wrapText="1"/>
    </xf>
    <xf numFmtId="0" fontId="9" fillId="33" borderId="62" xfId="0" applyFont="1" applyFill="1" applyBorder="1" applyAlignment="1">
      <alignment horizontal="center" vertical="center" wrapText="1"/>
    </xf>
    <xf numFmtId="0" fontId="0" fillId="33" borderId="63" xfId="0" applyFill="1" applyBorder="1">
      <alignment vertical="center" wrapText="1"/>
    </xf>
    <xf numFmtId="0" fontId="0" fillId="33" borderId="43" xfId="0" applyFill="1" applyBorder="1">
      <alignment vertical="center" wrapText="1"/>
    </xf>
    <xf numFmtId="0" fontId="0" fillId="33" borderId="64" xfId="0" applyFill="1" applyBorder="1">
      <alignment vertical="center" wrapText="1"/>
    </xf>
    <xf numFmtId="0" fontId="0" fillId="0" borderId="0" xfId="0" applyAlignment="1">
      <alignment horizontal="right" vertical="center" wrapText="1"/>
    </xf>
    <xf numFmtId="0" fontId="82" fillId="0" borderId="0" xfId="0" applyFont="1" applyAlignment="1">
      <alignment horizontal="center" vertical="center" wrapText="1"/>
    </xf>
    <xf numFmtId="0" fontId="7" fillId="0" borderId="58" xfId="0" applyFont="1" applyBorder="1">
      <alignment vertical="center" wrapText="1"/>
    </xf>
    <xf numFmtId="0" fontId="9" fillId="0" borderId="58" xfId="0" applyFont="1" applyBorder="1" applyAlignment="1">
      <alignment horizontal="center" vertical="center" wrapText="1"/>
    </xf>
    <xf numFmtId="0" fontId="0" fillId="0" borderId="0" xfId="0" applyFont="1" applyAlignment="1">
      <alignment horizontal="center" vertical="center"/>
    </xf>
    <xf numFmtId="0" fontId="0" fillId="0" borderId="0" xfId="0" applyFont="1" applyAlignment="1">
      <alignment horizontal="left" vertical="center"/>
    </xf>
    <xf numFmtId="0" fontId="42" fillId="0" borderId="56" xfId="0" applyFont="1" applyBorder="1">
      <alignment vertical="center" wrapText="1"/>
    </xf>
    <xf numFmtId="0" fontId="42" fillId="0" borderId="58" xfId="0" applyFont="1" applyBorder="1">
      <alignment vertical="center" wrapText="1"/>
    </xf>
    <xf numFmtId="0" fontId="42" fillId="0" borderId="57" xfId="0" applyFont="1" applyBorder="1">
      <alignment vertical="center" wrapText="1"/>
    </xf>
    <xf numFmtId="0" fontId="0" fillId="0" borderId="56" xfId="0" applyBorder="1" applyAlignment="1">
      <alignment horizontal="center" vertical="center" wrapText="1"/>
    </xf>
    <xf numFmtId="0" fontId="0" fillId="0" borderId="57" xfId="0" applyBorder="1" applyAlignment="1">
      <alignment horizontal="center" vertical="center" wrapText="1"/>
    </xf>
    <xf numFmtId="0" fontId="9" fillId="27" borderId="62" xfId="0" applyFont="1" applyFill="1" applyBorder="1" applyAlignment="1">
      <alignment horizontal="center" vertical="center" wrapText="1"/>
    </xf>
    <xf numFmtId="0" fontId="0" fillId="27" borderId="63" xfId="0" applyFill="1" applyBorder="1">
      <alignment vertical="center" wrapText="1"/>
    </xf>
    <xf numFmtId="0" fontId="0" fillId="27" borderId="43" xfId="0" applyFill="1" applyBorder="1">
      <alignment vertical="center" wrapText="1"/>
    </xf>
    <xf numFmtId="0" fontId="0" fillId="27" borderId="64" xfId="0" applyFill="1" applyBorder="1">
      <alignment vertical="center" wrapText="1"/>
    </xf>
    <xf numFmtId="0" fontId="0" fillId="0" borderId="53" xfId="0" applyBorder="1" applyAlignment="1">
      <alignment horizontal="center" vertical="center" wrapText="1"/>
    </xf>
    <xf numFmtId="0" fontId="52" fillId="0" borderId="58" xfId="0" applyFont="1" applyBorder="1" applyAlignment="1">
      <alignment vertical="center"/>
    </xf>
    <xf numFmtId="0" fontId="9" fillId="30" borderId="62" xfId="0" applyFont="1" applyFill="1" applyBorder="1" applyAlignment="1">
      <alignment horizontal="center" vertical="center" wrapText="1"/>
    </xf>
    <xf numFmtId="0" fontId="0" fillId="30" borderId="63" xfId="0" applyFill="1" applyBorder="1">
      <alignment vertical="center" wrapText="1"/>
    </xf>
    <xf numFmtId="0" fontId="0" fillId="30" borderId="43" xfId="0" applyFill="1" applyBorder="1">
      <alignment vertical="center" wrapText="1"/>
    </xf>
    <xf numFmtId="0" fontId="0" fillId="30" borderId="64" xfId="0" applyFill="1" applyBorder="1">
      <alignment vertical="center" wrapText="1"/>
    </xf>
    <xf numFmtId="0" fontId="0" fillId="0" borderId="66" xfId="0" applyBorder="1" applyAlignment="1">
      <alignment horizontal="center" vertical="center" wrapText="1"/>
    </xf>
    <xf numFmtId="0" fontId="0" fillId="0" borderId="67" xfId="0" applyBorder="1" applyAlignment="1">
      <alignment horizontal="center" vertical="center" wrapText="1"/>
    </xf>
    <xf numFmtId="0" fontId="0" fillId="0" borderId="68" xfId="0" applyBorder="1" applyAlignment="1">
      <alignment horizontal="center" vertical="center" wrapText="1"/>
    </xf>
    <xf numFmtId="0" fontId="0" fillId="0" borderId="0" xfId="0" applyAlignment="1">
      <alignment horizontal="center" vertical="center" wrapText="1"/>
    </xf>
    <xf numFmtId="0" fontId="9" fillId="0" borderId="0" xfId="60" applyFont="1" applyAlignment="1">
      <alignment horizontal="right" vertical="top"/>
    </xf>
    <xf numFmtId="0" fontId="0" fillId="0" borderId="0" xfId="0" applyBorder="1" applyAlignment="1">
      <alignment horizontal="center" vertical="center" wrapText="1"/>
    </xf>
    <xf numFmtId="0" fontId="56" fillId="0" borderId="0" xfId="60" applyFont="1" applyAlignment="1">
      <alignment vertical="center" wrapText="1"/>
    </xf>
    <xf numFmtId="0" fontId="14" fillId="0" borderId="0" xfId="60" applyFont="1" applyAlignment="1">
      <alignment vertical="center"/>
    </xf>
    <xf numFmtId="0" fontId="83" fillId="0" borderId="0" xfId="60" applyFont="1" applyAlignment="1">
      <alignment vertical="center"/>
    </xf>
    <xf numFmtId="0" fontId="13" fillId="0" borderId="0" xfId="60" applyFont="1" applyAlignment="1">
      <alignment vertical="center"/>
    </xf>
    <xf numFmtId="0" fontId="13" fillId="0" borderId="0" xfId="60" applyFont="1" applyAlignment="1">
      <alignment horizontal="center" vertical="center"/>
    </xf>
    <xf numFmtId="9" fontId="14" fillId="0" borderId="0" xfId="60" applyNumberFormat="1" applyFont="1" applyAlignment="1">
      <alignment horizontal="center" vertical="center"/>
    </xf>
    <xf numFmtId="0" fontId="39" fillId="0" borderId="0" xfId="0" applyFont="1" applyAlignment="1">
      <alignment horizontal="center" vertical="center" wrapText="1"/>
    </xf>
    <xf numFmtId="0" fontId="0" fillId="0" borderId="0" xfId="0" applyAlignment="1">
      <alignment horizontal="center" vertical="center" wrapText="1"/>
    </xf>
    <xf numFmtId="0" fontId="39" fillId="0" borderId="0" xfId="0" applyFont="1" applyAlignment="1">
      <alignment horizontal="center" vertical="center" wrapText="1"/>
    </xf>
    <xf numFmtId="0" fontId="7" fillId="0" borderId="0" xfId="0" applyFont="1" applyAlignment="1">
      <alignment horizontal="center" vertical="center" wrapText="1"/>
    </xf>
    <xf numFmtId="0" fontId="50" fillId="0" borderId="19" xfId="0" applyFont="1" applyBorder="1" applyAlignment="1">
      <alignment vertical="center" wrapText="1"/>
    </xf>
    <xf numFmtId="0" fontId="50" fillId="0" borderId="0" xfId="0" applyFont="1" applyBorder="1" applyAlignment="1">
      <alignment vertical="center" wrapText="1"/>
    </xf>
    <xf numFmtId="0" fontId="42" fillId="0" borderId="31" xfId="0" applyFont="1" applyBorder="1" applyAlignment="1" applyProtection="1">
      <alignment horizontal="center" vertical="center" wrapText="1"/>
      <protection locked="0"/>
    </xf>
    <xf numFmtId="0" fontId="14" fillId="21" borderId="31" xfId="60" applyFont="1" applyFill="1" applyBorder="1" applyAlignment="1">
      <alignment horizontal="center" vertical="center"/>
    </xf>
    <xf numFmtId="0" fontId="14" fillId="24" borderId="33" xfId="60" applyFont="1" applyFill="1" applyBorder="1" applyAlignment="1">
      <alignment horizontal="center" vertical="center"/>
    </xf>
    <xf numFmtId="0" fontId="14" fillId="28" borderId="33" xfId="60" applyFont="1" applyFill="1" applyBorder="1" applyAlignment="1">
      <alignment horizontal="center" vertical="center"/>
    </xf>
    <xf numFmtId="0" fontId="14" fillId="28" borderId="45" xfId="60" applyFont="1" applyFill="1" applyBorder="1" applyAlignment="1">
      <alignment horizontal="center" vertical="center"/>
    </xf>
    <xf numFmtId="0" fontId="14" fillId="21" borderId="56" xfId="60" applyFont="1" applyFill="1" applyBorder="1" applyAlignment="1">
      <alignment horizontal="center" vertical="center"/>
    </xf>
    <xf numFmtId="0" fontId="14" fillId="24" borderId="58" xfId="60" applyFont="1" applyFill="1" applyBorder="1" applyAlignment="1">
      <alignment horizontal="center" vertical="center"/>
    </xf>
    <xf numFmtId="0" fontId="14" fillId="28" borderId="57" xfId="60" applyFont="1" applyFill="1" applyBorder="1" applyAlignment="1">
      <alignment horizontal="center" vertical="center"/>
    </xf>
    <xf numFmtId="0" fontId="14" fillId="0" borderId="56" xfId="60" applyFont="1" applyBorder="1" applyAlignment="1">
      <alignment horizontal="center" vertical="center"/>
    </xf>
    <xf numFmtId="0" fontId="14" fillId="21" borderId="58" xfId="60" applyFont="1" applyFill="1" applyBorder="1" applyAlignment="1">
      <alignment horizontal="center" vertical="center"/>
    </xf>
    <xf numFmtId="0" fontId="14" fillId="24" borderId="57" xfId="60" applyFont="1" applyFill="1" applyBorder="1" applyAlignment="1">
      <alignment horizontal="center" vertical="center"/>
    </xf>
    <xf numFmtId="0" fontId="14" fillId="0" borderId="59" xfId="60" applyFont="1" applyBorder="1" applyAlignment="1">
      <alignment horizontal="center" vertical="center"/>
    </xf>
    <xf numFmtId="0" fontId="14" fillId="0" borderId="60" xfId="60" applyFont="1" applyBorder="1" applyAlignment="1">
      <alignment horizontal="center" vertical="center"/>
    </xf>
    <xf numFmtId="0" fontId="14" fillId="21" borderId="61" xfId="60" applyFont="1" applyFill="1" applyBorder="1" applyAlignment="1">
      <alignment horizontal="center" vertical="center"/>
    </xf>
    <xf numFmtId="0" fontId="0" fillId="0" borderId="76" xfId="0" applyBorder="1">
      <alignment vertical="center" wrapText="1"/>
    </xf>
    <xf numFmtId="0" fontId="0" fillId="0" borderId="0" xfId="0" applyFill="1" applyBorder="1" applyAlignment="1">
      <alignment horizontal="center" vertical="center" wrapText="1"/>
    </xf>
    <xf numFmtId="0" fontId="3" fillId="0" borderId="0" xfId="52" applyFill="1" applyBorder="1" applyAlignment="1">
      <alignment horizontal="center" vertical="center"/>
    </xf>
    <xf numFmtId="0" fontId="0" fillId="0" borderId="0" xfId="52" applyFont="1" applyFill="1" applyBorder="1" applyAlignment="1">
      <alignment horizontal="center" vertical="top"/>
    </xf>
    <xf numFmtId="0" fontId="3" fillId="0" borderId="0" xfId="52" applyFill="1" applyBorder="1" applyAlignment="1">
      <alignment horizontal="center" vertical="top"/>
    </xf>
    <xf numFmtId="0" fontId="0" fillId="0" borderId="0" xfId="52" applyFont="1" applyFill="1" applyBorder="1" applyAlignment="1">
      <alignment horizontal="center" vertical="top" wrapText="1"/>
    </xf>
    <xf numFmtId="0" fontId="0" fillId="0" borderId="0" xfId="0" applyFill="1">
      <alignment vertical="center" wrapText="1"/>
    </xf>
    <xf numFmtId="0" fontId="0" fillId="0" borderId="28" xfId="0" applyBorder="1" applyAlignment="1">
      <alignment horizontal="center" vertical="center" wrapText="1"/>
    </xf>
    <xf numFmtId="0" fontId="53" fillId="0" borderId="20" xfId="0" applyFont="1" applyBorder="1" applyAlignment="1">
      <alignment horizontal="center" vertical="center" wrapText="1"/>
    </xf>
    <xf numFmtId="0" fontId="0" fillId="0" borderId="0" xfId="0" applyFont="1" applyBorder="1" applyAlignment="1">
      <alignment horizontal="center" vertical="center" wrapText="1"/>
    </xf>
    <xf numFmtId="0" fontId="0" fillId="0" borderId="0" xfId="0" applyFont="1" applyAlignment="1">
      <alignment horizontal="center" vertical="center" wrapText="1"/>
    </xf>
    <xf numFmtId="0" fontId="0" fillId="0" borderId="0" xfId="0" applyAlignment="1">
      <alignment horizontal="center" vertical="center" wrapText="1"/>
    </xf>
    <xf numFmtId="0" fontId="9" fillId="0" borderId="0" xfId="0" applyFont="1" applyBorder="1" applyAlignment="1">
      <alignment vertical="center" wrapText="1"/>
    </xf>
    <xf numFmtId="0" fontId="7" fillId="0" borderId="0" xfId="52" applyFont="1" applyBorder="1" applyAlignment="1">
      <alignment vertical="top" wrapText="1"/>
    </xf>
    <xf numFmtId="0" fontId="0" fillId="0" borderId="0" xfId="0" applyAlignment="1">
      <alignment horizontal="center" vertical="center" wrapText="1"/>
    </xf>
    <xf numFmtId="0" fontId="0" fillId="0" borderId="0" xfId="0"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vertical="center"/>
    </xf>
    <xf numFmtId="0" fontId="0" fillId="22" borderId="45" xfId="0" applyFill="1" applyBorder="1" applyProtection="1">
      <alignment vertical="center" wrapText="1"/>
      <protection locked="0"/>
    </xf>
    <xf numFmtId="0" fontId="0" fillId="0" borderId="0" xfId="0" applyFont="1" applyFill="1" applyBorder="1">
      <alignment vertical="center" wrapText="1"/>
    </xf>
    <xf numFmtId="0" fontId="44" fillId="34" borderId="0" xfId="0" applyFont="1" applyFill="1" applyAlignment="1">
      <alignment vertical="center"/>
    </xf>
    <xf numFmtId="0" fontId="0" fillId="34" borderId="0" xfId="0" applyFill="1">
      <alignment vertical="center" wrapText="1"/>
    </xf>
    <xf numFmtId="0" fontId="53" fillId="34" borderId="0" xfId="0" applyFont="1" applyFill="1">
      <alignment vertical="center" wrapText="1"/>
    </xf>
    <xf numFmtId="0" fontId="52" fillId="34" borderId="0" xfId="0" applyFont="1" applyFill="1">
      <alignment vertical="center" wrapText="1"/>
    </xf>
    <xf numFmtId="0" fontId="14" fillId="34" borderId="0" xfId="0" applyFont="1" applyFill="1" applyAlignment="1">
      <alignment horizontal="center" vertical="center" wrapText="1"/>
    </xf>
    <xf numFmtId="0" fontId="54" fillId="34" borderId="0" xfId="0" applyFont="1" applyFill="1" applyBorder="1" applyAlignment="1">
      <alignment vertical="center" wrapText="1"/>
    </xf>
    <xf numFmtId="0" fontId="13" fillId="34" borderId="0" xfId="0" applyFont="1" applyFill="1" applyBorder="1" applyAlignment="1">
      <alignment horizontal="center" vertical="center" wrapText="1"/>
    </xf>
    <xf numFmtId="0" fontId="13" fillId="34" borderId="0" xfId="0" applyFont="1" applyFill="1" applyBorder="1" applyAlignment="1">
      <alignment horizontal="left" vertical="center" wrapText="1"/>
    </xf>
    <xf numFmtId="0" fontId="54" fillId="34" borderId="81" xfId="0" applyFont="1" applyFill="1" applyBorder="1" applyAlignment="1">
      <alignment vertical="center" wrapText="1"/>
    </xf>
    <xf numFmtId="0" fontId="0" fillId="0" borderId="0" xfId="0" applyBorder="1">
      <alignment vertical="center" wrapText="1"/>
    </xf>
    <xf numFmtId="0" fontId="42" fillId="0" borderId="0" xfId="0" applyFont="1" applyBorder="1">
      <alignment vertical="center" wrapText="1"/>
    </xf>
    <xf numFmtId="0" fontId="13" fillId="34" borderId="82" xfId="0" applyFont="1" applyFill="1" applyBorder="1" applyAlignment="1">
      <alignment horizontal="center" vertical="center" wrapText="1"/>
    </xf>
    <xf numFmtId="0" fontId="13" fillId="34" borderId="83" xfId="0" applyFont="1" applyFill="1" applyBorder="1" applyAlignment="1">
      <alignment horizontal="left" vertical="center" wrapText="1"/>
    </xf>
    <xf numFmtId="0" fontId="52" fillId="34" borderId="81" xfId="0" applyFont="1" applyFill="1" applyBorder="1" applyAlignment="1">
      <alignment vertical="center" wrapText="1"/>
    </xf>
    <xf numFmtId="0" fontId="44" fillId="36" borderId="0" xfId="0" applyFont="1" applyFill="1" applyBorder="1" applyAlignment="1">
      <alignment vertical="center"/>
    </xf>
    <xf numFmtId="0" fontId="0" fillId="36" borderId="0" xfId="0" applyFill="1" applyBorder="1">
      <alignment vertical="center" wrapText="1"/>
    </xf>
    <xf numFmtId="0" fontId="53" fillId="36" borderId="0" xfId="0" applyFont="1" applyFill="1" applyBorder="1">
      <alignment vertical="center" wrapText="1"/>
    </xf>
    <xf numFmtId="0" fontId="54" fillId="36" borderId="0" xfId="0" applyFont="1" applyFill="1" applyBorder="1" applyAlignment="1">
      <alignment vertical="center" wrapText="1"/>
    </xf>
    <xf numFmtId="0" fontId="52" fillId="36" borderId="0" xfId="0" applyFont="1" applyFill="1" applyBorder="1">
      <alignment vertical="center" wrapText="1"/>
    </xf>
    <xf numFmtId="0" fontId="13" fillId="36" borderId="0" xfId="0" applyFont="1" applyFill="1" applyBorder="1" applyAlignment="1">
      <alignment vertical="center"/>
    </xf>
    <xf numFmtId="0" fontId="7" fillId="36" borderId="0" xfId="0" applyFont="1" applyFill="1" applyBorder="1">
      <alignment vertical="center" wrapText="1"/>
    </xf>
    <xf numFmtId="0" fontId="54" fillId="36" borderId="0" xfId="0" applyFont="1" applyFill="1" applyBorder="1">
      <alignment vertical="center" wrapText="1"/>
    </xf>
    <xf numFmtId="0" fontId="14" fillId="36" borderId="0" xfId="0" applyFont="1" applyFill="1" applyBorder="1" applyAlignment="1">
      <alignment horizontal="center" vertical="center" wrapText="1"/>
    </xf>
    <xf numFmtId="0" fontId="53" fillId="36" borderId="0" xfId="0" applyFont="1" applyFill="1" applyBorder="1" applyAlignment="1">
      <alignment horizontal="center" vertical="center" wrapText="1"/>
    </xf>
    <xf numFmtId="0" fontId="59" fillId="36" borderId="0" xfId="0" applyFont="1" applyFill="1" applyBorder="1" applyAlignment="1">
      <alignment horizontal="center" vertical="center" wrapText="1"/>
    </xf>
    <xf numFmtId="0" fontId="52" fillId="34" borderId="0" xfId="0" applyFont="1" applyFill="1" applyBorder="1" applyAlignment="1">
      <alignment vertical="center" wrapText="1"/>
    </xf>
    <xf numFmtId="0" fontId="0" fillId="0" borderId="0" xfId="0" applyAlignment="1">
      <alignment vertical="center" wrapText="1"/>
    </xf>
    <xf numFmtId="0" fontId="7" fillId="37" borderId="0" xfId="0" applyFont="1" applyFill="1" applyAlignment="1">
      <alignment horizontal="center" vertical="center" wrapText="1"/>
    </xf>
    <xf numFmtId="0" fontId="0" fillId="0" borderId="0" xfId="0" applyAlignment="1">
      <alignment vertical="center" wrapText="1"/>
    </xf>
    <xf numFmtId="0" fontId="39" fillId="0" borderId="0" xfId="55" applyFont="1"/>
    <xf numFmtId="0" fontId="0" fillId="0" borderId="0" xfId="0" applyAlignment="1">
      <alignment horizontal="center" vertical="center" wrapText="1"/>
    </xf>
    <xf numFmtId="0" fontId="7" fillId="0" borderId="0" xfId="0" applyFont="1" applyAlignment="1">
      <alignment horizontal="center" vertical="center" wrapText="1"/>
    </xf>
    <xf numFmtId="0" fontId="0" fillId="0" borderId="0" xfId="0" quotePrefix="1" applyAlignment="1">
      <alignment vertical="center" wrapText="1"/>
    </xf>
    <xf numFmtId="0" fontId="0" fillId="0" borderId="0" xfId="0" applyAlignment="1">
      <alignment horizontal="center" vertical="center" wrapText="1"/>
    </xf>
    <xf numFmtId="0" fontId="0" fillId="0" borderId="0" xfId="0" applyAlignment="1">
      <alignment vertical="center" wrapText="1"/>
    </xf>
    <xf numFmtId="0" fontId="3" fillId="38" borderId="79" xfId="60" applyFill="1" applyBorder="1" applyAlignment="1">
      <alignment horizontal="center" vertical="center" wrapText="1"/>
    </xf>
    <xf numFmtId="0" fontId="3" fillId="38" borderId="79" xfId="60" applyFill="1" applyBorder="1" applyAlignment="1">
      <alignment horizontal="left" vertical="center" wrapText="1"/>
    </xf>
    <xf numFmtId="0" fontId="3" fillId="38" borderId="0" xfId="60" applyFill="1"/>
    <xf numFmtId="0" fontId="0" fillId="0" borderId="0" xfId="52" applyFont="1"/>
    <xf numFmtId="0" fontId="89" fillId="39" borderId="79" xfId="60" applyFont="1" applyFill="1" applyBorder="1" applyAlignment="1">
      <alignment horizontal="center" vertical="center"/>
    </xf>
    <xf numFmtId="0" fontId="89" fillId="39" borderId="79" xfId="60" applyFont="1" applyFill="1" applyBorder="1" applyAlignment="1">
      <alignment horizontal="left" vertical="center"/>
    </xf>
    <xf numFmtId="0" fontId="90" fillId="39" borderId="74" xfId="60" applyFont="1" applyFill="1" applyBorder="1" applyAlignment="1">
      <alignment vertical="center" wrapText="1"/>
    </xf>
    <xf numFmtId="0" fontId="90" fillId="39" borderId="74" xfId="60" applyFont="1" applyFill="1" applyBorder="1" applyAlignment="1">
      <alignment vertical="center"/>
    </xf>
    <xf numFmtId="0" fontId="52" fillId="0" borderId="0" xfId="0" applyFont="1" applyAlignment="1">
      <alignment vertical="center" wrapText="1"/>
    </xf>
    <xf numFmtId="0" fontId="7" fillId="0" borderId="0" xfId="0" applyFont="1" applyAlignment="1">
      <alignment vertical="center" wrapText="1"/>
    </xf>
    <xf numFmtId="0" fontId="0" fillId="0" borderId="0" xfId="0" applyAlignment="1">
      <alignment horizontal="center" vertical="center" wrapText="1"/>
    </xf>
    <xf numFmtId="0" fontId="7" fillId="0" borderId="0" xfId="0" applyFont="1" applyAlignment="1">
      <alignment horizontal="center" vertical="center" wrapText="1"/>
    </xf>
    <xf numFmtId="0" fontId="54" fillId="34" borderId="0" xfId="0" applyFont="1" applyFill="1" applyBorder="1" applyAlignment="1">
      <alignment horizontal="right" vertical="center" wrapText="1"/>
    </xf>
    <xf numFmtId="0" fontId="0" fillId="0" borderId="0" xfId="0" applyProtection="1">
      <alignment vertical="center" wrapText="1"/>
      <protection locked="0"/>
    </xf>
    <xf numFmtId="0" fontId="5" fillId="38" borderId="79" xfId="60" applyFont="1" applyFill="1" applyBorder="1" applyAlignment="1">
      <alignment horizontal="center" vertical="center" wrapText="1"/>
    </xf>
    <xf numFmtId="0" fontId="5" fillId="38" borderId="79" xfId="60" applyFont="1" applyFill="1" applyBorder="1" applyAlignment="1">
      <alignment horizontal="left" vertical="center" wrapText="1"/>
    </xf>
    <xf numFmtId="0" fontId="7" fillId="34" borderId="0" xfId="0" applyFont="1" applyFill="1" applyBorder="1" applyAlignment="1">
      <alignment horizontal="right" vertical="center" wrapText="1"/>
    </xf>
    <xf numFmtId="0" fontId="5" fillId="38" borderId="86" xfId="60" applyFont="1" applyFill="1" applyBorder="1" applyAlignment="1">
      <alignment horizontal="left" vertical="center" wrapText="1"/>
    </xf>
    <xf numFmtId="0" fontId="3" fillId="38" borderId="86" xfId="60" applyFill="1" applyBorder="1" applyAlignment="1">
      <alignment horizontal="left" vertical="center" wrapText="1"/>
    </xf>
    <xf numFmtId="0" fontId="5" fillId="38" borderId="87" xfId="60" applyFont="1" applyFill="1" applyBorder="1" applyAlignment="1">
      <alignment horizontal="left" vertical="center" wrapText="1"/>
    </xf>
    <xf numFmtId="0" fontId="3" fillId="38" borderId="87" xfId="60" applyFill="1" applyBorder="1" applyAlignment="1">
      <alignment horizontal="left" vertical="center" wrapText="1"/>
    </xf>
    <xf numFmtId="0" fontId="13" fillId="31" borderId="84" xfId="0" applyFont="1" applyFill="1" applyBorder="1" applyAlignment="1" applyProtection="1">
      <alignment horizontal="center" vertical="center" wrapText="1"/>
      <protection locked="0"/>
    </xf>
    <xf numFmtId="0" fontId="0" fillId="38" borderId="0" xfId="60" applyFont="1" applyFill="1"/>
    <xf numFmtId="0" fontId="0" fillId="0" borderId="0" xfId="0" applyAlignment="1">
      <alignment horizontal="center" vertical="center" wrapText="1"/>
    </xf>
    <xf numFmtId="0" fontId="0" fillId="0" borderId="33" xfId="0" applyBorder="1" applyAlignment="1">
      <alignment horizontal="center" vertical="center" wrapText="1"/>
    </xf>
    <xf numFmtId="0" fontId="0" fillId="0" borderId="45" xfId="0" applyBorder="1" applyAlignment="1">
      <alignment horizontal="center" vertical="center" wrapText="1"/>
    </xf>
    <xf numFmtId="0" fontId="0" fillId="0" borderId="87" xfId="0" applyBorder="1">
      <alignment vertical="center" wrapText="1"/>
    </xf>
    <xf numFmtId="0" fontId="0" fillId="0" borderId="87" xfId="0" applyBorder="1" applyAlignment="1">
      <alignment horizontal="justify" vertical="center"/>
    </xf>
    <xf numFmtId="0" fontId="0" fillId="0" borderId="87" xfId="0" applyBorder="1" applyAlignment="1">
      <alignment horizontal="justify" vertical="center" wrapText="1"/>
    </xf>
    <xf numFmtId="0" fontId="0" fillId="0" borderId="87" xfId="0" applyBorder="1" applyAlignment="1">
      <alignment horizontal="left" vertical="center" wrapText="1"/>
    </xf>
    <xf numFmtId="0" fontId="0" fillId="0" borderId="87" xfId="0" applyBorder="1" applyAlignment="1">
      <alignment horizontal="center" vertical="center" wrapText="1"/>
    </xf>
    <xf numFmtId="0" fontId="0" fillId="0" borderId="33" xfId="0" applyBorder="1" applyAlignment="1" applyProtection="1">
      <alignment horizontal="center" vertical="center" wrapText="1"/>
      <protection locked="0"/>
    </xf>
    <xf numFmtId="0" fontId="0" fillId="0" borderId="32" xfId="0" applyBorder="1">
      <alignment vertical="center" wrapText="1"/>
    </xf>
    <xf numFmtId="0" fontId="53" fillId="0" borderId="45" xfId="0" applyFont="1" applyBorder="1" applyAlignment="1">
      <alignment horizontal="justify" vertical="center" wrapText="1"/>
    </xf>
    <xf numFmtId="0" fontId="4" fillId="0" borderId="88" xfId="0" applyFont="1" applyBorder="1">
      <alignment vertical="center" wrapText="1"/>
    </xf>
    <xf numFmtId="0" fontId="0" fillId="0" borderId="31" xfId="0" applyBorder="1">
      <alignment vertical="center" wrapText="1"/>
    </xf>
    <xf numFmtId="0" fontId="0" fillId="0" borderId="33" xfId="0" applyBorder="1">
      <alignment vertical="center" wrapText="1"/>
    </xf>
    <xf numFmtId="0" fontId="3" fillId="0" borderId="76" xfId="52" applyBorder="1" applyAlignment="1">
      <alignment vertical="top" wrapText="1"/>
    </xf>
    <xf numFmtId="0" fontId="3" fillId="0" borderId="76" xfId="52" applyBorder="1" applyAlignment="1">
      <alignment vertical="top"/>
    </xf>
    <xf numFmtId="0" fontId="4" fillId="0" borderId="92" xfId="0" applyFont="1" applyBorder="1">
      <alignment vertical="center" wrapText="1"/>
    </xf>
    <xf numFmtId="0" fontId="0" fillId="0" borderId="93" xfId="0" applyBorder="1">
      <alignment vertical="center" wrapText="1"/>
    </xf>
    <xf numFmtId="0" fontId="0" fillId="0" borderId="96" xfId="0" applyBorder="1">
      <alignment vertical="center" wrapText="1"/>
    </xf>
    <xf numFmtId="0" fontId="0" fillId="0" borderId="96" xfId="0" applyBorder="1" applyAlignment="1">
      <alignment horizontal="center" vertical="center" wrapText="1"/>
    </xf>
    <xf numFmtId="0" fontId="0" fillId="0" borderId="96" xfId="52" applyFont="1" applyBorder="1" applyAlignment="1">
      <alignment horizontal="left" vertical="top" wrapText="1"/>
    </xf>
    <xf numFmtId="0" fontId="0" fillId="0" borderId="27" xfId="0" applyBorder="1">
      <alignment vertical="center" wrapText="1"/>
    </xf>
    <xf numFmtId="0" fontId="0" fillId="0" borderId="34" xfId="0" applyBorder="1">
      <alignment vertical="center" wrapText="1"/>
    </xf>
    <xf numFmtId="0" fontId="0" fillId="0" borderId="34" xfId="0" applyBorder="1" applyAlignment="1">
      <alignment horizontal="justify" vertical="center"/>
    </xf>
    <xf numFmtId="0" fontId="0" fillId="0" borderId="34" xfId="0" applyBorder="1" applyAlignment="1">
      <alignment horizontal="justify" vertical="center" wrapText="1"/>
    </xf>
    <xf numFmtId="0" fontId="0" fillId="0" borderId="34" xfId="0" applyBorder="1" applyAlignment="1">
      <alignment horizontal="left" vertical="center" wrapText="1"/>
    </xf>
    <xf numFmtId="0" fontId="0" fillId="0" borderId="44" xfId="0" applyBorder="1" applyAlignment="1">
      <alignment horizontal="justify" vertical="center" wrapText="1"/>
    </xf>
    <xf numFmtId="0" fontId="0" fillId="0" borderId="95" xfId="0" applyBorder="1">
      <alignment vertical="center" wrapText="1"/>
    </xf>
    <xf numFmtId="0" fontId="0" fillId="0" borderId="98" xfId="0" applyBorder="1">
      <alignment vertical="center" wrapText="1"/>
    </xf>
    <xf numFmtId="0" fontId="0" fillId="0" borderId="99" xfId="0" applyBorder="1">
      <alignment vertical="center" wrapText="1"/>
    </xf>
    <xf numFmtId="0" fontId="0" fillId="0" borderId="100" xfId="0" applyBorder="1">
      <alignment vertical="center" wrapText="1"/>
    </xf>
    <xf numFmtId="0" fontId="0" fillId="0" borderId="94" xfId="0" applyBorder="1" applyAlignment="1">
      <alignment horizontal="center" vertical="center" wrapText="1"/>
    </xf>
    <xf numFmtId="0" fontId="0" fillId="0" borderId="102" xfId="0" applyBorder="1" applyAlignment="1">
      <alignment horizontal="center" vertical="center" wrapText="1"/>
    </xf>
    <xf numFmtId="0" fontId="0" fillId="0" borderId="95" xfId="0" applyBorder="1" applyAlignment="1">
      <alignment horizontal="center" vertical="center" wrapText="1"/>
    </xf>
    <xf numFmtId="0" fontId="3" fillId="0" borderId="94" xfId="52" applyBorder="1" applyAlignment="1">
      <alignment horizontal="left" vertical="top" wrapText="1"/>
    </xf>
    <xf numFmtId="0" fontId="3" fillId="0" borderId="96" xfId="52" applyBorder="1" applyAlignment="1">
      <alignment horizontal="left" vertical="top" wrapText="1"/>
    </xf>
    <xf numFmtId="0" fontId="3" fillId="0" borderId="95" xfId="52" applyBorder="1" applyAlignment="1">
      <alignment horizontal="left" vertical="top" wrapText="1"/>
    </xf>
    <xf numFmtId="0" fontId="3" fillId="0" borderId="96" xfId="52" applyBorder="1" applyAlignment="1">
      <alignment horizontal="left" vertical="top"/>
    </xf>
    <xf numFmtId="0" fontId="0" fillId="0" borderId="11" xfId="52" applyFont="1" applyBorder="1" applyAlignment="1">
      <alignment horizontal="left" vertical="top" wrapText="1"/>
    </xf>
    <xf numFmtId="0" fontId="3" fillId="0" borderId="90" xfId="52" applyBorder="1" applyAlignment="1">
      <alignment horizontal="left" vertical="top" wrapText="1"/>
    </xf>
    <xf numFmtId="0" fontId="3" fillId="0" borderId="99" xfId="52" applyBorder="1" applyAlignment="1">
      <alignment horizontal="left" vertical="top"/>
    </xf>
    <xf numFmtId="0" fontId="3" fillId="0" borderId="96" xfId="52" applyBorder="1" applyAlignment="1">
      <alignment vertical="center" wrapText="1"/>
    </xf>
    <xf numFmtId="0" fontId="3" fillId="0" borderId="95" xfId="52" applyBorder="1" applyAlignment="1">
      <alignment vertical="center" wrapText="1"/>
    </xf>
    <xf numFmtId="0" fontId="0" fillId="0" borderId="97" xfId="0" applyBorder="1">
      <alignment vertical="center" wrapText="1"/>
    </xf>
    <xf numFmtId="0" fontId="3" fillId="0" borderId="96" xfId="52" applyBorder="1" applyAlignment="1">
      <alignment vertical="top" wrapText="1"/>
    </xf>
    <xf numFmtId="0" fontId="0" fillId="0" borderId="96" xfId="0" applyBorder="1" applyAlignment="1">
      <alignment vertical="top" wrapText="1"/>
    </xf>
    <xf numFmtId="0" fontId="3" fillId="0" borderId="102" xfId="52" applyBorder="1" applyAlignment="1">
      <alignment horizontal="left" vertical="top" wrapText="1"/>
    </xf>
    <xf numFmtId="0" fontId="3" fillId="0" borderId="96" xfId="52" applyBorder="1" applyAlignment="1">
      <alignment vertical="center"/>
    </xf>
    <xf numFmtId="0" fontId="3" fillId="0" borderId="0" xfId="52" applyAlignment="1">
      <alignment horizontal="left" vertical="top" wrapText="1"/>
    </xf>
    <xf numFmtId="0" fontId="0" fillId="0" borderId="76" xfId="52" applyFont="1" applyBorder="1" applyAlignment="1">
      <alignment horizontal="left" vertical="top" wrapText="1"/>
    </xf>
    <xf numFmtId="0" fontId="0" fillId="0" borderId="96" xfId="52" applyFont="1" applyBorder="1" applyAlignment="1">
      <alignment vertical="top" wrapText="1"/>
    </xf>
    <xf numFmtId="0" fontId="3" fillId="0" borderId="52" xfId="52" applyBorder="1" applyAlignment="1">
      <alignment horizontal="left" vertical="top" wrapText="1"/>
    </xf>
    <xf numFmtId="0" fontId="0" fillId="0" borderId="76" xfId="52" applyFont="1" applyBorder="1" applyAlignment="1">
      <alignment vertical="top" wrapText="1"/>
    </xf>
    <xf numFmtId="0" fontId="3" fillId="0" borderId="76" xfId="52" applyBorder="1" applyAlignment="1">
      <alignment horizontal="left" vertical="top"/>
    </xf>
    <xf numFmtId="0" fontId="3" fillId="0" borderId="54" xfId="52" applyBorder="1" applyAlignment="1">
      <alignment horizontal="left" vertical="top" wrapText="1"/>
    </xf>
    <xf numFmtId="0" fontId="0" fillId="0" borderId="99" xfId="52" applyFont="1" applyBorder="1" applyAlignment="1">
      <alignment horizontal="left" vertical="top"/>
    </xf>
    <xf numFmtId="0" fontId="0" fillId="0" borderId="104" xfId="0" applyBorder="1">
      <alignment vertical="center" wrapText="1"/>
    </xf>
    <xf numFmtId="0" fontId="0" fillId="0" borderId="99" xfId="52" applyFont="1" applyBorder="1" applyAlignment="1">
      <alignment horizontal="left" vertical="top" wrapText="1"/>
    </xf>
    <xf numFmtId="0" fontId="9" fillId="0" borderId="96" xfId="0" applyFont="1" applyBorder="1" applyAlignment="1">
      <alignment horizontal="center" vertical="center" wrapText="1"/>
    </xf>
    <xf numFmtId="0" fontId="0" fillId="23" borderId="96" xfId="0" applyFill="1" applyBorder="1" applyAlignment="1">
      <alignment horizontal="center" vertical="center" wrapText="1"/>
    </xf>
    <xf numFmtId="0" fontId="0" fillId="23" borderId="96" xfId="0" applyFill="1" applyBorder="1">
      <alignment vertical="center" wrapText="1"/>
    </xf>
    <xf numFmtId="0" fontId="3" fillId="33" borderId="96" xfId="52" applyFill="1" applyBorder="1" applyAlignment="1">
      <alignment horizontal="center" vertical="center" wrapText="1"/>
    </xf>
    <xf numFmtId="0" fontId="0" fillId="33" borderId="96" xfId="52" applyFont="1" applyFill="1" applyBorder="1" applyAlignment="1">
      <alignment horizontal="center" vertical="center" wrapText="1"/>
    </xf>
    <xf numFmtId="0" fontId="3" fillId="33" borderId="96" xfId="52" applyFill="1" applyBorder="1" applyAlignment="1">
      <alignment horizontal="center" vertical="center"/>
    </xf>
    <xf numFmtId="0" fontId="3" fillId="33" borderId="96" xfId="52" applyFill="1" applyBorder="1" applyAlignment="1">
      <alignment horizontal="center" vertical="top" wrapText="1"/>
    </xf>
    <xf numFmtId="0" fontId="0" fillId="33" borderId="96" xfId="52" applyFont="1" applyFill="1" applyBorder="1" applyAlignment="1">
      <alignment horizontal="center" vertical="top" wrapText="1"/>
    </xf>
    <xf numFmtId="0" fontId="3" fillId="33" borderId="96" xfId="52" applyFill="1" applyBorder="1" applyAlignment="1">
      <alignment horizontal="center" vertical="top"/>
    </xf>
    <xf numFmtId="0" fontId="0" fillId="33" borderId="96" xfId="0" applyFill="1" applyBorder="1" applyAlignment="1">
      <alignment horizontal="center" vertical="top" wrapText="1"/>
    </xf>
    <xf numFmtId="0" fontId="3" fillId="33" borderId="96" xfId="0" applyFont="1" applyFill="1" applyBorder="1" applyAlignment="1">
      <alignment horizontal="center" vertical="center" wrapText="1"/>
    </xf>
    <xf numFmtId="0" fontId="0" fillId="33" borderId="96" xfId="0" applyFill="1" applyBorder="1" applyAlignment="1">
      <alignment horizontal="center" vertical="center" wrapText="1"/>
    </xf>
    <xf numFmtId="0" fontId="0" fillId="33" borderId="96" xfId="52" applyFont="1" applyFill="1" applyBorder="1" applyAlignment="1">
      <alignment horizontal="center" vertical="top"/>
    </xf>
    <xf numFmtId="0" fontId="0" fillId="0" borderId="77" xfId="0" applyBorder="1">
      <alignment vertical="center" wrapText="1"/>
    </xf>
    <xf numFmtId="0" fontId="0" fillId="0" borderId="28" xfId="0" applyBorder="1">
      <alignment vertical="center" wrapText="1"/>
    </xf>
    <xf numFmtId="0" fontId="0" fillId="0" borderId="28" xfId="0" applyBorder="1" applyAlignment="1">
      <alignment horizontal="justify" vertical="center"/>
    </xf>
    <xf numFmtId="0" fontId="0" fillId="0" borderId="28" xfId="0" applyBorder="1" applyAlignment="1">
      <alignment horizontal="justify" vertical="center" wrapText="1"/>
    </xf>
    <xf numFmtId="0" fontId="0" fillId="0" borderId="28" xfId="0" applyBorder="1" applyAlignment="1">
      <alignment horizontal="left" vertical="center" wrapText="1"/>
    </xf>
    <xf numFmtId="0" fontId="0" fillId="0" borderId="98" xfId="0" applyBorder="1" applyAlignment="1">
      <alignment horizontal="center" vertical="center" wrapText="1"/>
    </xf>
    <xf numFmtId="0" fontId="0" fillId="0" borderId="99" xfId="0" applyBorder="1" applyAlignment="1">
      <alignment horizontal="center" vertical="center" wrapText="1"/>
    </xf>
    <xf numFmtId="0" fontId="0" fillId="0" borderId="100" xfId="0" applyBorder="1" applyAlignment="1">
      <alignment horizontal="center" vertical="center" wrapText="1"/>
    </xf>
    <xf numFmtId="0" fontId="14" fillId="0" borderId="105" xfId="0" applyFont="1" applyBorder="1" applyAlignment="1">
      <alignment horizontal="center" vertical="center" wrapText="1"/>
    </xf>
    <xf numFmtId="0" fontId="7" fillId="27" borderId="105" xfId="0" applyFont="1" applyFill="1" applyBorder="1" applyAlignment="1">
      <alignment horizontal="left" vertical="center"/>
    </xf>
    <xf numFmtId="0" fontId="66" fillId="27" borderId="105" xfId="0" applyFont="1" applyFill="1" applyBorder="1" applyAlignment="1">
      <alignment horizontal="left" vertical="center"/>
    </xf>
    <xf numFmtId="0" fontId="12" fillId="27" borderId="105" xfId="0" applyFont="1" applyFill="1" applyBorder="1" applyAlignment="1">
      <alignment horizontal="center" vertical="center" wrapText="1"/>
    </xf>
    <xf numFmtId="0" fontId="7" fillId="24" borderId="105" xfId="0" applyFont="1" applyFill="1" applyBorder="1" applyAlignment="1">
      <alignment horizontal="left" vertical="center"/>
    </xf>
    <xf numFmtId="0" fontId="66" fillId="24" borderId="106" xfId="0" applyFont="1" applyFill="1" applyBorder="1" applyAlignment="1">
      <alignment horizontal="left" vertical="center"/>
    </xf>
    <xf numFmtId="0" fontId="12" fillId="24" borderId="105" xfId="0" applyFont="1" applyFill="1" applyBorder="1" applyAlignment="1">
      <alignment horizontal="center" vertical="center" wrapText="1"/>
    </xf>
    <xf numFmtId="0" fontId="4" fillId="18" borderId="105" xfId="54" applyFont="1" applyFill="1" applyBorder="1" applyAlignment="1">
      <alignment vertical="top" wrapText="1"/>
    </xf>
    <xf numFmtId="49" fontId="4" fillId="18" borderId="105" xfId="54" applyNumberFormat="1" applyFont="1" applyFill="1" applyBorder="1" applyAlignment="1">
      <alignment vertical="top" wrapText="1"/>
    </xf>
    <xf numFmtId="0" fontId="4" fillId="18" borderId="105" xfId="0" applyFont="1" applyFill="1" applyBorder="1" applyAlignment="1">
      <alignment vertical="top" wrapText="1"/>
    </xf>
    <xf numFmtId="0" fontId="4" fillId="18" borderId="105" xfId="0" applyFont="1" applyFill="1" applyBorder="1" applyAlignment="1">
      <alignment horizontal="left" vertical="top" wrapText="1"/>
    </xf>
    <xf numFmtId="0" fontId="4" fillId="18" borderId="106" xfId="0" applyFont="1" applyFill="1" applyBorder="1" applyAlignment="1">
      <alignment horizontal="left" vertical="top" wrapText="1"/>
    </xf>
    <xf numFmtId="49" fontId="4" fillId="18" borderId="105" xfId="0" applyNumberFormat="1" applyFont="1" applyFill="1" applyBorder="1" applyAlignment="1">
      <alignment vertical="top" wrapText="1"/>
    </xf>
    <xf numFmtId="0" fontId="4" fillId="18" borderId="106" xfId="54" applyFont="1" applyFill="1" applyBorder="1" applyAlignment="1">
      <alignment horizontal="left" vertical="top" wrapText="1"/>
    </xf>
    <xf numFmtId="0" fontId="66" fillId="27" borderId="106" xfId="0" applyFont="1" applyFill="1" applyBorder="1" applyAlignment="1">
      <alignment horizontal="left" vertical="center"/>
    </xf>
    <xf numFmtId="0" fontId="4" fillId="18" borderId="42" xfId="0" applyFont="1" applyFill="1" applyBorder="1">
      <alignment vertical="center" wrapText="1"/>
    </xf>
    <xf numFmtId="0" fontId="4" fillId="18" borderId="107" xfId="0" applyFont="1" applyFill="1" applyBorder="1" applyAlignment="1">
      <alignment horizontal="left" vertical="top" wrapText="1"/>
    </xf>
    <xf numFmtId="0" fontId="4" fillId="18" borderId="76" xfId="0" applyFont="1" applyFill="1" applyBorder="1" applyAlignment="1">
      <alignment horizontal="left" vertical="center" wrapText="1"/>
    </xf>
    <xf numFmtId="0" fontId="0" fillId="34" borderId="0" xfId="0" applyFill="1" applyProtection="1">
      <alignment vertical="center" wrapText="1"/>
    </xf>
    <xf numFmtId="0" fontId="54" fillId="34" borderId="0" xfId="0" applyFont="1" applyFill="1" applyBorder="1" applyAlignment="1" applyProtection="1">
      <alignment vertical="center" wrapText="1"/>
    </xf>
    <xf numFmtId="0" fontId="54" fillId="34" borderId="81" xfId="0" applyFont="1" applyFill="1" applyBorder="1" applyAlignment="1" applyProtection="1">
      <alignment vertical="center" wrapText="1"/>
    </xf>
    <xf numFmtId="0" fontId="52" fillId="34" borderId="81" xfId="0" applyFont="1" applyFill="1" applyBorder="1" applyAlignment="1" applyProtection="1">
      <alignment vertical="center" wrapText="1"/>
    </xf>
    <xf numFmtId="0" fontId="13" fillId="34" borderId="82" xfId="0" applyFont="1" applyFill="1" applyBorder="1" applyAlignment="1" applyProtection="1">
      <alignment horizontal="center" vertical="center" wrapText="1"/>
    </xf>
    <xf numFmtId="0" fontId="13" fillId="34" borderId="83" xfId="0" applyFont="1" applyFill="1" applyBorder="1" applyAlignment="1" applyProtection="1">
      <alignment horizontal="left" vertical="center" wrapText="1"/>
    </xf>
    <xf numFmtId="0" fontId="14" fillId="34" borderId="0" xfId="0" applyFont="1" applyFill="1" applyAlignment="1" applyProtection="1">
      <alignment horizontal="center" vertical="center" wrapText="1"/>
    </xf>
    <xf numFmtId="0" fontId="7" fillId="34" borderId="0" xfId="0" applyFont="1" applyFill="1" applyBorder="1" applyAlignment="1" applyProtection="1">
      <alignment horizontal="right" vertical="center" wrapText="1"/>
    </xf>
    <xf numFmtId="0" fontId="13" fillId="31" borderId="84" xfId="0" applyFont="1" applyFill="1" applyBorder="1" applyAlignment="1" applyProtection="1">
      <alignment horizontal="center" vertical="center" wrapText="1"/>
    </xf>
    <xf numFmtId="0" fontId="44" fillId="36" borderId="0" xfId="0" applyFont="1" applyFill="1" applyBorder="1" applyAlignment="1" applyProtection="1">
      <alignment vertical="center"/>
    </xf>
    <xf numFmtId="0" fontId="0" fillId="36" borderId="0" xfId="0" applyFill="1" applyBorder="1" applyProtection="1">
      <alignment vertical="center" wrapText="1"/>
    </xf>
    <xf numFmtId="0" fontId="53" fillId="36" borderId="0" xfId="0" applyFont="1" applyFill="1" applyBorder="1" applyProtection="1">
      <alignment vertical="center" wrapText="1"/>
    </xf>
    <xf numFmtId="0" fontId="54" fillId="36" borderId="0" xfId="0" applyFont="1" applyFill="1" applyBorder="1" applyAlignment="1" applyProtection="1">
      <alignment vertical="center" wrapText="1"/>
    </xf>
    <xf numFmtId="0" fontId="52" fillId="36" borderId="0" xfId="0" applyFont="1" applyFill="1" applyBorder="1" applyProtection="1">
      <alignment vertical="center" wrapText="1"/>
    </xf>
    <xf numFmtId="0" fontId="13" fillId="36" borderId="0" xfId="0" applyFont="1" applyFill="1" applyBorder="1" applyAlignment="1" applyProtection="1">
      <alignment vertical="center"/>
    </xf>
    <xf numFmtId="0" fontId="54" fillId="36" borderId="0" xfId="0" applyFont="1" applyFill="1" applyBorder="1" applyProtection="1">
      <alignment vertical="center" wrapText="1"/>
    </xf>
    <xf numFmtId="0" fontId="14" fillId="36" borderId="0" xfId="0" applyFont="1" applyFill="1" applyBorder="1" applyAlignment="1" applyProtection="1">
      <alignment horizontal="center" vertical="center" wrapText="1"/>
    </xf>
    <xf numFmtId="0" fontId="53" fillId="36" borderId="0" xfId="0" applyFont="1" applyFill="1" applyBorder="1" applyAlignment="1" applyProtection="1">
      <alignment horizontal="center" vertical="center" wrapText="1"/>
    </xf>
    <xf numFmtId="0" fontId="52" fillId="34" borderId="0" xfId="0" applyFont="1" applyFill="1" applyBorder="1" applyAlignment="1" applyProtection="1">
      <alignment vertical="center" wrapText="1"/>
    </xf>
    <xf numFmtId="0" fontId="13" fillId="34" borderId="0" xfId="0" applyFont="1" applyFill="1" applyBorder="1" applyAlignment="1" applyProtection="1">
      <alignment horizontal="center" vertical="center" wrapText="1"/>
    </xf>
    <xf numFmtId="0" fontId="13" fillId="34" borderId="0" xfId="0" applyFont="1" applyFill="1" applyBorder="1" applyAlignment="1" applyProtection="1">
      <alignment horizontal="left" vertical="center" wrapText="1"/>
    </xf>
    <xf numFmtId="0" fontId="59" fillId="36" borderId="0" xfId="0" applyFont="1" applyFill="1" applyBorder="1" applyAlignment="1" applyProtection="1">
      <alignment horizontal="center" vertical="center" wrapText="1"/>
    </xf>
    <xf numFmtId="0" fontId="91" fillId="39" borderId="79" xfId="60" applyFont="1" applyFill="1" applyBorder="1" applyAlignment="1" applyProtection="1">
      <alignment horizontal="center" vertical="center"/>
    </xf>
    <xf numFmtId="0" fontId="91" fillId="39" borderId="106" xfId="60" applyFont="1" applyFill="1" applyBorder="1" applyAlignment="1" applyProtection="1">
      <alignment horizontal="center" vertical="center"/>
    </xf>
    <xf numFmtId="0" fontId="3" fillId="38" borderId="102" xfId="60" applyFill="1" applyBorder="1" applyAlignment="1">
      <alignment horizontal="center" vertical="center" wrapText="1"/>
    </xf>
    <xf numFmtId="0" fontId="43" fillId="39" borderId="105" xfId="60" applyFont="1" applyFill="1" applyBorder="1" applyAlignment="1">
      <alignment horizontal="center" vertical="center"/>
    </xf>
    <xf numFmtId="0" fontId="3" fillId="31" borderId="105" xfId="60" applyFill="1" applyBorder="1" applyAlignment="1">
      <alignment horizontal="left" vertical="center" wrapText="1"/>
    </xf>
    <xf numFmtId="0" fontId="3" fillId="31" borderId="105" xfId="60" applyFill="1" applyBorder="1" applyAlignment="1">
      <alignment horizontal="center" vertical="center" wrapText="1"/>
    </xf>
    <xf numFmtId="0" fontId="0" fillId="0" borderId="0" xfId="0" applyAlignment="1">
      <alignment horizontal="center" vertical="center" wrapText="1"/>
    </xf>
    <xf numFmtId="0" fontId="42" fillId="0" borderId="0" xfId="0" applyFont="1" applyAlignment="1">
      <alignment vertical="center" wrapText="1"/>
    </xf>
    <xf numFmtId="0" fontId="14" fillId="0" borderId="105" xfId="0" applyFont="1" applyBorder="1">
      <alignment vertical="center" wrapText="1"/>
    </xf>
    <xf numFmtId="0" fontId="42" fillId="0" borderId="105" xfId="0" applyFont="1" applyBorder="1" applyAlignment="1">
      <alignment horizontal="center" vertical="center" wrapText="1"/>
    </xf>
    <xf numFmtId="0" fontId="0" fillId="0" borderId="105" xfId="0" applyBorder="1" applyAlignment="1">
      <alignment horizontal="center" vertical="center" wrapText="1"/>
    </xf>
    <xf numFmtId="0" fontId="0" fillId="0" borderId="105" xfId="0" applyBorder="1" applyAlignment="1" applyProtection="1">
      <alignment horizontal="center" vertical="center" wrapText="1"/>
      <protection locked="0"/>
    </xf>
    <xf numFmtId="0" fontId="42" fillId="0" borderId="105" xfId="0" applyFont="1" applyBorder="1" applyAlignment="1" applyProtection="1">
      <alignment horizontal="center" vertical="center" wrapText="1"/>
      <protection locked="0"/>
    </xf>
    <xf numFmtId="0" fontId="3" fillId="0" borderId="105" xfId="52" applyBorder="1" applyAlignment="1">
      <alignment horizontal="center" vertical="center" wrapText="1"/>
    </xf>
    <xf numFmtId="0" fontId="0" fillId="0" borderId="105" xfId="52" applyFont="1" applyBorder="1" applyAlignment="1">
      <alignment horizontal="center" vertical="center" wrapText="1"/>
    </xf>
    <xf numFmtId="0" fontId="0" fillId="0" borderId="0" xfId="0" applyAlignment="1">
      <alignment horizontal="center" vertical="center" wrapText="1"/>
    </xf>
    <xf numFmtId="0" fontId="0" fillId="0" borderId="108" xfId="0" applyBorder="1" applyAlignment="1">
      <alignment horizontal="center" vertical="center" wrapText="1"/>
    </xf>
    <xf numFmtId="0" fontId="0" fillId="0" borderId="109" xfId="0" applyBorder="1" applyAlignment="1">
      <alignment horizontal="center" vertical="center" wrapText="1"/>
    </xf>
    <xf numFmtId="0" fontId="0" fillId="0" borderId="0" xfId="0" applyAlignment="1">
      <alignment horizontal="center" vertical="center" wrapText="1"/>
    </xf>
    <xf numFmtId="0" fontId="56" fillId="38" borderId="0" xfId="60" applyFont="1" applyFill="1" applyAlignment="1">
      <alignment vertical="center" wrapText="1"/>
    </xf>
    <xf numFmtId="0" fontId="94" fillId="38" borderId="0" xfId="60" applyFont="1" applyFill="1" applyAlignment="1">
      <alignment vertical="center" wrapText="1"/>
    </xf>
    <xf numFmtId="0" fontId="95" fillId="39" borderId="79" xfId="60" applyFont="1" applyFill="1" applyBorder="1" applyAlignment="1" applyProtection="1">
      <alignment horizontal="center" vertical="center"/>
    </xf>
    <xf numFmtId="0" fontId="58" fillId="0" borderId="0" xfId="60" applyFont="1" applyAlignment="1">
      <alignment vertical="center"/>
    </xf>
    <xf numFmtId="0" fontId="90" fillId="39" borderId="114" xfId="60" applyFont="1" applyFill="1" applyBorder="1" applyAlignment="1">
      <alignment vertical="center"/>
    </xf>
    <xf numFmtId="0" fontId="90" fillId="39" borderId="117" xfId="60" applyFont="1" applyFill="1" applyBorder="1" applyAlignment="1">
      <alignment vertical="center"/>
    </xf>
    <xf numFmtId="0" fontId="93" fillId="38" borderId="0" xfId="60" applyFont="1" applyFill="1" applyAlignment="1" applyProtection="1">
      <alignment horizontal="center" vertical="center"/>
      <protection locked="0"/>
    </xf>
    <xf numFmtId="0" fontId="0" fillId="0" borderId="0" xfId="0" applyAlignment="1">
      <alignment horizontal="center" vertical="center" wrapText="1"/>
    </xf>
    <xf numFmtId="0" fontId="9" fillId="18" borderId="39" xfId="55" applyFont="1" applyFill="1" applyBorder="1" applyAlignment="1" applyProtection="1">
      <alignment horizontal="center"/>
      <protection locked="0"/>
    </xf>
    <xf numFmtId="0" fontId="9" fillId="25" borderId="39" xfId="55" applyFont="1" applyFill="1" applyBorder="1" applyAlignment="1" applyProtection="1">
      <alignment horizontal="center"/>
      <protection locked="0"/>
    </xf>
    <xf numFmtId="0" fontId="60" fillId="26" borderId="39" xfId="55" applyFont="1" applyFill="1" applyBorder="1" applyAlignment="1" applyProtection="1">
      <alignment horizontal="center"/>
      <protection locked="0"/>
    </xf>
    <xf numFmtId="0" fontId="9" fillId="0" borderId="39" xfId="55" applyFont="1" applyBorder="1" applyAlignment="1" applyProtection="1">
      <alignment horizontal="center"/>
      <protection locked="0"/>
    </xf>
    <xf numFmtId="0" fontId="0" fillId="41" borderId="0" xfId="0" applyFill="1">
      <alignment vertical="center" wrapText="1"/>
    </xf>
    <xf numFmtId="0" fontId="0" fillId="0" borderId="120" xfId="0" applyBorder="1">
      <alignment vertical="center" wrapText="1"/>
    </xf>
    <xf numFmtId="0" fontId="0" fillId="0" borderId="120" xfId="0" applyBorder="1" applyAlignment="1">
      <alignment horizontal="left" vertical="center" wrapText="1"/>
    </xf>
    <xf numFmtId="0" fontId="42" fillId="0" borderId="119" xfId="0" applyFont="1" applyBorder="1" applyAlignment="1" applyProtection="1">
      <alignment horizontal="center" vertical="center" wrapText="1"/>
      <protection locked="0"/>
    </xf>
    <xf numFmtId="0" fontId="0" fillId="22" borderId="119" xfId="0" applyFill="1" applyBorder="1" applyProtection="1">
      <alignment vertical="center" wrapText="1"/>
      <protection locked="0"/>
    </xf>
    <xf numFmtId="0" fontId="42" fillId="0" borderId="33" xfId="0" applyFont="1" applyBorder="1" applyAlignment="1" applyProtection="1">
      <alignment horizontal="center" vertical="center" wrapText="1"/>
      <protection locked="0"/>
    </xf>
    <xf numFmtId="0" fontId="0" fillId="0" borderId="119" xfId="0" applyBorder="1" applyAlignment="1" applyProtection="1">
      <alignment horizontal="center" vertical="center" wrapText="1"/>
      <protection locked="0"/>
    </xf>
    <xf numFmtId="0" fontId="0" fillId="22" borderId="91" xfId="0" applyFill="1" applyBorder="1" applyProtection="1">
      <alignment vertical="center" wrapText="1"/>
      <protection locked="0"/>
    </xf>
    <xf numFmtId="0" fontId="0" fillId="0" borderId="120" xfId="0" applyBorder="1" applyAlignment="1">
      <alignment horizontal="justify" vertical="center"/>
    </xf>
    <xf numFmtId="0" fontId="0" fillId="0" borderId="121" xfId="0" applyBorder="1" applyAlignment="1" applyProtection="1">
      <alignment horizontal="center" vertical="center" wrapText="1"/>
      <protection locked="0"/>
    </xf>
    <xf numFmtId="0" fontId="0" fillId="0" borderId="120" xfId="0" applyBorder="1" applyAlignment="1">
      <alignment horizontal="justify" vertical="center" wrapText="1"/>
    </xf>
    <xf numFmtId="0" fontId="42" fillId="0" borderId="91" xfId="0" applyFont="1" applyBorder="1" applyAlignment="1" applyProtection="1">
      <alignment horizontal="center" vertical="center" wrapText="1"/>
      <protection locked="0"/>
    </xf>
    <xf numFmtId="0" fontId="0" fillId="0" borderId="60" xfId="0" applyBorder="1" applyAlignment="1" applyProtection="1">
      <alignment horizontal="center" vertical="center" wrapText="1"/>
      <protection locked="0"/>
    </xf>
    <xf numFmtId="0" fontId="0" fillId="0" borderId="123" xfId="0" applyBorder="1" applyAlignment="1">
      <alignment horizontal="justify" vertical="center" wrapText="1"/>
    </xf>
    <xf numFmtId="0" fontId="0" fillId="0" borderId="123" xfId="0" applyBorder="1">
      <alignment vertical="center" wrapText="1"/>
    </xf>
    <xf numFmtId="0" fontId="0" fillId="22" borderId="60" xfId="0" applyFill="1" applyBorder="1" applyProtection="1">
      <alignment vertical="center" wrapText="1"/>
      <protection locked="0"/>
    </xf>
    <xf numFmtId="0" fontId="42" fillId="0" borderId="80" xfId="0" applyFont="1" applyBorder="1" applyAlignment="1" applyProtection="1">
      <alignment horizontal="center" vertical="center" wrapText="1"/>
      <protection locked="0"/>
    </xf>
    <xf numFmtId="0" fontId="51" fillId="38" borderId="0" xfId="0" applyFont="1" applyFill="1" applyAlignment="1">
      <alignment vertical="center"/>
    </xf>
    <xf numFmtId="0" fontId="0" fillId="38" borderId="0" xfId="0" applyFill="1">
      <alignment vertical="center" wrapText="1"/>
    </xf>
    <xf numFmtId="0" fontId="0" fillId="38" borderId="0" xfId="0" applyFont="1" applyFill="1">
      <alignment vertical="center" wrapText="1"/>
    </xf>
    <xf numFmtId="0" fontId="42" fillId="0" borderId="124" xfId="0" applyFont="1" applyBorder="1" applyAlignment="1" applyProtection="1">
      <alignment horizontal="center" vertical="center" wrapText="1"/>
      <protection locked="0"/>
    </xf>
    <xf numFmtId="0" fontId="0" fillId="22" borderId="124" xfId="0" applyFill="1" applyBorder="1" applyProtection="1">
      <alignment vertical="center" wrapText="1"/>
      <protection locked="0"/>
    </xf>
    <xf numFmtId="0" fontId="0" fillId="22" borderId="78" xfId="0" applyFill="1" applyBorder="1" applyProtection="1">
      <alignment vertical="center" wrapText="1"/>
      <protection locked="0"/>
    </xf>
    <xf numFmtId="0" fontId="3" fillId="38" borderId="0" xfId="52" applyFill="1" applyBorder="1"/>
    <xf numFmtId="0" fontId="50" fillId="38" borderId="0" xfId="52" applyFont="1" applyFill="1" applyBorder="1"/>
    <xf numFmtId="0" fontId="50" fillId="38" borderId="0" xfId="0" applyFont="1" applyFill="1" applyAlignment="1"/>
    <xf numFmtId="0" fontId="50" fillId="38" borderId="0" xfId="0" applyFont="1" applyFill="1" applyAlignment="1">
      <alignment horizontal="left"/>
    </xf>
    <xf numFmtId="0" fontId="0" fillId="38" borderId="0" xfId="0" applyFill="1" applyAlignment="1">
      <alignment horizontal="center" vertical="center" wrapText="1"/>
    </xf>
    <xf numFmtId="0" fontId="50" fillId="38" borderId="0" xfId="60" applyFont="1" applyFill="1" applyAlignment="1"/>
    <xf numFmtId="0" fontId="0" fillId="38" borderId="0" xfId="0" applyFill="1" applyBorder="1">
      <alignment vertical="center" wrapText="1"/>
    </xf>
    <xf numFmtId="0" fontId="3" fillId="38" borderId="0" xfId="55" applyFill="1"/>
    <xf numFmtId="0" fontId="62" fillId="38" borderId="0" xfId="55" applyFont="1" applyFill="1"/>
    <xf numFmtId="0" fontId="61" fillId="38" borderId="0" xfId="55" applyFont="1" applyFill="1"/>
    <xf numFmtId="0" fontId="61" fillId="38" borderId="0" xfId="55" applyFont="1" applyFill="1" applyAlignment="1">
      <alignment horizontal="center"/>
    </xf>
    <xf numFmtId="0" fontId="14" fillId="38" borderId="39" xfId="55" applyFont="1" applyFill="1" applyBorder="1" applyAlignment="1">
      <alignment horizontal="center"/>
    </xf>
    <xf numFmtId="0" fontId="14" fillId="38" borderId="126" xfId="55" applyFont="1" applyFill="1" applyBorder="1" applyAlignment="1">
      <alignment horizontal="center"/>
    </xf>
    <xf numFmtId="0" fontId="14" fillId="38" borderId="121" xfId="55" applyFont="1" applyFill="1" applyBorder="1" applyAlignment="1">
      <alignment horizontal="center"/>
    </xf>
    <xf numFmtId="0" fontId="9" fillId="0" borderId="39" xfId="55" applyFont="1" applyFill="1" applyBorder="1" applyAlignment="1" applyProtection="1">
      <alignment horizontal="center"/>
      <protection locked="0"/>
    </xf>
    <xf numFmtId="0" fontId="60" fillId="0" borderId="39" xfId="55" applyFont="1" applyFill="1" applyBorder="1" applyAlignment="1" applyProtection="1">
      <alignment horizontal="center"/>
      <protection locked="0"/>
    </xf>
    <xf numFmtId="0" fontId="61" fillId="0" borderId="125" xfId="55" applyFont="1" applyBorder="1" applyAlignment="1">
      <alignment horizontal="center"/>
    </xf>
    <xf numFmtId="0" fontId="61" fillId="0" borderId="125" xfId="55" applyFont="1" applyBorder="1"/>
    <xf numFmtId="0" fontId="50" fillId="38" borderId="0" xfId="55" applyFont="1" applyFill="1" applyAlignment="1"/>
    <xf numFmtId="0" fontId="9" fillId="0" borderId="127" xfId="60" applyFont="1" applyBorder="1" applyAlignment="1">
      <alignment horizontal="center" vertical="center"/>
    </xf>
    <xf numFmtId="0" fontId="9" fillId="0" borderId="128" xfId="60" applyFont="1" applyBorder="1" applyAlignment="1">
      <alignment horizontal="center" vertical="center"/>
    </xf>
    <xf numFmtId="0" fontId="9" fillId="0" borderId="111" xfId="60" applyFont="1" applyBorder="1" applyAlignment="1">
      <alignment horizontal="center" vertical="center" wrapText="1"/>
    </xf>
    <xf numFmtId="0" fontId="9" fillId="0" borderId="121" xfId="60" applyFont="1" applyBorder="1" applyAlignment="1">
      <alignment horizontal="center" vertical="center" wrapText="1"/>
    </xf>
    <xf numFmtId="0" fontId="9" fillId="38" borderId="130" xfId="60" applyFont="1" applyFill="1" applyBorder="1" applyAlignment="1">
      <alignment horizontal="center" vertical="center"/>
    </xf>
    <xf numFmtId="0" fontId="9" fillId="38" borderId="129" xfId="60" applyFont="1" applyFill="1" applyBorder="1" applyAlignment="1">
      <alignment horizontal="center" vertical="center"/>
    </xf>
    <xf numFmtId="0" fontId="3" fillId="0" borderId="0" xfId="55" applyProtection="1">
      <protection locked="0"/>
    </xf>
    <xf numFmtId="0" fontId="0" fillId="0" borderId="55" xfId="0" applyBorder="1" applyAlignment="1" applyProtection="1">
      <alignment horizontal="center" vertical="center" wrapText="1"/>
      <protection locked="0"/>
    </xf>
    <xf numFmtId="0" fontId="39" fillId="0" borderId="0" xfId="0" applyFont="1" applyAlignment="1">
      <alignment vertical="center"/>
    </xf>
    <xf numFmtId="0" fontId="0" fillId="0" borderId="0" xfId="0" applyAlignment="1">
      <alignment horizontal="center" vertical="center" wrapText="1"/>
    </xf>
    <xf numFmtId="0" fontId="0" fillId="38" borderId="0" xfId="0" applyFill="1" applyAlignment="1"/>
    <xf numFmtId="0" fontId="38" fillId="38" borderId="0" xfId="0" applyFont="1" applyFill="1" applyAlignment="1">
      <alignment horizontal="center" vertical="center" wrapText="1"/>
    </xf>
    <xf numFmtId="0" fontId="14" fillId="38" borderId="0" xfId="0" applyFont="1" applyFill="1" applyAlignment="1">
      <alignment horizontal="center" vertical="center" wrapText="1"/>
    </xf>
    <xf numFmtId="0" fontId="97" fillId="34" borderId="0" xfId="0" applyFont="1" applyFill="1" applyBorder="1" applyAlignment="1">
      <alignment vertical="center"/>
    </xf>
    <xf numFmtId="0" fontId="0" fillId="34" borderId="0" xfId="0" applyFill="1" applyBorder="1" applyAlignment="1">
      <alignment wrapText="1"/>
    </xf>
    <xf numFmtId="0" fontId="0" fillId="34" borderId="0" xfId="0" applyFill="1" applyBorder="1" applyAlignment="1"/>
    <xf numFmtId="0" fontId="0" fillId="34" borderId="0" xfId="0" applyFill="1" applyBorder="1">
      <alignment vertical="center" wrapText="1"/>
    </xf>
    <xf numFmtId="0" fontId="0" fillId="34" borderId="0" xfId="0" applyFill="1" applyBorder="1" applyAlignment="1">
      <alignment horizontal="left" vertical="center" wrapText="1"/>
    </xf>
    <xf numFmtId="0" fontId="0" fillId="29" borderId="0" xfId="0" applyFill="1" applyAlignment="1"/>
    <xf numFmtId="0" fontId="0" fillId="29" borderId="0" xfId="0" applyFill="1">
      <alignment vertical="center" wrapText="1"/>
    </xf>
    <xf numFmtId="0" fontId="9" fillId="29" borderId="0" xfId="0" applyFont="1" applyFill="1" applyAlignment="1">
      <alignment vertical="top"/>
    </xf>
    <xf numFmtId="0" fontId="0" fillId="29" borderId="0" xfId="0" applyFill="1" applyAlignment="1">
      <alignment vertical="center"/>
    </xf>
    <xf numFmtId="0" fontId="98" fillId="34" borderId="0" xfId="0" applyFont="1" applyFill="1" applyBorder="1" applyAlignment="1">
      <alignment vertical="center"/>
    </xf>
    <xf numFmtId="0" fontId="0" fillId="34" borderId="0" xfId="0" applyFill="1" applyBorder="1" applyAlignment="1">
      <alignment vertical="center"/>
    </xf>
    <xf numFmtId="0" fontId="0" fillId="20" borderId="0" xfId="0" applyFill="1" applyAlignment="1">
      <alignment vertical="center" wrapText="1"/>
    </xf>
    <xf numFmtId="0" fontId="3" fillId="38" borderId="0" xfId="56" applyFill="1"/>
    <xf numFmtId="0" fontId="70" fillId="38" borderId="0" xfId="56" applyFont="1" applyFill="1"/>
    <xf numFmtId="0" fontId="96" fillId="41" borderId="0" xfId="58" applyFont="1" applyFill="1" applyBorder="1" applyAlignment="1" applyProtection="1">
      <alignment vertical="center"/>
    </xf>
    <xf numFmtId="0" fontId="4" fillId="41" borderId="0" xfId="0" applyFont="1" applyFill="1" applyBorder="1">
      <alignment vertical="center" wrapText="1"/>
    </xf>
    <xf numFmtId="0" fontId="4" fillId="34" borderId="0" xfId="0" applyFont="1" applyFill="1" applyBorder="1">
      <alignment vertical="center" wrapText="1"/>
    </xf>
    <xf numFmtId="0" fontId="9" fillId="34" borderId="0" xfId="0" applyFont="1" applyFill="1" applyBorder="1" applyAlignment="1">
      <alignment horizontal="center" vertical="top"/>
    </xf>
    <xf numFmtId="49" fontId="4" fillId="34" borderId="0" xfId="0" applyNumberFormat="1" applyFont="1" applyFill="1" applyBorder="1" applyAlignment="1">
      <alignment horizontal="center" vertical="top"/>
    </xf>
    <xf numFmtId="0" fontId="3" fillId="38" borderId="132" xfId="60" applyFill="1" applyBorder="1"/>
    <xf numFmtId="0" fontId="9" fillId="34" borderId="0" xfId="0" applyFont="1" applyFill="1" applyBorder="1" applyAlignment="1">
      <alignment horizontal="center" vertical="center"/>
    </xf>
    <xf numFmtId="0" fontId="0" fillId="0" borderId="0" xfId="0" applyAlignment="1">
      <alignment horizontal="center" vertical="center" wrapText="1"/>
    </xf>
    <xf numFmtId="0" fontId="14" fillId="0" borderId="0" xfId="0" applyFont="1" applyAlignment="1">
      <alignment horizontal="center" vertical="center" wrapText="1"/>
    </xf>
    <xf numFmtId="0" fontId="53" fillId="0" borderId="118" xfId="0" applyFont="1" applyBorder="1" applyAlignment="1">
      <alignment horizontal="center" vertical="center" wrapText="1"/>
    </xf>
    <xf numFmtId="0" fontId="53" fillId="0" borderId="133" xfId="0" applyFont="1" applyBorder="1" applyAlignment="1">
      <alignment horizontal="justify" vertical="center" wrapText="1"/>
    </xf>
    <xf numFmtId="0" fontId="0" fillId="0" borderId="134" xfId="0" applyBorder="1" applyAlignment="1" applyProtection="1">
      <alignment horizontal="center" vertical="center" wrapText="1"/>
      <protection locked="0"/>
    </xf>
    <xf numFmtId="0" fontId="53" fillId="0" borderId="101" xfId="0" applyFont="1" applyBorder="1" applyAlignment="1">
      <alignment horizontal="center" vertical="center" wrapText="1"/>
    </xf>
    <xf numFmtId="0" fontId="53" fillId="0" borderId="125" xfId="0" applyFont="1" applyBorder="1" applyAlignment="1">
      <alignment horizontal="center" vertical="center" wrapText="1"/>
    </xf>
    <xf numFmtId="0" fontId="53" fillId="0" borderId="133" xfId="0" applyFont="1" applyBorder="1" applyAlignment="1">
      <alignment horizontal="left" vertical="center" wrapText="1"/>
    </xf>
    <xf numFmtId="0" fontId="44" fillId="0" borderId="124" xfId="0" applyFont="1" applyBorder="1" applyAlignment="1">
      <alignment horizontal="center" vertical="center" wrapText="1"/>
    </xf>
    <xf numFmtId="0" fontId="44" fillId="0" borderId="135" xfId="0" applyFont="1" applyBorder="1" applyAlignment="1">
      <alignment horizontal="center" vertical="center" wrapText="1"/>
    </xf>
    <xf numFmtId="0" fontId="53" fillId="0" borderId="136" xfId="0" applyFont="1" applyBorder="1" applyAlignment="1">
      <alignment horizontal="center" vertical="center" wrapText="1"/>
    </xf>
    <xf numFmtId="0" fontId="84" fillId="0" borderId="137" xfId="0" applyFont="1" applyBorder="1" applyAlignment="1">
      <alignment horizontal="justify" vertical="center" wrapText="1"/>
    </xf>
    <xf numFmtId="0" fontId="0" fillId="0" borderId="138" xfId="0" applyBorder="1" applyAlignment="1" applyProtection="1">
      <alignment horizontal="center" vertical="center" wrapText="1"/>
      <protection locked="0"/>
    </xf>
    <xf numFmtId="0" fontId="3" fillId="0" borderId="125" xfId="52" applyBorder="1" applyAlignment="1">
      <alignment horizontal="left" vertical="top" wrapText="1"/>
    </xf>
    <xf numFmtId="49" fontId="3" fillId="0" borderId="133" xfId="52" applyNumberFormat="1" applyBorder="1" applyAlignment="1">
      <alignment vertical="top" wrapText="1"/>
    </xf>
    <xf numFmtId="0" fontId="3" fillId="0" borderId="76" xfId="52" applyBorder="1" applyAlignment="1">
      <alignment horizontal="left" vertical="top" wrapText="1"/>
    </xf>
    <xf numFmtId="0" fontId="3" fillId="0" borderId="125" xfId="52" applyBorder="1" applyAlignment="1">
      <alignment vertical="top" wrapText="1"/>
    </xf>
    <xf numFmtId="0" fontId="3" fillId="0" borderId="76" xfId="52" applyBorder="1" applyAlignment="1">
      <alignment vertical="center" wrapText="1"/>
    </xf>
    <xf numFmtId="49" fontId="3" fillId="0" borderId="133" xfId="52" applyNumberFormat="1" applyBorder="1" applyAlignment="1">
      <alignment vertical="center" wrapText="1"/>
    </xf>
    <xf numFmtId="0" fontId="3" fillId="0" borderId="125" xfId="52" applyBorder="1" applyAlignment="1">
      <alignment vertical="center" wrapText="1"/>
    </xf>
    <xf numFmtId="0" fontId="3" fillId="0" borderId="133" xfId="52" applyBorder="1" applyAlignment="1">
      <alignment vertical="center" wrapText="1"/>
    </xf>
    <xf numFmtId="0" fontId="0" fillId="38" borderId="0" xfId="0" applyFill="1" applyBorder="1" applyAlignment="1">
      <alignment horizontal="center" vertical="center" wrapText="1"/>
    </xf>
    <xf numFmtId="0" fontId="4" fillId="0" borderId="142" xfId="0" applyFont="1" applyBorder="1">
      <alignment vertical="center" wrapText="1"/>
    </xf>
    <xf numFmtId="0" fontId="4" fillId="0" borderId="143" xfId="0" applyFont="1" applyBorder="1">
      <alignment vertical="center" wrapText="1"/>
    </xf>
    <xf numFmtId="0" fontId="4" fillId="0" borderId="92" xfId="0" applyFont="1" applyBorder="1" applyAlignment="1" applyProtection="1">
      <alignment horizontal="center" vertical="center" wrapText="1"/>
      <protection locked="0"/>
    </xf>
    <xf numFmtId="0" fontId="4" fillId="0" borderId="151" xfId="0" applyFont="1" applyBorder="1">
      <alignment vertical="center" wrapText="1"/>
    </xf>
    <xf numFmtId="0" fontId="4" fillId="0" borderId="151" xfId="0" applyFont="1" applyBorder="1" applyAlignment="1" applyProtection="1">
      <alignment horizontal="center" vertical="center" wrapText="1"/>
      <protection locked="0"/>
    </xf>
    <xf numFmtId="0" fontId="4" fillId="0" borderId="146" xfId="0" applyFont="1" applyBorder="1">
      <alignment vertical="center" wrapText="1"/>
    </xf>
    <xf numFmtId="0" fontId="4" fillId="0" borderId="75" xfId="0" applyFont="1" applyBorder="1">
      <alignment vertical="center" wrapText="1"/>
    </xf>
    <xf numFmtId="0" fontId="4" fillId="0" borderId="148" xfId="0" applyFont="1" applyBorder="1">
      <alignment vertical="center" wrapText="1"/>
    </xf>
    <xf numFmtId="0" fontId="4" fillId="0" borderId="148" xfId="0" applyFont="1" applyBorder="1" applyAlignment="1" applyProtection="1">
      <alignment horizontal="center" vertical="center" wrapText="1"/>
      <protection locked="0"/>
    </xf>
    <xf numFmtId="0" fontId="0" fillId="0" borderId="159" xfId="0" applyBorder="1" applyAlignment="1" applyProtection="1">
      <alignment horizontal="center" vertical="center" wrapText="1"/>
      <protection locked="0"/>
    </xf>
    <xf numFmtId="0" fontId="3" fillId="0" borderId="161" xfId="52" applyBorder="1" applyAlignment="1">
      <alignment horizontal="left" vertical="top" wrapText="1"/>
    </xf>
    <xf numFmtId="0" fontId="3" fillId="0" borderId="107" xfId="52" applyBorder="1" applyAlignment="1">
      <alignment vertical="top" wrapText="1"/>
    </xf>
    <xf numFmtId="49" fontId="3" fillId="0" borderId="162" xfId="52" applyNumberFormat="1" applyBorder="1" applyAlignment="1">
      <alignment vertical="top" wrapText="1"/>
    </xf>
    <xf numFmtId="0" fontId="0" fillId="0" borderId="148" xfId="0" applyFont="1" applyBorder="1" applyAlignment="1">
      <alignment horizontal="center" vertical="center" wrapText="1"/>
    </xf>
    <xf numFmtId="0" fontId="0" fillId="0" borderId="92" xfId="0" applyFont="1" applyBorder="1" applyAlignment="1">
      <alignment horizontal="center" vertical="center" wrapText="1"/>
    </xf>
    <xf numFmtId="0" fontId="0" fillId="0" borderId="143" xfId="0" applyFont="1" applyBorder="1" applyAlignment="1">
      <alignment horizontal="center" vertical="center" wrapText="1"/>
    </xf>
    <xf numFmtId="0" fontId="0" fillId="0" borderId="151" xfId="0" applyFont="1" applyBorder="1" applyAlignment="1">
      <alignment horizontal="center" vertical="center" wrapText="1"/>
    </xf>
    <xf numFmtId="0" fontId="0" fillId="0" borderId="157" xfId="0" applyFont="1" applyBorder="1" applyAlignment="1">
      <alignment horizontal="center" vertical="center" wrapText="1"/>
    </xf>
    <xf numFmtId="0" fontId="0" fillId="0" borderId="158" xfId="0" applyFont="1" applyBorder="1">
      <alignment vertical="center" wrapText="1"/>
    </xf>
    <xf numFmtId="0" fontId="0" fillId="0" borderId="144" xfId="0" applyFont="1" applyBorder="1" applyAlignment="1">
      <alignment horizontal="center" vertical="center" wrapText="1"/>
    </xf>
    <xf numFmtId="0" fontId="0" fillId="0" borderId="145" xfId="0" applyFont="1" applyBorder="1">
      <alignment vertical="center" wrapText="1"/>
    </xf>
    <xf numFmtId="0" fontId="0" fillId="0" borderId="134" xfId="0" applyFont="1" applyBorder="1" applyAlignment="1" applyProtection="1">
      <alignment horizontal="center" vertical="center" wrapText="1"/>
      <protection locked="0"/>
    </xf>
    <xf numFmtId="0" fontId="0" fillId="0" borderId="153" xfId="0" applyFont="1" applyBorder="1" applyAlignment="1">
      <alignment horizontal="center" vertical="center" wrapText="1"/>
    </xf>
    <xf numFmtId="0" fontId="0" fillId="0" borderId="154" xfId="0" applyFont="1" applyBorder="1">
      <alignment vertical="center" wrapText="1"/>
    </xf>
    <xf numFmtId="0" fontId="0" fillId="0" borderId="155" xfId="0" applyFont="1" applyBorder="1" applyAlignment="1" applyProtection="1">
      <alignment horizontal="center" vertical="center" wrapText="1"/>
      <protection locked="0"/>
    </xf>
    <xf numFmtId="0" fontId="0" fillId="0" borderId="156" xfId="0" applyFont="1" applyBorder="1" applyAlignment="1">
      <alignment horizontal="center" vertical="center" wrapText="1"/>
    </xf>
    <xf numFmtId="0" fontId="0" fillId="0" borderId="140" xfId="0" applyFont="1" applyBorder="1" applyAlignment="1">
      <alignment horizontal="center" vertical="center" wrapText="1"/>
    </xf>
    <xf numFmtId="0" fontId="0" fillId="0" borderId="141" xfId="0" applyFont="1" applyBorder="1" applyAlignment="1">
      <alignment horizontal="center" vertical="center" wrapText="1"/>
    </xf>
    <xf numFmtId="0" fontId="0" fillId="0" borderId="152" xfId="0" applyFont="1" applyBorder="1" applyAlignment="1">
      <alignment horizontal="center" vertical="center" wrapText="1"/>
    </xf>
    <xf numFmtId="0" fontId="87" fillId="40" borderId="150" xfId="0" applyFont="1" applyFill="1" applyBorder="1" applyAlignment="1">
      <alignment horizontal="center" vertical="center" wrapText="1"/>
    </xf>
    <xf numFmtId="0" fontId="44" fillId="0" borderId="0" xfId="0" applyFont="1" applyAlignment="1">
      <alignment horizontal="center" vertical="center" wrapText="1"/>
    </xf>
    <xf numFmtId="0" fontId="99" fillId="40" borderId="0" xfId="0" applyFont="1" applyFill="1" applyAlignment="1">
      <alignment horizontal="center" vertical="center" wrapText="1"/>
    </xf>
    <xf numFmtId="0" fontId="7" fillId="0" borderId="150" xfId="52" applyFont="1" applyBorder="1" applyAlignment="1">
      <alignment horizontal="center" vertical="center" wrapText="1"/>
    </xf>
    <xf numFmtId="0" fontId="52" fillId="0" borderId="150" xfId="52" applyFont="1" applyBorder="1" applyAlignment="1">
      <alignment horizontal="center" vertical="center" wrapText="1"/>
    </xf>
    <xf numFmtId="0" fontId="44" fillId="0" borderId="150" xfId="0" applyFont="1" applyFill="1" applyBorder="1" applyAlignment="1">
      <alignment horizontal="center" vertical="center" wrapText="1"/>
    </xf>
    <xf numFmtId="0" fontId="99" fillId="40" borderId="150" xfId="0" applyFont="1" applyFill="1" applyBorder="1" applyAlignment="1">
      <alignment horizontal="center" vertical="center" wrapText="1"/>
    </xf>
    <xf numFmtId="0" fontId="3" fillId="0" borderId="163" xfId="52" applyBorder="1" applyAlignment="1">
      <alignment vertical="top"/>
    </xf>
    <xf numFmtId="0" fontId="3" fillId="0" borderId="164" xfId="52" applyBorder="1" applyAlignment="1">
      <alignment vertical="top" wrapText="1"/>
    </xf>
    <xf numFmtId="0" fontId="9" fillId="34" borderId="0" xfId="0" applyFont="1" applyFill="1" applyBorder="1" applyAlignment="1">
      <alignment horizontal="center" vertical="center" wrapText="1"/>
    </xf>
    <xf numFmtId="0" fontId="53" fillId="38" borderId="0" xfId="0" applyFont="1" applyFill="1">
      <alignment vertical="center" wrapText="1"/>
    </xf>
    <xf numFmtId="0" fontId="100" fillId="38" borderId="0" xfId="0" applyFont="1" applyFill="1" applyAlignment="1"/>
    <xf numFmtId="0" fontId="0" fillId="0" borderId="0" xfId="55" applyFont="1"/>
    <xf numFmtId="0" fontId="64" fillId="0" borderId="39" xfId="55" applyFont="1" applyBorder="1" applyAlignment="1" applyProtection="1">
      <alignment horizontal="center"/>
      <protection locked="0"/>
    </xf>
    <xf numFmtId="0" fontId="101" fillId="38" borderId="0" xfId="0" quotePrefix="1" applyFont="1" applyFill="1" applyAlignment="1"/>
    <xf numFmtId="0" fontId="62" fillId="0" borderId="0" xfId="55" applyFont="1" applyFill="1"/>
    <xf numFmtId="0" fontId="0" fillId="0" borderId="0" xfId="0" applyAlignment="1">
      <alignment horizontal="center" vertical="center" wrapText="1"/>
    </xf>
    <xf numFmtId="0" fontId="0" fillId="0" borderId="96" xfId="0" applyBorder="1" applyAlignment="1">
      <alignment horizontal="center" vertical="center" wrapText="1"/>
    </xf>
    <xf numFmtId="0" fontId="3" fillId="0" borderId="166" xfId="52" applyFont="1" applyBorder="1" applyAlignment="1">
      <alignment vertical="center" wrapText="1"/>
    </xf>
    <xf numFmtId="0" fontId="3" fillId="0" borderId="167" xfId="52" applyFont="1" applyBorder="1" applyAlignment="1">
      <alignment vertical="center" wrapText="1"/>
    </xf>
    <xf numFmtId="0" fontId="3" fillId="0" borderId="139" xfId="52" applyFont="1" applyBorder="1" applyAlignment="1">
      <alignment vertical="center" wrapText="1"/>
    </xf>
    <xf numFmtId="0" fontId="3" fillId="0" borderId="139" xfId="52" applyFont="1" applyBorder="1" applyAlignment="1">
      <alignment vertical="center"/>
    </xf>
    <xf numFmtId="0" fontId="3" fillId="0" borderId="137" xfId="52" applyFont="1" applyBorder="1" applyAlignment="1">
      <alignment vertical="center" wrapText="1"/>
    </xf>
    <xf numFmtId="0" fontId="0" fillId="0" borderId="0" xfId="52" applyFont="1" applyFill="1" applyBorder="1" applyAlignment="1">
      <alignment horizontal="center" vertical="center" wrapText="1"/>
    </xf>
    <xf numFmtId="0" fontId="65" fillId="0" borderId="0" xfId="55" applyFont="1" applyAlignment="1">
      <alignment horizontal="center"/>
    </xf>
    <xf numFmtId="0" fontId="0" fillId="0" borderId="102" xfId="0" applyFont="1" applyBorder="1" applyAlignment="1">
      <alignment horizontal="center" vertical="center" wrapText="1"/>
    </xf>
    <xf numFmtId="0" fontId="0" fillId="0" borderId="169" xfId="52" applyFont="1" applyBorder="1" applyAlignment="1">
      <alignment horizontal="left" vertical="top" wrapText="1"/>
    </xf>
    <xf numFmtId="49" fontId="0" fillId="0" borderId="169" xfId="52" applyNumberFormat="1" applyFont="1" applyBorder="1" applyAlignment="1">
      <alignment horizontal="left" vertical="top" wrapText="1"/>
    </xf>
    <xf numFmtId="49" fontId="68" fillId="0" borderId="169" xfId="52" applyNumberFormat="1" applyFont="1" applyBorder="1" applyAlignment="1">
      <alignment horizontal="left" vertical="top" wrapText="1"/>
    </xf>
    <xf numFmtId="0" fontId="0" fillId="0" borderId="169" xfId="0" applyFont="1" applyBorder="1">
      <alignment vertical="center" wrapText="1"/>
    </xf>
    <xf numFmtId="0" fontId="0" fillId="0" borderId="169" xfId="0" applyFont="1" applyBorder="1" applyAlignment="1">
      <alignment horizontal="center" vertical="center" wrapText="1"/>
    </xf>
    <xf numFmtId="0" fontId="0" fillId="0" borderId="169" xfId="52" applyFont="1" applyBorder="1" applyAlignment="1">
      <alignment horizontal="left" vertical="top"/>
    </xf>
    <xf numFmtId="49" fontId="0" fillId="0" borderId="169" xfId="52" applyNumberFormat="1" applyFont="1" applyBorder="1" applyAlignment="1">
      <alignment horizontal="left" vertical="top"/>
    </xf>
    <xf numFmtId="49" fontId="0" fillId="0" borderId="169" xfId="0" applyNumberFormat="1" applyFont="1" applyBorder="1" applyAlignment="1">
      <alignment horizontal="left" vertical="center" wrapText="1"/>
    </xf>
    <xf numFmtId="0" fontId="0" fillId="0" borderId="169" xfId="53" applyFont="1" applyBorder="1">
      <alignment vertical="center" wrapText="1"/>
    </xf>
    <xf numFmtId="49" fontId="0" fillId="0" borderId="169" xfId="53" applyNumberFormat="1" applyFont="1" applyBorder="1">
      <alignment vertical="center" wrapText="1"/>
    </xf>
    <xf numFmtId="49" fontId="0" fillId="0" borderId="169" xfId="52" applyNumberFormat="1" applyFont="1" applyBorder="1" applyAlignment="1">
      <alignment horizontal="left" vertical="center" wrapText="1"/>
    </xf>
    <xf numFmtId="49" fontId="39" fillId="0" borderId="169" xfId="52" applyNumberFormat="1" applyFont="1" applyBorder="1" applyAlignment="1">
      <alignment horizontal="left" vertical="top" wrapText="1"/>
    </xf>
    <xf numFmtId="0" fontId="0" fillId="0" borderId="169" xfId="0" applyFont="1" applyBorder="1" applyAlignment="1">
      <alignment horizontal="left" vertical="center" wrapText="1"/>
    </xf>
    <xf numFmtId="49" fontId="0" fillId="0" borderId="169" xfId="0" applyNumberFormat="1" applyFont="1" applyBorder="1">
      <alignment vertical="center" wrapText="1"/>
    </xf>
    <xf numFmtId="49" fontId="0" fillId="0" borderId="169" xfId="52" quotePrefix="1" applyNumberFormat="1" applyFont="1" applyBorder="1" applyAlignment="1">
      <alignment horizontal="left" vertical="top" wrapText="1"/>
    </xf>
    <xf numFmtId="0" fontId="0" fillId="0" borderId="169" xfId="52" applyFont="1" applyBorder="1" applyAlignment="1">
      <alignment vertical="top" wrapText="1"/>
    </xf>
    <xf numFmtId="0" fontId="0" fillId="0" borderId="169" xfId="52" applyFont="1" applyBorder="1" applyAlignment="1">
      <alignment vertical="center" wrapText="1"/>
    </xf>
    <xf numFmtId="49" fontId="0" fillId="0" borderId="169" xfId="52" applyNumberFormat="1" applyFont="1" applyBorder="1" applyAlignment="1">
      <alignment vertical="top" wrapText="1"/>
    </xf>
    <xf numFmtId="0" fontId="0" fillId="0" borderId="169" xfId="52" applyFont="1" applyBorder="1" applyAlignment="1">
      <alignment vertical="top"/>
    </xf>
    <xf numFmtId="49" fontId="0" fillId="0" borderId="169" xfId="52" applyNumberFormat="1" applyFont="1" applyBorder="1" applyAlignment="1">
      <alignment wrapText="1"/>
    </xf>
    <xf numFmtId="49" fontId="0" fillId="0" borderId="172" xfId="52" applyNumberFormat="1" applyFont="1" applyBorder="1" applyAlignment="1">
      <alignment horizontal="left" vertical="top" wrapText="1"/>
    </xf>
    <xf numFmtId="49" fontId="68" fillId="0" borderId="172" xfId="52" applyNumberFormat="1" applyFont="1" applyBorder="1" applyAlignment="1">
      <alignment horizontal="left" vertical="top" wrapText="1"/>
    </xf>
    <xf numFmtId="49" fontId="0" fillId="0" borderId="172" xfId="52" applyNumberFormat="1" applyFont="1" applyBorder="1" applyAlignment="1">
      <alignment horizontal="left" vertical="center" wrapText="1"/>
    </xf>
    <xf numFmtId="0" fontId="0" fillId="0" borderId="171" xfId="0" applyFont="1" applyBorder="1">
      <alignment vertical="center" wrapText="1"/>
    </xf>
    <xf numFmtId="49" fontId="7" fillId="0" borderId="172" xfId="52" applyNumberFormat="1" applyFont="1" applyBorder="1" applyAlignment="1">
      <alignment vertical="top" wrapText="1"/>
    </xf>
    <xf numFmtId="0" fontId="39" fillId="0" borderId="172" xfId="0" applyFont="1" applyBorder="1">
      <alignment vertical="center" wrapText="1"/>
    </xf>
    <xf numFmtId="49" fontId="0" fillId="0" borderId="172" xfId="53" applyNumberFormat="1" applyFont="1" applyBorder="1">
      <alignment vertical="center" wrapText="1"/>
    </xf>
    <xf numFmtId="49" fontId="0" fillId="0" borderId="172" xfId="52" applyNumberFormat="1" applyFont="1" applyBorder="1" applyAlignment="1">
      <alignment vertical="top" wrapText="1"/>
    </xf>
    <xf numFmtId="49" fontId="39" fillId="0" borderId="172" xfId="52" applyNumberFormat="1" applyFont="1" applyBorder="1" applyAlignment="1">
      <alignment horizontal="left" vertical="top" wrapText="1"/>
    </xf>
    <xf numFmtId="0" fontId="0" fillId="0" borderId="166" xfId="0" applyFont="1" applyBorder="1">
      <alignment vertical="center" wrapText="1"/>
    </xf>
    <xf numFmtId="0" fontId="0" fillId="0" borderId="167" xfId="0" applyFont="1" applyBorder="1">
      <alignment vertical="center" wrapText="1"/>
    </xf>
    <xf numFmtId="0" fontId="0" fillId="0" borderId="167" xfId="0" applyFont="1" applyBorder="1" applyAlignment="1">
      <alignment horizontal="center" vertical="center" wrapText="1"/>
    </xf>
    <xf numFmtId="0" fontId="0" fillId="0" borderId="167" xfId="52" applyFont="1" applyBorder="1" applyAlignment="1">
      <alignment vertical="center" wrapText="1"/>
    </xf>
    <xf numFmtId="0" fontId="0" fillId="0" borderId="167" xfId="0" applyFont="1" applyBorder="1" applyAlignment="1">
      <alignment horizontal="left" vertical="center" wrapText="1"/>
    </xf>
    <xf numFmtId="49" fontId="0" fillId="0" borderId="167" xfId="0" applyNumberFormat="1" applyFont="1" applyBorder="1">
      <alignment vertical="center" wrapText="1"/>
    </xf>
    <xf numFmtId="0" fontId="0" fillId="0" borderId="177" xfId="0" applyFont="1" applyBorder="1" applyAlignment="1">
      <alignment horizontal="center" vertical="center" wrapText="1"/>
    </xf>
    <xf numFmtId="0" fontId="0" fillId="0" borderId="171" xfId="0" applyFont="1" applyBorder="1" applyAlignment="1">
      <alignment horizontal="center" vertical="center" wrapText="1"/>
    </xf>
    <xf numFmtId="0" fontId="0" fillId="0" borderId="172" xfId="0" applyFont="1" applyBorder="1" applyAlignment="1">
      <alignment horizontal="center" vertical="center" wrapText="1"/>
    </xf>
    <xf numFmtId="0" fontId="0" fillId="0" borderId="172" xfId="0" applyFont="1" applyBorder="1" applyAlignment="1">
      <alignment horizontal="left" vertical="center" wrapText="1"/>
    </xf>
    <xf numFmtId="0" fontId="0" fillId="37" borderId="176" xfId="0" applyFont="1" applyFill="1" applyBorder="1" applyAlignment="1">
      <alignment horizontal="center" vertical="center" wrapText="1"/>
    </xf>
    <xf numFmtId="0" fontId="0" fillId="21" borderId="31" xfId="0" applyFont="1" applyFill="1" applyBorder="1">
      <alignment vertical="center" wrapText="1"/>
    </xf>
    <xf numFmtId="0" fontId="0" fillId="21" borderId="35" xfId="0" applyFont="1" applyFill="1" applyBorder="1" applyAlignment="1">
      <alignment horizontal="center" vertical="center" wrapText="1"/>
    </xf>
    <xf numFmtId="0" fontId="0" fillId="21" borderId="33" xfId="0" applyFont="1" applyFill="1" applyBorder="1" applyAlignment="1">
      <alignment horizontal="center" vertical="center" wrapText="1"/>
    </xf>
    <xf numFmtId="0" fontId="0" fillId="21" borderId="32" xfId="0" applyFont="1" applyFill="1" applyBorder="1" applyAlignment="1">
      <alignment horizontal="center" vertical="center" wrapText="1"/>
    </xf>
    <xf numFmtId="0" fontId="0" fillId="21" borderId="31" xfId="0" applyFont="1" applyFill="1" applyBorder="1" applyAlignment="1">
      <alignment horizontal="center" vertical="center" wrapText="1"/>
    </xf>
    <xf numFmtId="0" fontId="0" fillId="21" borderId="45" xfId="0" applyFont="1" applyFill="1" applyBorder="1" applyAlignment="1">
      <alignment horizontal="center" vertical="center" wrapText="1"/>
    </xf>
    <xf numFmtId="0" fontId="0" fillId="21" borderId="45" xfId="0" applyFont="1" applyFill="1" applyBorder="1" applyAlignment="1">
      <alignment horizontal="left" vertical="center" wrapText="1"/>
    </xf>
    <xf numFmtId="0" fontId="0" fillId="0" borderId="170" xfId="0" applyFont="1" applyBorder="1" applyAlignment="1">
      <alignment horizontal="center" vertical="center" wrapText="1"/>
    </xf>
    <xf numFmtId="0" fontId="0" fillId="0" borderId="174" xfId="0" applyFont="1" applyBorder="1" applyAlignment="1">
      <alignment horizontal="center" vertical="center" wrapText="1"/>
    </xf>
    <xf numFmtId="0" fontId="0" fillId="0" borderId="175" xfId="0" applyFont="1" applyBorder="1" applyAlignment="1">
      <alignment horizontal="center" vertical="center" wrapText="1"/>
    </xf>
    <xf numFmtId="0" fontId="0" fillId="0" borderId="165" xfId="0" applyFont="1" applyBorder="1" applyAlignment="1">
      <alignment horizontal="center" vertical="center" wrapText="1"/>
    </xf>
    <xf numFmtId="0" fontId="0" fillId="0" borderId="176" xfId="0" applyFont="1" applyBorder="1" applyAlignment="1">
      <alignment horizontal="center" vertical="center" wrapText="1"/>
    </xf>
    <xf numFmtId="0" fontId="0" fillId="0" borderId="176" xfId="0" applyFont="1" applyBorder="1" applyAlignment="1">
      <alignment horizontal="left" vertical="center" wrapText="1" shrinkToFit="1"/>
    </xf>
    <xf numFmtId="0" fontId="0" fillId="0" borderId="169" xfId="0" applyFont="1" applyBorder="1" applyAlignment="1">
      <alignment horizontal="left" vertical="top" wrapText="1"/>
    </xf>
    <xf numFmtId="49" fontId="0" fillId="0" borderId="172" xfId="0" applyNumberFormat="1" applyFont="1" applyBorder="1" applyAlignment="1">
      <alignment horizontal="left" vertical="center" wrapText="1"/>
    </xf>
    <xf numFmtId="49" fontId="0" fillId="0" borderId="172" xfId="52" applyNumberFormat="1" applyFont="1" applyBorder="1" applyAlignment="1">
      <alignment wrapText="1"/>
    </xf>
    <xf numFmtId="49" fontId="0" fillId="0" borderId="172" xfId="52" applyNumberFormat="1" applyFont="1" applyBorder="1"/>
    <xf numFmtId="0" fontId="0" fillId="21" borderId="171" xfId="0" applyFont="1" applyFill="1" applyBorder="1">
      <alignment vertical="center" wrapText="1"/>
    </xf>
    <xf numFmtId="0" fontId="0" fillId="21" borderId="102" xfId="0" applyFont="1" applyFill="1" applyBorder="1" applyAlignment="1">
      <alignment horizontal="center" vertical="center" wrapText="1"/>
    </xf>
    <xf numFmtId="0" fontId="0" fillId="21" borderId="169" xfId="0" applyFont="1" applyFill="1" applyBorder="1" applyAlignment="1">
      <alignment horizontal="center" vertical="center" wrapText="1"/>
    </xf>
    <xf numFmtId="0" fontId="0" fillId="21" borderId="177" xfId="0" applyFont="1" applyFill="1" applyBorder="1" applyAlignment="1">
      <alignment horizontal="center" vertical="center" wrapText="1"/>
    </xf>
    <xf numFmtId="0" fontId="0" fillId="21" borderId="171" xfId="0" applyFont="1" applyFill="1" applyBorder="1" applyAlignment="1">
      <alignment horizontal="center" vertical="center" wrapText="1"/>
    </xf>
    <xf numFmtId="0" fontId="0" fillId="21" borderId="172" xfId="0" applyFont="1" applyFill="1" applyBorder="1" applyAlignment="1">
      <alignment horizontal="center" vertical="center" wrapText="1"/>
    </xf>
    <xf numFmtId="0" fontId="0" fillId="21" borderId="172" xfId="0" applyFont="1" applyFill="1" applyBorder="1" applyAlignment="1">
      <alignment horizontal="left" vertical="center" wrapText="1"/>
    </xf>
    <xf numFmtId="0" fontId="0" fillId="0" borderId="172" xfId="0" applyFont="1" applyBorder="1">
      <alignment vertical="center" wrapText="1"/>
    </xf>
    <xf numFmtId="49" fontId="0" fillId="0" borderId="169" xfId="52" applyNumberFormat="1" applyFont="1" applyBorder="1"/>
    <xf numFmtId="0" fontId="0" fillId="21" borderId="171" xfId="0" applyFont="1" applyFill="1" applyBorder="1" applyAlignment="1">
      <alignment vertical="center"/>
    </xf>
    <xf numFmtId="0" fontId="0" fillId="21" borderId="169" xfId="0" applyFont="1" applyFill="1" applyBorder="1" applyAlignment="1">
      <alignment vertical="center"/>
    </xf>
    <xf numFmtId="0" fontId="0" fillId="21" borderId="172" xfId="0" applyFont="1" applyFill="1" applyBorder="1" applyAlignment="1">
      <alignment vertical="center"/>
    </xf>
    <xf numFmtId="0" fontId="0" fillId="0" borderId="173" xfId="0" applyFont="1" applyBorder="1">
      <alignment vertical="center" wrapText="1"/>
    </xf>
    <xf numFmtId="0" fontId="0" fillId="0" borderId="178" xfId="0" applyFont="1" applyBorder="1" applyAlignment="1">
      <alignment horizontal="center" vertical="center" wrapText="1"/>
    </xf>
    <xf numFmtId="0" fontId="0" fillId="0" borderId="179" xfId="0" applyFont="1" applyBorder="1" applyAlignment="1">
      <alignment horizontal="center" vertical="center" wrapText="1"/>
    </xf>
    <xf numFmtId="0" fontId="0" fillId="0" borderId="166" xfId="0" applyFont="1" applyBorder="1" applyAlignment="1">
      <alignment horizontal="center" vertical="center" wrapText="1"/>
    </xf>
    <xf numFmtId="0" fontId="0" fillId="0" borderId="180" xfId="0" applyFont="1" applyBorder="1" applyAlignment="1">
      <alignment horizontal="center" vertical="center" wrapText="1"/>
    </xf>
    <xf numFmtId="0" fontId="0" fillId="0" borderId="180" xfId="0" applyFont="1" applyBorder="1" applyAlignment="1">
      <alignment horizontal="left" vertical="center" wrapText="1"/>
    </xf>
    <xf numFmtId="0" fontId="3" fillId="0" borderId="169" xfId="52" applyFont="1" applyBorder="1" applyAlignment="1">
      <alignment horizontal="left" vertical="top" wrapText="1"/>
    </xf>
    <xf numFmtId="0" fontId="13" fillId="34" borderId="83" xfId="0" applyFont="1" applyFill="1" applyBorder="1" applyAlignment="1">
      <alignment horizontal="left" vertical="center" wrapText="1"/>
    </xf>
    <xf numFmtId="0" fontId="0" fillId="0" borderId="0" xfId="0" applyAlignment="1">
      <alignment horizontal="center" vertical="center" wrapText="1"/>
    </xf>
    <xf numFmtId="0" fontId="0" fillId="0" borderId="96" xfId="0" applyBorder="1" applyAlignment="1">
      <alignment horizontal="center" vertical="center" wrapText="1"/>
    </xf>
    <xf numFmtId="0" fontId="0" fillId="0" borderId="0" xfId="0" applyAlignment="1">
      <alignment horizontal="center" vertical="center" wrapText="1"/>
    </xf>
    <xf numFmtId="0" fontId="9" fillId="0" borderId="0" xfId="0" applyFont="1" applyAlignment="1">
      <alignment horizontal="center" vertical="center"/>
    </xf>
    <xf numFmtId="0" fontId="0" fillId="0" borderId="169" xfId="0" applyBorder="1" applyAlignment="1">
      <alignment horizontal="center" vertical="center" wrapText="1"/>
    </xf>
    <xf numFmtId="0" fontId="0" fillId="0" borderId="169" xfId="52" applyFont="1" applyBorder="1" applyAlignment="1">
      <alignment horizontal="left" vertical="center" wrapText="1"/>
    </xf>
    <xf numFmtId="0" fontId="0" fillId="0" borderId="181" xfId="0" applyFont="1" applyBorder="1" applyAlignment="1">
      <alignment horizontal="center" vertical="center" wrapText="1"/>
    </xf>
    <xf numFmtId="0" fontId="0" fillId="0" borderId="169" xfId="52" applyFont="1" applyBorder="1" applyAlignment="1">
      <alignment horizontal="left" vertical="center"/>
    </xf>
    <xf numFmtId="0" fontId="55" fillId="0" borderId="169" xfId="52" applyFont="1" applyBorder="1" applyAlignment="1">
      <alignment horizontal="left" vertical="top" wrapText="1"/>
    </xf>
    <xf numFmtId="0" fontId="14" fillId="0" borderId="0" xfId="0" applyFont="1" applyAlignment="1">
      <alignment vertical="center"/>
    </xf>
    <xf numFmtId="0" fontId="54" fillId="34" borderId="169" xfId="0" applyFont="1" applyFill="1" applyBorder="1" applyAlignment="1" applyProtection="1">
      <alignment vertical="center" wrapText="1"/>
      <protection locked="0"/>
    </xf>
    <xf numFmtId="0" fontId="0" fillId="0" borderId="171" xfId="0" applyBorder="1" applyAlignment="1">
      <alignment horizontal="center" vertical="center" wrapText="1"/>
    </xf>
    <xf numFmtId="0" fontId="0" fillId="0" borderId="172" xfId="0" applyBorder="1" applyAlignment="1">
      <alignment horizontal="center" vertical="center" wrapText="1"/>
    </xf>
    <xf numFmtId="0" fontId="89" fillId="39" borderId="169" xfId="60" applyFont="1" applyFill="1" applyBorder="1" applyAlignment="1">
      <alignment horizontal="left" vertical="center"/>
    </xf>
    <xf numFmtId="0" fontId="3" fillId="31" borderId="169" xfId="60" applyFill="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3" fillId="34" borderId="83" xfId="0" applyFont="1" applyFill="1" applyBorder="1" applyAlignment="1">
      <alignment horizontal="left" vertical="center" wrapText="1"/>
    </xf>
    <xf numFmtId="0" fontId="3" fillId="0" borderId="184" xfId="52" applyBorder="1" applyAlignment="1">
      <alignment horizontal="left" vertical="center" wrapText="1"/>
    </xf>
    <xf numFmtId="49" fontId="0" fillId="0" borderId="184" xfId="52" applyNumberFormat="1" applyFont="1" applyBorder="1" applyAlignment="1">
      <alignment horizontal="left" vertical="center" wrapText="1"/>
    </xf>
    <xf numFmtId="0" fontId="54" fillId="34" borderId="0" xfId="0" applyFont="1" applyFill="1">
      <alignment vertical="center" wrapText="1"/>
    </xf>
    <xf numFmtId="0" fontId="54" fillId="34" borderId="81" xfId="0" applyFont="1" applyFill="1" applyBorder="1">
      <alignment vertical="center" wrapText="1"/>
    </xf>
    <xf numFmtId="0" fontId="52" fillId="34" borderId="81" xfId="0" applyFont="1" applyFill="1" applyBorder="1">
      <alignment vertical="center" wrapText="1"/>
    </xf>
    <xf numFmtId="0" fontId="7" fillId="34" borderId="0" xfId="0" applyFont="1" applyFill="1" applyAlignment="1">
      <alignment horizontal="right" vertical="center" wrapText="1"/>
    </xf>
    <xf numFmtId="0" fontId="13" fillId="31" borderId="84" xfId="0" applyFont="1" applyFill="1" applyBorder="1" applyAlignment="1">
      <alignment horizontal="center" vertical="center" wrapText="1"/>
    </xf>
    <xf numFmtId="0" fontId="54" fillId="34" borderId="0" xfId="0" applyFont="1" applyFill="1" applyAlignment="1">
      <alignment horizontal="right" vertical="center" wrapText="1"/>
    </xf>
    <xf numFmtId="0" fontId="0" fillId="0" borderId="0" xfId="0" applyAlignment="1">
      <alignment horizontal="center" vertical="center" wrapText="1"/>
    </xf>
    <xf numFmtId="0" fontId="4" fillId="18" borderId="76" xfId="0" applyFont="1" applyFill="1" applyBorder="1" applyAlignment="1">
      <alignment horizontal="left" vertical="center" wrapText="1"/>
    </xf>
    <xf numFmtId="0" fontId="4" fillId="18" borderId="107" xfId="0" applyFont="1" applyFill="1" applyBorder="1" applyAlignment="1">
      <alignment horizontal="left" vertical="center" wrapText="1"/>
    </xf>
    <xf numFmtId="0" fontId="0" fillId="0" borderId="184" xfId="0" applyFont="1" applyBorder="1">
      <alignment vertical="center" wrapText="1"/>
    </xf>
    <xf numFmtId="0" fontId="0" fillId="0" borderId="184" xfId="0" applyFont="1" applyBorder="1" applyAlignment="1">
      <alignment horizontal="center" vertical="center" wrapText="1"/>
    </xf>
    <xf numFmtId="0" fontId="0" fillId="0" borderId="184" xfId="52" applyFont="1" applyBorder="1" applyAlignment="1">
      <alignment horizontal="left" vertical="top" wrapText="1"/>
    </xf>
    <xf numFmtId="49" fontId="0" fillId="0" borderId="184" xfId="52" applyNumberFormat="1" applyFont="1" applyBorder="1" applyAlignment="1">
      <alignment horizontal="left" vertical="top" wrapText="1"/>
    </xf>
    <xf numFmtId="0" fontId="4" fillId="18" borderId="76" xfId="0" applyFont="1" applyFill="1" applyBorder="1" applyAlignment="1">
      <alignment vertical="center" wrapText="1"/>
    </xf>
    <xf numFmtId="0" fontId="4" fillId="18" borderId="42" xfId="0" applyFont="1" applyFill="1" applyBorder="1" applyAlignment="1">
      <alignment vertical="center" wrapText="1"/>
    </xf>
    <xf numFmtId="0" fontId="4" fillId="18" borderId="184" xfId="0" applyFont="1" applyFill="1" applyBorder="1" applyAlignment="1">
      <alignment vertical="top" wrapText="1"/>
    </xf>
    <xf numFmtId="49" fontId="3" fillId="0" borderId="169" xfId="52" quotePrefix="1" applyNumberFormat="1" applyFont="1" applyBorder="1" applyAlignment="1">
      <alignment horizontal="left" vertical="top" wrapText="1"/>
    </xf>
    <xf numFmtId="0" fontId="0" fillId="0" borderId="0" xfId="0" applyAlignment="1">
      <alignment horizontal="center" vertical="center" wrapText="1"/>
    </xf>
    <xf numFmtId="0" fontId="0" fillId="0" borderId="169" xfId="0" applyBorder="1" applyAlignment="1">
      <alignment horizontal="center" vertical="center" wrapText="1"/>
    </xf>
    <xf numFmtId="0" fontId="3" fillId="0" borderId="184" xfId="52" applyFont="1" applyBorder="1" applyAlignment="1">
      <alignment horizontal="left" vertical="top" wrapText="1"/>
    </xf>
    <xf numFmtId="49" fontId="39" fillId="0" borderId="184" xfId="52" applyNumberFormat="1" applyFont="1" applyBorder="1" applyAlignment="1">
      <alignment horizontal="left" vertical="top" wrapText="1"/>
    </xf>
    <xf numFmtId="49" fontId="0" fillId="0" borderId="184" xfId="0" applyNumberFormat="1" applyFont="1" applyBorder="1">
      <alignment vertical="center" wrapText="1"/>
    </xf>
    <xf numFmtId="49" fontId="0" fillId="0" borderId="184" xfId="52" applyNumberFormat="1" applyFont="1" applyBorder="1" applyAlignment="1">
      <alignment horizontal="left" vertical="top"/>
    </xf>
    <xf numFmtId="49" fontId="67" fillId="0" borderId="184" xfId="52" applyNumberFormat="1" applyFont="1" applyBorder="1" applyAlignment="1">
      <alignment horizontal="left" vertical="top" wrapText="1"/>
    </xf>
    <xf numFmtId="0" fontId="0" fillId="0" borderId="184" xfId="52" applyFont="1" applyBorder="1" applyAlignment="1">
      <alignment horizontal="left" vertical="top"/>
    </xf>
    <xf numFmtId="0" fontId="0" fillId="0" borderId="184" xfId="52" applyFont="1" applyBorder="1" applyAlignment="1">
      <alignment vertical="center" wrapText="1"/>
    </xf>
    <xf numFmtId="49" fontId="0" fillId="0" borderId="184" xfId="52" applyNumberFormat="1" applyFont="1" applyBorder="1" applyAlignment="1">
      <alignment wrapText="1"/>
    </xf>
    <xf numFmtId="0" fontId="0" fillId="0" borderId="0" xfId="0" applyAlignment="1">
      <alignment horizontal="center" vertical="center" wrapText="1"/>
    </xf>
    <xf numFmtId="0" fontId="0" fillId="0" borderId="169" xfId="0" applyBorder="1" applyAlignment="1">
      <alignment horizontal="center" vertical="center" wrapText="1"/>
    </xf>
    <xf numFmtId="49" fontId="55" fillId="0" borderId="184" xfId="52" applyNumberFormat="1" applyFont="1" applyBorder="1" applyAlignment="1">
      <alignment horizontal="left" vertical="top" wrapText="1"/>
    </xf>
    <xf numFmtId="0" fontId="0" fillId="0" borderId="186" xfId="0" applyBorder="1" applyAlignment="1" applyProtection="1">
      <alignment horizontal="center" vertical="center" wrapText="1"/>
      <protection locked="0"/>
    </xf>
    <xf numFmtId="0" fontId="0" fillId="0" borderId="107" xfId="0" applyBorder="1" applyAlignment="1" applyProtection="1">
      <alignment horizontal="center" vertical="center" wrapText="1"/>
      <protection locked="0"/>
    </xf>
    <xf numFmtId="0" fontId="0" fillId="0" borderId="174" xfId="0" applyBorder="1" applyAlignment="1" applyProtection="1">
      <alignment horizontal="center" vertical="center" wrapText="1"/>
      <protection locked="0"/>
    </xf>
    <xf numFmtId="0" fontId="0" fillId="0" borderId="182" xfId="0" applyBorder="1" applyProtection="1">
      <alignment vertical="center" wrapText="1"/>
      <protection locked="0"/>
    </xf>
    <xf numFmtId="0" fontId="0" fillId="0" borderId="54" xfId="0" applyBorder="1" applyProtection="1">
      <alignment vertical="center" wrapText="1"/>
      <protection locked="0"/>
    </xf>
    <xf numFmtId="0" fontId="0" fillId="0" borderId="183" xfId="0" applyBorder="1" applyProtection="1">
      <alignment vertical="center" wrapText="1"/>
      <protection locked="0"/>
    </xf>
    <xf numFmtId="0" fontId="0" fillId="0" borderId="11" xfId="0" applyBorder="1" applyProtection="1">
      <alignment vertical="center" wrapText="1"/>
      <protection locked="0"/>
    </xf>
    <xf numFmtId="0" fontId="0" fillId="0" borderId="175" xfId="0" applyBorder="1" applyProtection="1">
      <alignment vertical="center" wrapText="1"/>
      <protection locked="0"/>
    </xf>
    <xf numFmtId="0" fontId="0" fillId="0" borderId="170" xfId="0" applyBorder="1" applyProtection="1">
      <alignment vertical="center" wrapText="1"/>
      <protection locked="0"/>
    </xf>
    <xf numFmtId="49" fontId="39" fillId="0" borderId="169" xfId="52" applyNumberFormat="1"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 fillId="18" borderId="76" xfId="0" applyFont="1" applyFill="1" applyBorder="1" applyAlignment="1">
      <alignment horizontal="left" vertical="center" wrapText="1"/>
    </xf>
    <xf numFmtId="0" fontId="4" fillId="0" borderId="184" xfId="0" applyFont="1" applyBorder="1">
      <alignment vertical="center" wrapText="1"/>
    </xf>
    <xf numFmtId="0" fontId="4" fillId="18" borderId="105" xfId="0" applyFont="1" applyFill="1" applyBorder="1" applyAlignment="1">
      <alignment horizontal="left" vertical="center" wrapText="1"/>
    </xf>
    <xf numFmtId="0" fontId="4" fillId="18" borderId="106" xfId="0" applyFont="1" applyFill="1" applyBorder="1" applyAlignment="1">
      <alignment horizontal="left" vertical="center" wrapText="1"/>
    </xf>
    <xf numFmtId="49" fontId="3" fillId="0" borderId="172" xfId="52" applyNumberFormat="1" applyFont="1" applyBorder="1" applyAlignment="1">
      <alignment horizontal="left" vertical="top" wrapText="1"/>
    </xf>
    <xf numFmtId="0" fontId="42" fillId="0" borderId="174" xfId="0" applyFont="1" applyBorder="1" applyAlignment="1" applyProtection="1">
      <alignment horizontal="center" vertical="center" wrapText="1"/>
      <protection locked="0"/>
    </xf>
    <xf numFmtId="0" fontId="42" fillId="0" borderId="188" xfId="0" applyFont="1" applyBorder="1" applyAlignment="1" applyProtection="1">
      <alignment horizontal="center" vertical="center" wrapText="1"/>
      <protection locked="0"/>
    </xf>
    <xf numFmtId="0" fontId="42" fillId="0" borderId="187" xfId="0" applyFont="1" applyBorder="1" applyAlignment="1" applyProtection="1">
      <alignment horizontal="center" vertical="center" wrapText="1"/>
      <protection locked="0"/>
    </xf>
    <xf numFmtId="0" fontId="0" fillId="22" borderId="187" xfId="0" applyFill="1" applyBorder="1" applyProtection="1">
      <alignment vertical="center" wrapText="1"/>
    </xf>
    <xf numFmtId="0" fontId="0" fillId="22" borderId="187" xfId="0" applyFill="1" applyBorder="1" applyProtection="1">
      <alignment vertical="center" wrapText="1"/>
      <protection locked="0"/>
    </xf>
    <xf numFmtId="0" fontId="42" fillId="0" borderId="165" xfId="0" applyFont="1" applyBorder="1" applyAlignment="1" applyProtection="1">
      <alignment horizontal="center" vertical="center" wrapText="1"/>
      <protection locked="0"/>
    </xf>
    <xf numFmtId="0" fontId="14" fillId="0" borderId="189" xfId="0" applyFont="1" applyBorder="1" applyAlignment="1">
      <alignment horizontal="center" vertical="center" wrapText="1"/>
    </xf>
    <xf numFmtId="0" fontId="13" fillId="31" borderId="84" xfId="0" applyFont="1" applyFill="1" applyBorder="1" applyAlignment="1" applyProtection="1">
      <alignment horizontal="left" vertical="center" wrapText="1"/>
      <protection locked="0"/>
    </xf>
    <xf numFmtId="49" fontId="0" fillId="0" borderId="169" xfId="52" applyNumberFormat="1" applyFont="1" applyBorder="1" applyAlignment="1">
      <alignment vertical="top"/>
    </xf>
    <xf numFmtId="0" fontId="0" fillId="0" borderId="0" xfId="0" applyAlignment="1">
      <alignment horizontal="center" vertical="center" wrapText="1"/>
    </xf>
    <xf numFmtId="0" fontId="4" fillId="18" borderId="107" xfId="0" applyFont="1" applyFill="1" applyBorder="1" applyAlignment="1">
      <alignment horizontal="left" vertical="center" wrapText="1"/>
    </xf>
    <xf numFmtId="0" fontId="4" fillId="18" borderId="183" xfId="0" applyFont="1" applyFill="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xf>
    <xf numFmtId="1" fontId="0" fillId="0" borderId="0" xfId="0" applyNumberFormat="1" applyAlignment="1">
      <alignment horizontal="center" vertical="center" wrapText="1"/>
    </xf>
    <xf numFmtId="0" fontId="0" fillId="0" borderId="0" xfId="0">
      <alignment vertical="center" wrapText="1"/>
    </xf>
    <xf numFmtId="0" fontId="0" fillId="0" borderId="0" xfId="0" applyAlignment="1">
      <alignment horizontal="left" vertical="center" wrapText="1"/>
    </xf>
    <xf numFmtId="0" fontId="3" fillId="0" borderId="0" xfId="55" applyAlignment="1"/>
    <xf numFmtId="0" fontId="0" fillId="0" borderId="0" xfId="0" applyAlignment="1"/>
    <xf numFmtId="0" fontId="4" fillId="18" borderId="76" xfId="0" applyFont="1" applyFill="1" applyBorder="1" applyAlignment="1">
      <alignment horizontal="left" vertical="center" wrapText="1"/>
    </xf>
    <xf numFmtId="0" fontId="4" fillId="18" borderId="76" xfId="54" applyFont="1" applyFill="1" applyBorder="1" applyAlignment="1">
      <alignment horizontal="left" vertical="center" wrapText="1"/>
    </xf>
    <xf numFmtId="0" fontId="0" fillId="0" borderId="0" xfId="0">
      <alignment vertical="center" wrapText="1"/>
    </xf>
    <xf numFmtId="0" fontId="4" fillId="0" borderId="143" xfId="0" applyFont="1" applyBorder="1" applyAlignment="1">
      <alignment horizontal="left" vertical="center" wrapText="1"/>
    </xf>
    <xf numFmtId="0" fontId="4" fillId="0" borderId="75" xfId="0" applyFont="1" applyBorder="1" applyAlignment="1">
      <alignment horizontal="left" vertical="center" wrapText="1"/>
    </xf>
    <xf numFmtId="0" fontId="4" fillId="0" borderId="148" xfId="0" applyFont="1" applyBorder="1" applyAlignment="1">
      <alignment horizontal="left" vertical="center" wrapText="1"/>
    </xf>
    <xf numFmtId="0" fontId="4" fillId="18" borderId="189" xfId="0" applyFont="1" applyFill="1" applyBorder="1" applyAlignment="1">
      <alignment vertical="top" wrapText="1"/>
    </xf>
    <xf numFmtId="0" fontId="4" fillId="0" borderId="0" xfId="0" applyFont="1" applyAlignment="1">
      <alignment horizontal="left" vertical="center"/>
    </xf>
    <xf numFmtId="0" fontId="4" fillId="0" borderId="0" xfId="0" applyFont="1" applyAlignment="1">
      <alignment horizontal="left" vertical="top"/>
    </xf>
    <xf numFmtId="0" fontId="4" fillId="0" borderId="0" xfId="54" applyFont="1" applyAlignment="1">
      <alignment horizontal="left" vertical="center"/>
    </xf>
    <xf numFmtId="0" fontId="4" fillId="0" borderId="0" xfId="54" applyFont="1" applyAlignment="1">
      <alignment horizontal="left" vertical="top"/>
    </xf>
    <xf numFmtId="0" fontId="4" fillId="0" borderId="0" xfId="0" applyFont="1" applyAlignment="1">
      <alignment vertical="center"/>
    </xf>
    <xf numFmtId="17" fontId="4" fillId="42" borderId="0" xfId="0" applyNumberFormat="1" applyFont="1" applyFill="1" applyBorder="1" applyAlignment="1">
      <alignment horizontal="left" vertical="top" wrapText="1"/>
    </xf>
    <xf numFmtId="0" fontId="42" fillId="0" borderId="190" xfId="0" applyFont="1" applyBorder="1">
      <alignment vertical="center" wrapText="1"/>
    </xf>
    <xf numFmtId="0" fontId="42" fillId="0" borderId="191" xfId="0" applyFont="1" applyBorder="1">
      <alignment vertical="center" wrapText="1"/>
    </xf>
    <xf numFmtId="0" fontId="57" fillId="0" borderId="191" xfId="0" applyFont="1" applyBorder="1" applyAlignment="1" applyProtection="1">
      <alignment vertical="center" wrapText="1"/>
      <protection locked="0"/>
    </xf>
    <xf numFmtId="0" fontId="57" fillId="0" borderId="192" xfId="0" applyFont="1" applyBorder="1" applyAlignment="1" applyProtection="1">
      <alignment vertical="center" wrapText="1"/>
      <protection locked="0"/>
    </xf>
    <xf numFmtId="0" fontId="7" fillId="0" borderId="27" xfId="0" applyFont="1" applyBorder="1" applyAlignment="1">
      <alignment horizontal="center" vertical="center" wrapText="1"/>
    </xf>
    <xf numFmtId="0" fontId="7" fillId="0" borderId="34" xfId="0" applyFont="1" applyBorder="1" applyAlignment="1">
      <alignment horizontal="center" vertical="center" wrapText="1"/>
    </xf>
    <xf numFmtId="0" fontId="44" fillId="0" borderId="34" xfId="0" applyFont="1" applyBorder="1" applyAlignment="1">
      <alignment horizontal="center" vertical="center" wrapText="1"/>
    </xf>
    <xf numFmtId="0" fontId="14" fillId="0" borderId="34" xfId="0" applyFont="1" applyBorder="1" applyAlignment="1">
      <alignment horizontal="center" vertical="center" wrapText="1"/>
    </xf>
    <xf numFmtId="0" fontId="14" fillId="0" borderId="131" xfId="0" applyFont="1" applyBorder="1" applyAlignment="1">
      <alignment horizontal="center" vertical="center" wrapText="1"/>
    </xf>
    <xf numFmtId="0" fontId="17" fillId="19" borderId="21" xfId="35" applyNumberFormat="1" applyFont="1" applyFill="1" applyBorder="1" applyAlignment="1" applyProtection="1">
      <alignment horizontal="left" vertical="center" wrapText="1"/>
      <protection locked="0"/>
    </xf>
    <xf numFmtId="0" fontId="0" fillId="0" borderId="21" xfId="0" applyBorder="1" applyAlignment="1">
      <alignment horizontal="left" vertical="center" wrapText="1"/>
    </xf>
    <xf numFmtId="0" fontId="6" fillId="20" borderId="21" xfId="35" applyFont="1" applyFill="1" applyBorder="1" applyAlignment="1">
      <alignment horizontal="center" vertical="center"/>
    </xf>
    <xf numFmtId="0" fontId="17" fillId="19" borderId="21" xfId="35" applyNumberFormat="1" applyFont="1" applyFill="1" applyBorder="1" applyAlignment="1" applyProtection="1">
      <alignment horizontal="left" vertical="top" wrapText="1"/>
      <protection locked="0"/>
    </xf>
    <xf numFmtId="0" fontId="0" fillId="0" borderId="21" xfId="0" applyBorder="1" applyAlignment="1">
      <alignment horizontal="left" vertical="top" wrapText="1"/>
    </xf>
    <xf numFmtId="49" fontId="12" fillId="0" borderId="13" xfId="34" applyNumberFormat="1" applyFont="1" applyFill="1" applyBorder="1" applyAlignment="1" applyProtection="1">
      <alignment vertical="top" wrapText="1"/>
      <protection locked="0"/>
    </xf>
    <xf numFmtId="0" fontId="0" fillId="0" borderId="13" xfId="0" applyBorder="1" applyAlignment="1">
      <alignment vertical="center" wrapText="1"/>
    </xf>
    <xf numFmtId="49" fontId="12" fillId="0" borderId="12" xfId="34" applyNumberFormat="1" applyFont="1" applyFill="1" applyBorder="1" applyAlignment="1" applyProtection="1">
      <alignment vertical="top" wrapText="1"/>
      <protection locked="0"/>
    </xf>
    <xf numFmtId="0" fontId="0" fillId="0" borderId="12" xfId="0" applyBorder="1" applyAlignment="1">
      <alignment vertical="center" wrapText="1"/>
    </xf>
    <xf numFmtId="0" fontId="38" fillId="0" borderId="0" xfId="33" applyNumberFormat="1" applyFont="1" applyFill="1" applyBorder="1" applyAlignment="1" applyProtection="1">
      <alignment horizontal="center" vertical="top" wrapText="1"/>
      <protection locked="0"/>
    </xf>
    <xf numFmtId="49" fontId="12" fillId="0" borderId="25" xfId="34" applyNumberFormat="1" applyFont="1" applyFill="1" applyBorder="1" applyAlignment="1" applyProtection="1">
      <alignment vertical="top" wrapText="1"/>
      <protection locked="0"/>
    </xf>
    <xf numFmtId="0" fontId="0" fillId="0" borderId="26" xfId="0" applyBorder="1" applyAlignment="1">
      <alignment vertical="top" wrapText="1"/>
    </xf>
    <xf numFmtId="0" fontId="12" fillId="0" borderId="12" xfId="35" applyNumberFormat="1" applyFont="1" applyFill="1" applyBorder="1" applyAlignment="1" applyProtection="1">
      <alignment horizontal="left" vertical="top" wrapText="1"/>
      <protection locked="0"/>
    </xf>
    <xf numFmtId="49" fontId="12" fillId="0" borderId="25" xfId="34" applyNumberFormat="1" applyFont="1" applyFill="1" applyBorder="1" applyAlignment="1" applyProtection="1">
      <alignment horizontal="left" vertical="top" wrapText="1"/>
      <protection locked="0"/>
    </xf>
    <xf numFmtId="0" fontId="17" fillId="19" borderId="21" xfId="34" applyNumberFormat="1" applyFont="1" applyFill="1" applyBorder="1" applyAlignment="1" applyProtection="1">
      <alignment horizontal="left" vertical="center" wrapText="1"/>
      <protection locked="0"/>
    </xf>
    <xf numFmtId="49" fontId="12" fillId="0" borderId="0" xfId="34" applyNumberFormat="1" applyFont="1" applyFill="1" applyBorder="1" applyAlignment="1" applyProtection="1">
      <alignment horizontal="left" vertical="center" wrapText="1"/>
      <protection locked="0"/>
    </xf>
    <xf numFmtId="49" fontId="43" fillId="19" borderId="21" xfId="34" applyNumberFormat="1" applyFont="1" applyFill="1" applyBorder="1" applyAlignment="1" applyProtection="1">
      <alignment horizontal="left" vertical="top" wrapText="1"/>
      <protection locked="0"/>
    </xf>
    <xf numFmtId="0" fontId="45" fillId="0" borderId="21" xfId="0" applyFont="1" applyBorder="1" applyAlignment="1">
      <alignment horizontal="left" vertical="top" wrapText="1"/>
    </xf>
    <xf numFmtId="49" fontId="12" fillId="0" borderId="0" xfId="47" applyNumberFormat="1" applyFont="1" applyBorder="1" applyAlignment="1">
      <alignment horizontal="left" wrapText="1"/>
    </xf>
    <xf numFmtId="49" fontId="12" fillId="0" borderId="11" xfId="47" applyNumberFormat="1" applyFont="1" applyBorder="1" applyAlignment="1">
      <alignment horizontal="left" wrapText="1"/>
    </xf>
    <xf numFmtId="49" fontId="12" fillId="0" borderId="12" xfId="34" applyNumberFormat="1" applyFont="1" applyFill="1" applyBorder="1" applyAlignment="1" applyProtection="1">
      <alignment horizontal="left" vertical="top" wrapText="1"/>
      <protection locked="0"/>
    </xf>
    <xf numFmtId="0" fontId="43" fillId="19" borderId="21" xfId="34" applyNumberFormat="1" applyFont="1" applyFill="1" applyBorder="1" applyAlignment="1" applyProtection="1">
      <alignment horizontal="left" vertical="center" wrapText="1"/>
      <protection locked="0"/>
    </xf>
    <xf numFmtId="0" fontId="45" fillId="0" borderId="21" xfId="0" applyFont="1" applyBorder="1" applyAlignment="1">
      <alignment horizontal="left" vertical="center" wrapText="1"/>
    </xf>
    <xf numFmtId="17" fontId="4" fillId="42" borderId="0" xfId="0" applyNumberFormat="1" applyFont="1" applyFill="1" applyBorder="1" applyAlignment="1">
      <alignment horizontal="left" vertical="top" wrapText="1"/>
    </xf>
    <xf numFmtId="0" fontId="9" fillId="42" borderId="0" xfId="0" applyFont="1" applyFill="1" applyBorder="1" applyAlignment="1">
      <alignment horizontal="center" vertical="top"/>
    </xf>
    <xf numFmtId="49" fontId="3" fillId="0" borderId="0" xfId="59" applyNumberFormat="1" applyAlignment="1">
      <alignment vertical="top" wrapText="1"/>
    </xf>
    <xf numFmtId="164" fontId="73" fillId="38" borderId="0" xfId="59" applyFont="1" applyFill="1" applyAlignment="1">
      <alignment horizontal="center" vertical="top" wrapText="1"/>
    </xf>
    <xf numFmtId="164" fontId="74" fillId="38" borderId="0" xfId="59" applyFont="1" applyFill="1" applyAlignment="1">
      <alignment horizontal="center" vertical="center" wrapText="1"/>
    </xf>
    <xf numFmtId="164" fontId="3" fillId="0" borderId="0" xfId="59" applyAlignment="1">
      <alignment horizontal="left" vertical="top" wrapText="1"/>
    </xf>
    <xf numFmtId="49" fontId="9" fillId="0" borderId="0" xfId="59" applyNumberFormat="1" applyFont="1">
      <alignment vertical="center" wrapText="1"/>
    </xf>
    <xf numFmtId="164" fontId="76" fillId="0" borderId="0" xfId="59" applyFont="1" applyAlignment="1">
      <alignment vertical="top" wrapText="1"/>
    </xf>
    <xf numFmtId="164" fontId="3" fillId="0" borderId="0" xfId="59" applyAlignment="1">
      <alignment vertical="top" wrapText="1"/>
    </xf>
    <xf numFmtId="0" fontId="6" fillId="0" borderId="0" xfId="56" applyFont="1" applyAlignment="1">
      <alignment horizontal="center"/>
    </xf>
    <xf numFmtId="0" fontId="3" fillId="0" borderId="0" xfId="56" applyAlignment="1">
      <alignment horizontal="left" vertical="center" wrapText="1"/>
    </xf>
    <xf numFmtId="0" fontId="9" fillId="0" borderId="0" xfId="56" applyFont="1" applyAlignment="1">
      <alignment horizontal="left" vertical="center" wrapText="1"/>
    </xf>
    <xf numFmtId="0" fontId="55" fillId="0" borderId="0" xfId="0" applyFont="1" applyAlignment="1">
      <alignment horizontal="left" vertical="center" wrapText="1"/>
    </xf>
    <xf numFmtId="0" fontId="43" fillId="40" borderId="0" xfId="0" applyFont="1" applyFill="1" applyAlignment="1">
      <alignment horizontal="center" vertical="center" wrapText="1"/>
    </xf>
    <xf numFmtId="0" fontId="44" fillId="0" borderId="77" xfId="0" applyFont="1" applyBorder="1" applyAlignment="1">
      <alignment horizontal="center" vertical="center" wrapText="1"/>
    </xf>
    <xf numFmtId="0" fontId="44" fillId="0" borderId="110" xfId="0" applyFont="1" applyBorder="1" applyAlignment="1">
      <alignment horizontal="center" vertical="center" wrapText="1"/>
    </xf>
    <xf numFmtId="0" fontId="44" fillId="0" borderId="122" xfId="0" applyFont="1" applyBorder="1" applyAlignment="1">
      <alignment horizontal="center" vertical="center" wrapText="1"/>
    </xf>
    <xf numFmtId="0" fontId="44" fillId="0" borderId="111" xfId="0" applyFont="1" applyBorder="1" applyAlignment="1">
      <alignment horizontal="center" vertical="center" wrapText="1"/>
    </xf>
    <xf numFmtId="0" fontId="44" fillId="0" borderId="89" xfId="0" applyFont="1" applyBorder="1" applyAlignment="1">
      <alignment horizontal="center" vertical="center" wrapText="1"/>
    </xf>
    <xf numFmtId="0" fontId="44" fillId="0" borderId="78" xfId="0" applyFont="1" applyBorder="1" applyAlignment="1">
      <alignment horizontal="center" vertical="center" wrapText="1"/>
    </xf>
    <xf numFmtId="0" fontId="0" fillId="0" borderId="0" xfId="0" applyAlignment="1">
      <alignment horizontal="center" vertical="center" wrapText="1"/>
    </xf>
    <xf numFmtId="0" fontId="44" fillId="0" borderId="52" xfId="0" applyFont="1" applyBorder="1" applyAlignment="1">
      <alignment horizontal="center" vertical="center" wrapText="1"/>
    </xf>
    <xf numFmtId="0" fontId="44" fillId="0" borderId="31" xfId="0" applyFont="1" applyBorder="1" applyAlignment="1">
      <alignment horizontal="center" vertical="center" wrapText="1"/>
    </xf>
    <xf numFmtId="0" fontId="44" fillId="0" borderId="124" xfId="0" applyFont="1" applyBorder="1" applyAlignment="1">
      <alignment horizontal="center" vertical="center" wrapText="1"/>
    </xf>
    <xf numFmtId="0" fontId="3" fillId="0" borderId="0" xfId="52" applyAlignment="1">
      <alignment horizontal="center"/>
    </xf>
    <xf numFmtId="0" fontId="7" fillId="0" borderId="0" xfId="52" applyFont="1" applyBorder="1" applyAlignment="1">
      <alignment horizontal="left" vertical="top" wrapText="1"/>
    </xf>
    <xf numFmtId="0" fontId="3" fillId="0" borderId="0" xfId="52" applyBorder="1"/>
    <xf numFmtId="0" fontId="3" fillId="0" borderId="77" xfId="52" applyBorder="1" applyAlignment="1">
      <alignment horizontal="left" vertical="top"/>
    </xf>
    <xf numFmtId="0" fontId="3" fillId="0" borderId="160" xfId="52" applyBorder="1" applyAlignment="1">
      <alignment horizontal="left" vertical="top"/>
    </xf>
    <xf numFmtId="0" fontId="3" fillId="0" borderId="28" xfId="52" applyBorder="1" applyAlignment="1">
      <alignment horizontal="left" vertical="top" wrapText="1"/>
    </xf>
    <xf numFmtId="0" fontId="3" fillId="0" borderId="107" xfId="52" applyBorder="1" applyAlignment="1">
      <alignment horizontal="left" vertical="top" wrapText="1"/>
    </xf>
    <xf numFmtId="0" fontId="3" fillId="0" borderId="161" xfId="52" applyBorder="1" applyAlignment="1">
      <alignment horizontal="left" vertical="top" wrapText="1"/>
    </xf>
    <xf numFmtId="0" fontId="3" fillId="0" borderId="163" xfId="52" applyBorder="1" applyAlignment="1">
      <alignment vertical="top"/>
    </xf>
    <xf numFmtId="0" fontId="3" fillId="0" borderId="160" xfId="52" applyBorder="1" applyAlignment="1">
      <alignment vertical="top"/>
    </xf>
    <xf numFmtId="0" fontId="3" fillId="0" borderId="165" xfId="52" applyBorder="1" applyAlignment="1">
      <alignment vertical="top"/>
    </xf>
    <xf numFmtId="0" fontId="3" fillId="0" borderId="164" xfId="52" applyBorder="1" applyAlignment="1">
      <alignment vertical="top" wrapText="1"/>
    </xf>
    <xf numFmtId="0" fontId="3" fillId="0" borderId="107" xfId="52" applyBorder="1" applyAlignment="1">
      <alignment vertical="top" wrapText="1"/>
    </xf>
    <xf numFmtId="0" fontId="3" fillId="0" borderId="161" xfId="52" applyBorder="1" applyAlignment="1">
      <alignment vertical="top" wrapText="1"/>
    </xf>
    <xf numFmtId="0" fontId="6" fillId="38" borderId="0" xfId="0" applyFont="1" applyFill="1" applyBorder="1" applyAlignment="1">
      <alignment horizontal="left" wrapText="1"/>
    </xf>
    <xf numFmtId="0" fontId="4" fillId="0" borderId="142" xfId="0" applyFont="1" applyBorder="1" applyAlignment="1">
      <alignment horizontal="left" vertical="center" wrapText="1"/>
    </xf>
    <xf numFmtId="0" fontId="4" fillId="0" borderId="146" xfId="0" applyFont="1" applyBorder="1" applyAlignment="1">
      <alignment horizontal="left" vertical="center" wrapText="1"/>
    </xf>
    <xf numFmtId="0" fontId="4" fillId="0" borderId="149" xfId="0" applyFont="1" applyBorder="1" applyAlignment="1">
      <alignment horizontal="left" vertical="center" wrapText="1"/>
    </xf>
    <xf numFmtId="0" fontId="4" fillId="0" borderId="143" xfId="0" applyFont="1" applyBorder="1" applyAlignment="1">
      <alignment horizontal="left" vertical="center" wrapText="1"/>
    </xf>
    <xf numFmtId="0" fontId="4" fillId="0" borderId="75" xfId="0" applyFont="1" applyBorder="1" applyAlignment="1">
      <alignment horizontal="left" vertical="center" wrapText="1"/>
    </xf>
    <xf numFmtId="0" fontId="4" fillId="0" borderId="37" xfId="0" applyFont="1" applyBorder="1" applyAlignment="1">
      <alignment horizontal="left" vertical="center" wrapText="1"/>
    </xf>
    <xf numFmtId="0" fontId="4" fillId="0" borderId="148" xfId="0" applyFont="1" applyBorder="1" applyAlignment="1">
      <alignment horizontal="left" vertical="center" wrapText="1"/>
    </xf>
    <xf numFmtId="0" fontId="4" fillId="0" borderId="147" xfId="0" applyFont="1" applyBorder="1" applyAlignment="1">
      <alignment horizontal="left" vertical="center" wrapText="1"/>
    </xf>
    <xf numFmtId="0" fontId="0" fillId="21" borderId="169" xfId="0" applyFont="1" applyFill="1" applyBorder="1" applyAlignment="1">
      <alignment horizontal="left" vertical="center"/>
    </xf>
    <xf numFmtId="0" fontId="0" fillId="21" borderId="172" xfId="0" applyFont="1" applyFill="1" applyBorder="1" applyAlignment="1">
      <alignment horizontal="left" vertical="center"/>
    </xf>
    <xf numFmtId="0" fontId="0" fillId="21" borderId="33" xfId="0" applyFont="1" applyFill="1" applyBorder="1" applyAlignment="1">
      <alignment horizontal="left" vertical="center"/>
    </xf>
    <xf numFmtId="0" fontId="0" fillId="21" borderId="45" xfId="0" applyFont="1" applyFill="1" applyBorder="1" applyAlignment="1">
      <alignment horizontal="left" vertical="center"/>
    </xf>
    <xf numFmtId="0" fontId="0" fillId="0" borderId="31" xfId="0" applyBorder="1" applyAlignment="1">
      <alignment horizontal="center" vertical="center" wrapText="1"/>
    </xf>
    <xf numFmtId="0" fontId="0" fillId="0" borderId="33" xfId="0" applyBorder="1" applyAlignment="1">
      <alignment horizontal="center" vertical="center" wrapText="1"/>
    </xf>
    <xf numFmtId="0" fontId="0" fillId="0" borderId="32" xfId="0" applyBorder="1" applyAlignment="1">
      <alignment horizontal="center" vertical="center" wrapText="1"/>
    </xf>
    <xf numFmtId="0" fontId="0" fillId="0" borderId="45" xfId="0" applyBorder="1" applyAlignment="1">
      <alignment horizontal="center" vertical="center" wrapText="1"/>
    </xf>
    <xf numFmtId="0" fontId="9" fillId="0" borderId="0" xfId="0" applyFont="1" applyAlignment="1">
      <alignment horizontal="center" vertical="center"/>
    </xf>
    <xf numFmtId="0" fontId="7" fillId="0" borderId="0" xfId="0" applyFont="1" applyAlignment="1">
      <alignment horizontal="center" vertical="center" wrapText="1"/>
    </xf>
    <xf numFmtId="0" fontId="54" fillId="34" borderId="0" xfId="0" applyFont="1" applyFill="1" applyBorder="1" applyAlignment="1">
      <alignment horizontal="center" vertical="center" wrapText="1"/>
    </xf>
    <xf numFmtId="0" fontId="13" fillId="31" borderId="82" xfId="0" applyFont="1" applyFill="1" applyBorder="1" applyAlignment="1" applyProtection="1">
      <alignment horizontal="left" vertical="center" wrapText="1"/>
      <protection locked="0"/>
    </xf>
    <xf numFmtId="0" fontId="13" fillId="31" borderId="83" xfId="0" applyFont="1" applyFill="1" applyBorder="1" applyAlignment="1" applyProtection="1">
      <alignment horizontal="left" vertical="center" wrapText="1"/>
      <protection locked="0"/>
    </xf>
    <xf numFmtId="0" fontId="53" fillId="34" borderId="84" xfId="0" applyFont="1" applyFill="1" applyBorder="1" applyAlignment="1">
      <alignment horizontal="left" vertical="center" wrapText="1"/>
    </xf>
    <xf numFmtId="0" fontId="53" fillId="34" borderId="83" xfId="0" applyFont="1" applyFill="1" applyBorder="1" applyAlignment="1">
      <alignment horizontal="left" vertical="center" wrapText="1"/>
    </xf>
    <xf numFmtId="0" fontId="53" fillId="36" borderId="0" xfId="0" applyFont="1" applyFill="1" applyBorder="1" applyAlignment="1">
      <alignment horizontal="left" vertical="center" wrapText="1"/>
    </xf>
    <xf numFmtId="0" fontId="53" fillId="34" borderId="82" xfId="0" applyFont="1" applyFill="1" applyBorder="1" applyAlignment="1">
      <alignment horizontal="left" vertical="center" wrapText="1"/>
    </xf>
    <xf numFmtId="0" fontId="13" fillId="34" borderId="84" xfId="0" applyFont="1" applyFill="1" applyBorder="1" applyAlignment="1">
      <alignment horizontal="left" vertical="center" wrapText="1"/>
    </xf>
    <xf numFmtId="0" fontId="13" fillId="34" borderId="83" xfId="0" applyFont="1" applyFill="1" applyBorder="1" applyAlignment="1">
      <alignment horizontal="left" vertical="center" wrapText="1"/>
    </xf>
    <xf numFmtId="0" fontId="70" fillId="35" borderId="0" xfId="0" applyFont="1" applyFill="1" applyAlignment="1">
      <alignment horizontal="center" vertical="center"/>
    </xf>
    <xf numFmtId="0" fontId="13" fillId="34" borderId="82" xfId="0" applyFont="1" applyFill="1" applyBorder="1" applyAlignment="1">
      <alignment horizontal="left" vertical="center" wrapText="1"/>
    </xf>
    <xf numFmtId="0" fontId="86" fillId="34" borderId="85" xfId="0" applyFont="1" applyFill="1" applyBorder="1" applyAlignment="1">
      <alignment horizontal="left" vertical="center" wrapText="1"/>
    </xf>
    <xf numFmtId="0" fontId="13" fillId="31" borderId="82" xfId="0" applyNumberFormat="1" applyFont="1" applyFill="1" applyBorder="1" applyAlignment="1" applyProtection="1">
      <alignment horizontal="left" vertical="center" wrapText="1"/>
      <protection locked="0"/>
    </xf>
    <xf numFmtId="0" fontId="13" fillId="31" borderId="83" xfId="0" applyNumberFormat="1" applyFont="1" applyFill="1" applyBorder="1" applyAlignment="1" applyProtection="1">
      <alignment horizontal="left" vertical="center" wrapText="1"/>
      <protection locked="0"/>
    </xf>
    <xf numFmtId="0" fontId="70" fillId="35" borderId="0" xfId="0" applyFont="1" applyFill="1" applyAlignment="1">
      <alignment horizontal="right" vertical="center"/>
    </xf>
    <xf numFmtId="0" fontId="70" fillId="35" borderId="0" xfId="0" applyFont="1" applyFill="1" applyBorder="1" applyAlignment="1">
      <alignment horizontal="center" vertical="center" wrapText="1"/>
    </xf>
    <xf numFmtId="0" fontId="13" fillId="31" borderId="82" xfId="0" applyFont="1" applyFill="1" applyBorder="1" applyAlignment="1" applyProtection="1">
      <alignment horizontal="left" vertical="center" wrapText="1"/>
    </xf>
    <xf numFmtId="0" fontId="13" fillId="31" borderId="83" xfId="0" applyFont="1" applyFill="1" applyBorder="1" applyAlignment="1" applyProtection="1">
      <alignment horizontal="left" vertical="center" wrapText="1"/>
    </xf>
    <xf numFmtId="0" fontId="53" fillId="36" borderId="0" xfId="0" applyFont="1" applyFill="1" applyBorder="1" applyAlignment="1" applyProtection="1">
      <alignment horizontal="left" vertical="center" wrapText="1"/>
    </xf>
    <xf numFmtId="0" fontId="53" fillId="34" borderId="82" xfId="0" applyFont="1" applyFill="1" applyBorder="1" applyAlignment="1" applyProtection="1">
      <alignment horizontal="left" vertical="center" wrapText="1"/>
    </xf>
    <xf numFmtId="0" fontId="53" fillId="34" borderId="83" xfId="0" applyFont="1" applyFill="1" applyBorder="1" applyAlignment="1" applyProtection="1">
      <alignment horizontal="left" vertical="center" wrapText="1"/>
    </xf>
    <xf numFmtId="0" fontId="53" fillId="34" borderId="84" xfId="0" applyFont="1" applyFill="1" applyBorder="1" applyAlignment="1" applyProtection="1">
      <alignment horizontal="left" vertical="center" wrapText="1"/>
    </xf>
    <xf numFmtId="0" fontId="13" fillId="34" borderId="84" xfId="0" applyFont="1" applyFill="1" applyBorder="1" applyAlignment="1" applyProtection="1">
      <alignment horizontal="left" vertical="center" wrapText="1"/>
    </xf>
    <xf numFmtId="0" fontId="13" fillId="34" borderId="83" xfId="0" applyFont="1" applyFill="1" applyBorder="1" applyAlignment="1" applyProtection="1">
      <alignment horizontal="left" vertical="center" wrapText="1"/>
    </xf>
    <xf numFmtId="0" fontId="13" fillId="31" borderId="82" xfId="0" applyFont="1" applyFill="1" applyBorder="1" applyAlignment="1">
      <alignment horizontal="left" vertical="center" wrapText="1"/>
    </xf>
    <xf numFmtId="0" fontId="13" fillId="31" borderId="83" xfId="0" applyFont="1" applyFill="1" applyBorder="1" applyAlignment="1">
      <alignment horizontal="left" vertical="center" wrapText="1"/>
    </xf>
    <xf numFmtId="0" fontId="54" fillId="34" borderId="177" xfId="0" applyFont="1" applyFill="1" applyBorder="1" applyAlignment="1">
      <alignment horizontal="center" vertical="center" wrapText="1"/>
    </xf>
    <xf numFmtId="0" fontId="54" fillId="34" borderId="185" xfId="0" applyFont="1" applyFill="1" applyBorder="1" applyAlignment="1">
      <alignment horizontal="center" vertical="center" wrapText="1"/>
    </xf>
    <xf numFmtId="0" fontId="54" fillId="34" borderId="181" xfId="0" applyFont="1" applyFill="1" applyBorder="1" applyAlignment="1">
      <alignment horizontal="center" vertical="center" wrapText="1"/>
    </xf>
    <xf numFmtId="0" fontId="92" fillId="35" borderId="0" xfId="0" applyFont="1" applyFill="1" applyAlignment="1">
      <alignment horizontal="right" vertical="center"/>
    </xf>
    <xf numFmtId="0" fontId="92" fillId="35" borderId="0" xfId="0" applyFont="1" applyFill="1" applyBorder="1" applyAlignment="1" applyProtection="1">
      <alignment horizontal="center" vertical="center" wrapText="1"/>
    </xf>
    <xf numFmtId="0" fontId="89" fillId="40" borderId="0" xfId="60" applyFont="1" applyFill="1" applyBorder="1" applyAlignment="1">
      <alignment horizontal="center" vertical="center" wrapText="1"/>
    </xf>
    <xf numFmtId="0" fontId="89" fillId="40" borderId="132" xfId="60" applyFont="1" applyFill="1" applyBorder="1" applyAlignment="1">
      <alignment horizontal="center" vertical="center" wrapText="1"/>
    </xf>
    <xf numFmtId="0" fontId="14" fillId="0" borderId="27" xfId="60" applyFont="1" applyBorder="1" applyAlignment="1">
      <alignment horizontal="center" vertical="center"/>
    </xf>
    <xf numFmtId="0" fontId="14" fillId="0" borderId="34" xfId="60" applyFont="1" applyBorder="1" applyAlignment="1">
      <alignment horizontal="center" vertical="center"/>
    </xf>
    <xf numFmtId="0" fontId="14" fillId="0" borderId="131" xfId="60" applyFont="1" applyBorder="1" applyAlignment="1">
      <alignment horizontal="center" vertical="center"/>
    </xf>
    <xf numFmtId="0" fontId="90" fillId="39" borderId="72" xfId="60" applyFont="1" applyFill="1" applyBorder="1" applyAlignment="1">
      <alignment horizontal="left" vertical="center" indent="2"/>
    </xf>
    <xf numFmtId="0" fontId="90" fillId="39" borderId="73" xfId="60" applyFont="1" applyFill="1" applyBorder="1" applyAlignment="1">
      <alignment horizontal="left" vertical="center" indent="2"/>
    </xf>
    <xf numFmtId="0" fontId="90" fillId="39" borderId="113" xfId="60" applyFont="1" applyFill="1" applyBorder="1" applyAlignment="1">
      <alignment horizontal="left" vertical="center" indent="2"/>
    </xf>
    <xf numFmtId="0" fontId="90" fillId="39" borderId="112" xfId="60" applyFont="1" applyFill="1" applyBorder="1" applyAlignment="1">
      <alignment horizontal="left" vertical="center" indent="2"/>
    </xf>
    <xf numFmtId="0" fontId="90" fillId="39" borderId="115" xfId="60" applyFont="1" applyFill="1" applyBorder="1" applyAlignment="1">
      <alignment horizontal="left" vertical="center" indent="2"/>
    </xf>
    <xf numFmtId="0" fontId="90" fillId="39" borderId="116" xfId="60" applyFont="1" applyFill="1" applyBorder="1" applyAlignment="1">
      <alignment horizontal="left" vertical="center" indent="2"/>
    </xf>
    <xf numFmtId="14" fontId="42" fillId="0" borderId="0" xfId="60" applyNumberFormat="1" applyFont="1" applyAlignment="1">
      <alignment horizontal="center" vertical="center" wrapText="1"/>
    </xf>
    <xf numFmtId="0" fontId="88" fillId="40" borderId="50" xfId="60" applyFont="1" applyFill="1" applyBorder="1" applyAlignment="1">
      <alignment horizontal="center" vertical="center" wrapText="1"/>
    </xf>
    <xf numFmtId="0" fontId="88" fillId="40" borderId="20" xfId="60" applyFont="1" applyFill="1" applyBorder="1" applyAlignment="1">
      <alignment horizontal="center" vertical="center" wrapText="1"/>
    </xf>
    <xf numFmtId="0" fontId="88" fillId="40" borderId="51" xfId="60" applyFont="1" applyFill="1" applyBorder="1" applyAlignment="1">
      <alignment horizontal="center" vertical="center" wrapText="1"/>
    </xf>
    <xf numFmtId="0" fontId="90" fillId="39" borderId="72" xfId="60" applyFont="1" applyFill="1" applyBorder="1" applyAlignment="1">
      <alignment horizontal="left" vertical="center" wrapText="1" indent="2"/>
    </xf>
    <xf numFmtId="0" fontId="90" fillId="39" borderId="73" xfId="60" applyFont="1" applyFill="1" applyBorder="1" applyAlignment="1">
      <alignment horizontal="left" vertical="center" wrapText="1" indent="2"/>
    </xf>
    <xf numFmtId="0" fontId="4" fillId="18" borderId="76" xfId="0" applyFont="1" applyFill="1" applyBorder="1" applyAlignment="1">
      <alignment horizontal="left" vertical="center" wrapText="1"/>
    </xf>
    <xf numFmtId="0" fontId="4" fillId="18" borderId="42" xfId="0" applyFont="1" applyFill="1" applyBorder="1" applyAlignment="1">
      <alignment horizontal="left" vertical="center" wrapText="1"/>
    </xf>
    <xf numFmtId="0" fontId="4" fillId="18" borderId="186" xfId="0" applyFont="1" applyFill="1" applyBorder="1" applyAlignment="1">
      <alignment horizontal="left" vertical="center" wrapText="1"/>
    </xf>
    <xf numFmtId="0" fontId="4" fillId="18" borderId="107" xfId="0" applyFont="1" applyFill="1" applyBorder="1" applyAlignment="1">
      <alignment horizontal="left" vertical="center" wrapText="1"/>
    </xf>
    <xf numFmtId="0" fontId="4" fillId="18" borderId="174" xfId="0" applyFont="1" applyFill="1" applyBorder="1" applyAlignment="1">
      <alignment horizontal="left" vertical="center" wrapText="1"/>
    </xf>
    <xf numFmtId="0" fontId="4" fillId="18" borderId="76" xfId="54" applyFont="1" applyFill="1" applyBorder="1" applyAlignment="1">
      <alignment horizontal="left" vertical="center" wrapText="1"/>
    </xf>
    <xf numFmtId="0" fontId="4" fillId="18" borderId="107" xfId="54" applyFont="1" applyFill="1" applyBorder="1" applyAlignment="1">
      <alignment horizontal="left" vertical="center" wrapText="1"/>
    </xf>
    <xf numFmtId="0" fontId="4" fillId="18" borderId="42" xfId="54" applyFont="1" applyFill="1" applyBorder="1" applyAlignment="1">
      <alignment horizontal="left" vertical="center" wrapText="1"/>
    </xf>
    <xf numFmtId="0" fontId="4" fillId="18" borderId="164" xfId="0" applyFont="1" applyFill="1" applyBorder="1" applyAlignment="1">
      <alignment horizontal="left" vertical="center" wrapText="1"/>
    </xf>
    <xf numFmtId="0" fontId="4" fillId="18" borderId="164" xfId="0" applyFont="1" applyFill="1" applyBorder="1" applyAlignment="1">
      <alignment horizontal="left" vertical="top" wrapText="1"/>
    </xf>
    <xf numFmtId="0" fontId="4" fillId="18" borderId="174" xfId="0" applyFont="1" applyFill="1" applyBorder="1" applyAlignment="1">
      <alignment horizontal="left" vertical="top" wrapText="1"/>
    </xf>
    <xf numFmtId="0" fontId="4" fillId="18" borderId="164" xfId="54" applyFont="1" applyFill="1" applyBorder="1" applyAlignment="1">
      <alignment horizontal="left" vertical="center" wrapText="1"/>
    </xf>
    <xf numFmtId="0" fontId="4" fillId="18" borderId="174" xfId="54" applyFont="1" applyFill="1" applyBorder="1" applyAlignment="1">
      <alignment horizontal="left" vertical="center" wrapText="1"/>
    </xf>
    <xf numFmtId="0" fontId="4" fillId="18" borderId="186" xfId="54" applyFont="1" applyFill="1" applyBorder="1" applyAlignment="1">
      <alignment horizontal="left" vertical="center" wrapText="1"/>
    </xf>
    <xf numFmtId="0" fontId="42" fillId="0" borderId="0" xfId="0" applyFont="1" applyAlignment="1">
      <alignment horizontal="left" vertical="center" wrapText="1"/>
    </xf>
    <xf numFmtId="0" fontId="0" fillId="0" borderId="40" xfId="0" applyBorder="1" applyAlignment="1">
      <alignment horizontal="center" vertical="center" wrapText="1"/>
    </xf>
    <xf numFmtId="0" fontId="0" fillId="0" borderId="69" xfId="0" applyBorder="1" applyAlignment="1">
      <alignment horizontal="center" vertical="center" wrapText="1"/>
    </xf>
    <xf numFmtId="0" fontId="0" fillId="0" borderId="70" xfId="0" applyBorder="1" applyAlignment="1">
      <alignment horizontal="center" vertical="center" wrapText="1"/>
    </xf>
    <xf numFmtId="0" fontId="0" fillId="0" borderId="71" xfId="0" applyBorder="1" applyAlignment="1">
      <alignment horizontal="center" vertical="center" wrapText="1"/>
    </xf>
    <xf numFmtId="0" fontId="0" fillId="0" borderId="96" xfId="0" applyBorder="1" applyAlignment="1">
      <alignment horizontal="center" vertical="center" wrapText="1"/>
    </xf>
    <xf numFmtId="0" fontId="0" fillId="0" borderId="169" xfId="0" applyBorder="1" applyAlignment="1">
      <alignment horizontal="center" vertical="center" wrapText="1"/>
    </xf>
    <xf numFmtId="0" fontId="0" fillId="0" borderId="97" xfId="0" applyBorder="1" applyAlignment="1">
      <alignment horizontal="center" vertical="center" wrapText="1"/>
    </xf>
    <xf numFmtId="0" fontId="0" fillId="0" borderId="102" xfId="0" applyBorder="1" applyAlignment="1">
      <alignment horizontal="center" vertical="center" wrapText="1"/>
    </xf>
    <xf numFmtId="0" fontId="0" fillId="0" borderId="20" xfId="0" applyBorder="1" applyAlignment="1">
      <alignment horizontal="center" vertical="center" wrapText="1"/>
    </xf>
    <xf numFmtId="0" fontId="0" fillId="0" borderId="35" xfId="0" applyBorder="1" applyAlignment="1">
      <alignment horizontal="center" vertical="center" wrapText="1"/>
    </xf>
    <xf numFmtId="0" fontId="0" fillId="0" borderId="168" xfId="0" applyBorder="1" applyAlignment="1">
      <alignment horizontal="center" vertical="center" wrapText="1"/>
    </xf>
    <xf numFmtId="0" fontId="0" fillId="0" borderId="101" xfId="0" applyBorder="1" applyAlignment="1">
      <alignment horizontal="center" vertical="center" wrapText="1"/>
    </xf>
    <xf numFmtId="0" fontId="0" fillId="0" borderId="103" xfId="0" applyBorder="1" applyAlignment="1">
      <alignment horizontal="center" vertical="center" wrapText="1"/>
    </xf>
    <xf numFmtId="0" fontId="0" fillId="0" borderId="73" xfId="0" applyBorder="1" applyAlignment="1">
      <alignment horizontal="center" vertical="center" wrapText="1"/>
    </xf>
    <xf numFmtId="0" fontId="7" fillId="0" borderId="58" xfId="0" applyFont="1" applyBorder="1" applyAlignment="1">
      <alignment horizontal="center" vertical="center" wrapText="1"/>
    </xf>
    <xf numFmtId="0" fontId="0" fillId="0" borderId="90" xfId="0" applyBorder="1" applyAlignment="1">
      <alignment horizontal="center" vertical="center" wrapText="1"/>
    </xf>
    <xf numFmtId="0" fontId="51" fillId="0" borderId="0" xfId="0" applyFont="1" applyAlignment="1">
      <alignment horizontal="left" vertical="center" wrapText="1"/>
    </xf>
    <xf numFmtId="0" fontId="50" fillId="0" borderId="0" xfId="0" applyFont="1" applyBorder="1" applyAlignment="1">
      <alignment vertical="center" wrapText="1"/>
    </xf>
    <xf numFmtId="0" fontId="0" fillId="0" borderId="0" xfId="0" applyAlignment="1">
      <alignment horizontal="left" vertical="center" wrapText="1"/>
    </xf>
    <xf numFmtId="0" fontId="0" fillId="0" borderId="118" xfId="0" applyBorder="1" applyAlignment="1">
      <alignment horizontal="center" vertical="center" wrapText="1"/>
    </xf>
    <xf numFmtId="0" fontId="14" fillId="38" borderId="125" xfId="55" applyFont="1" applyFill="1" applyBorder="1" applyAlignment="1">
      <alignment horizontal="center"/>
    </xf>
    <xf numFmtId="0" fontId="65" fillId="0" borderId="0" xfId="55" applyFont="1" applyAlignment="1">
      <alignment horizontal="center"/>
    </xf>
    <xf numFmtId="0" fontId="12" fillId="0" borderId="0" xfId="0" applyFont="1" applyAlignment="1">
      <alignment horizontal="center" vertical="center" wrapText="1"/>
    </xf>
    <xf numFmtId="0" fontId="62" fillId="38" borderId="0" xfId="55" applyFont="1" applyFill="1" applyAlignment="1">
      <alignment horizontal="left"/>
    </xf>
  </cellXfs>
  <cellStyles count="61">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ellule liée" xfId="27" builtinId="24" customBuiltin="1"/>
    <cellStyle name="Entrée" xfId="29" builtinId="20" customBuiltin="1"/>
    <cellStyle name="Euro" xfId="30" xr:uid="{00000000-0005-0000-0000-00001D000000}"/>
    <cellStyle name="Insatisfaisant" xfId="31" builtinId="27" customBuiltin="1"/>
    <cellStyle name="Lien hypertexte 2" xfId="57" xr:uid="{F06EBD06-A1E3-475C-9D39-2FDACD833FF7}"/>
    <cellStyle name="Lien hypertexte 3" xfId="58" xr:uid="{FFD2DDB4-33CF-49D3-A349-EBD5A90CC687}"/>
    <cellStyle name="Neutre" xfId="32" builtinId="28" customBuiltin="1"/>
    <cellStyle name="Normal" xfId="0" builtinId="0"/>
    <cellStyle name="Normal 2" xfId="48" xr:uid="{00000000-0005-0000-0000-000021000000}"/>
    <cellStyle name="Normal 2 2" xfId="52" xr:uid="{00000000-0005-0000-0000-000022000000}"/>
    <cellStyle name="Normal 3" xfId="49" xr:uid="{00000000-0005-0000-0000-000023000000}"/>
    <cellStyle name="Normal 4" xfId="50" xr:uid="{00000000-0005-0000-0000-000024000000}"/>
    <cellStyle name="Normal 5" xfId="51" xr:uid="{00000000-0005-0000-0000-000025000000}"/>
    <cellStyle name="Normal 6" xfId="56" xr:uid="{0B743961-B7F4-45E8-8413-6ADEF45646D6}"/>
    <cellStyle name="Normal 6 2" xfId="59" xr:uid="{C9301E4E-F1CE-4B6B-B658-A246A8E52A10}"/>
    <cellStyle name="Normal_DB_audit_2009_10à13_draftpréfinal - remOC_jpj 2" xfId="47" xr:uid="{00000000-0005-0000-0000-000026000000}"/>
    <cellStyle name="Normal_DB_audit_2009_draft_06_2009" xfId="33" xr:uid="{00000000-0005-0000-0000-000027000000}"/>
    <cellStyle name="Normal_DB_Mehari_2006_travJPJ" xfId="34" xr:uid="{00000000-0005-0000-0000-000028000000}"/>
    <cellStyle name="Normal_DB_Mehari_2007_2SI" xfId="35" xr:uid="{00000000-0005-0000-0000-000029000000}"/>
    <cellStyle name="Normal_DB_Mehari_2008-1" xfId="55" xr:uid="{587FCE4B-5CD3-4643-9EA1-8C7A20AF7F5B}"/>
    <cellStyle name="Normal_DB_Mehari_2009-Classif_v1" xfId="60" xr:uid="{09E92C81-4646-4F88-BDD4-F1D3C4DD53F0}"/>
    <cellStyle name="Normal_DB-Mehari_2009_V00 2" xfId="54" xr:uid="{00000000-0005-0000-0000-00002C000000}"/>
    <cellStyle name="Normal_DB-Mehari_2010_Exc_Fr_2-10" xfId="53" xr:uid="{00000000-0005-0000-0000-00002D000000}"/>
    <cellStyle name="Normal_MEHARI_audit_2007 2" xfId="46" xr:uid="{00000000-0005-0000-0000-00002E000000}"/>
    <cellStyle name="Note" xfId="28" builtinId="10" customBuiltin="1"/>
    <cellStyle name="Satisfaisant" xfId="36" builtinId="26" customBuiltin="1"/>
    <cellStyle name="Sortie" xfId="37" builtinId="21" customBuiltin="1"/>
    <cellStyle name="Texte explicatif" xfId="38" builtinId="53" customBuiltin="1"/>
    <cellStyle name="Titre" xfId="39" builtinId="15" customBuiltin="1"/>
    <cellStyle name="Titre 1" xfId="40" builtinId="16" customBuiltin="1"/>
    <cellStyle name="Titre 2" xfId="41" builtinId="17" customBuiltin="1"/>
    <cellStyle name="Titre 3" xfId="42" builtinId="18" customBuiltin="1"/>
    <cellStyle name="Titre 4" xfId="43" builtinId="19" customBuiltin="1"/>
    <cellStyle name="Total" xfId="44" builtinId="25" customBuiltin="1"/>
    <cellStyle name="Vérification" xfId="45" builtinId="23" customBuiltin="1"/>
  </cellStyles>
  <dxfs count="36">
    <dxf>
      <fill>
        <patternFill>
          <bgColor rgb="FFFF0000"/>
        </patternFill>
      </fill>
    </dxf>
    <dxf>
      <fill>
        <patternFill>
          <bgColor rgb="FFFFC000"/>
        </patternFill>
      </fill>
    </dxf>
    <dxf>
      <fill>
        <patternFill>
          <bgColor rgb="FF92D050"/>
        </patternFill>
      </fill>
    </dxf>
    <dxf>
      <fill>
        <patternFill>
          <bgColor rgb="FFCCFFCC"/>
        </patternFill>
      </fill>
    </dxf>
    <dxf>
      <font>
        <color theme="0"/>
      </font>
      <fill>
        <patternFill>
          <bgColor theme="3"/>
        </patternFill>
      </fill>
    </dxf>
    <dxf>
      <font>
        <color theme="9"/>
      </font>
      <fill>
        <patternFill>
          <bgColor theme="3"/>
        </patternFill>
      </fill>
    </dxf>
    <dxf>
      <font>
        <color theme="0" tint="-4.9989318521683403E-2"/>
      </font>
      <fill>
        <patternFill>
          <bgColor theme="0" tint="-4.9989318521683403E-2"/>
        </patternFill>
      </fill>
      <border>
        <left/>
        <right/>
        <bottom/>
      </border>
    </dxf>
    <dxf>
      <font>
        <b val="0"/>
        <i val="0"/>
        <color theme="9"/>
      </font>
      <fill>
        <patternFill>
          <bgColor theme="4"/>
        </patternFill>
      </fill>
      <border>
        <left style="thin">
          <color auto="1"/>
        </left>
        <right style="thin">
          <color auto="1"/>
        </right>
        <top style="thin">
          <color auto="1"/>
        </top>
        <bottom style="thin">
          <color auto="1"/>
        </bottom>
      </border>
    </dxf>
    <dxf>
      <fill>
        <patternFill>
          <bgColor theme="9"/>
        </patternFill>
      </fill>
    </dxf>
    <dxf>
      <font>
        <b val="0"/>
        <i val="0"/>
        <color theme="9"/>
      </font>
      <fill>
        <patternFill>
          <bgColor theme="4"/>
        </patternFill>
      </fill>
      <border>
        <left style="thin">
          <color auto="1"/>
        </left>
        <right style="thin">
          <color auto="1"/>
        </right>
        <top style="thin">
          <color auto="1"/>
        </top>
        <bottom style="thin">
          <color auto="1"/>
        </bottom>
      </border>
    </dxf>
    <dxf>
      <font>
        <color auto="1"/>
      </font>
      <fill>
        <patternFill>
          <bgColor rgb="FFFFC7CE"/>
        </patternFill>
      </fill>
    </dxf>
    <dxf>
      <font>
        <color auto="1"/>
      </font>
      <fill>
        <patternFill>
          <bgColor rgb="FFFFC7CE"/>
        </patternFill>
      </fill>
    </dxf>
    <dxf>
      <font>
        <color auto="1"/>
      </font>
      <fill>
        <patternFill>
          <bgColor rgb="FFFFC7CE"/>
        </patternFill>
      </fill>
    </dxf>
    <dxf>
      <fill>
        <patternFill>
          <bgColor theme="9"/>
        </patternFill>
      </fill>
    </dxf>
    <dxf>
      <font>
        <color auto="1"/>
      </font>
      <fill>
        <patternFill>
          <bgColor rgb="FFFFC7CE"/>
        </patternFill>
      </fill>
    </dxf>
    <dxf>
      <fill>
        <patternFill>
          <bgColor theme="9"/>
        </patternFill>
      </fill>
    </dxf>
    <dxf>
      <fill>
        <patternFill>
          <bgColor theme="9"/>
        </patternFill>
      </fill>
    </dxf>
    <dxf>
      <fill>
        <patternFill>
          <bgColor theme="9"/>
        </patternFill>
      </fill>
    </dxf>
    <dxf>
      <font>
        <color auto="1"/>
      </font>
      <fill>
        <patternFill>
          <bgColor rgb="FFFFC7CE"/>
        </patternFill>
      </fill>
    </dxf>
    <dxf>
      <fill>
        <patternFill>
          <bgColor theme="9"/>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ont>
        <b/>
        <i/>
      </font>
    </dxf>
    <dxf>
      <font>
        <b/>
        <i/>
      </font>
    </dxf>
    <dxf>
      <font>
        <b/>
        <i val="0"/>
        <strike val="0"/>
      </font>
    </dxf>
    <dxf>
      <fill>
        <patternFill>
          <bgColor indexed="1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EAEAEA"/>
      <rgbColor rgb="00E6E6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3366"/>
      <rgbColor rgb="00339966"/>
      <rgbColor rgb="00003300"/>
      <rgbColor rgb="00333300"/>
      <rgbColor rgb="00993300"/>
      <rgbColor rgb="00993366"/>
      <rgbColor rgb="00333399"/>
      <rgbColor rgb="00333333"/>
    </indexedColors>
    <mruColors>
      <color rgb="FFCCFFCC"/>
      <color rgb="FF99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eetMetadata" Target="metadata.xml"/><Relationship Id="rId30" Type="http://schemas.microsoft.com/office/2006/relationships/vbaProject" Target="vbaProject.bin"/></Relationships>
</file>

<file path=xl/ctrlProps/ctrlProp1.xml><?xml version="1.0" encoding="utf-8"?>
<formControlPr xmlns="http://schemas.microsoft.com/office/spreadsheetml/2009/9/main" objectType="CheckBox" checked="Checked" fmlaLink="Scénarios!AQ4" lockText="1" noThreeD="1"/>
</file>

<file path=xl/ctrlProps/ctrlProp2.xml><?xml version="1.0" encoding="utf-8"?>
<formControlPr xmlns="http://schemas.microsoft.com/office/spreadsheetml/2009/9/main" objectType="CheckBox" checked="Checked" fmlaLink="Scénarios!AR4" lockText="1" noThreeD="1"/>
</file>

<file path=xl/ctrlProps/ctrlProp3.xml><?xml version="1.0" encoding="utf-8"?>
<formControlPr xmlns="http://schemas.microsoft.com/office/spreadsheetml/2009/9/main" objectType="CheckBox" checked="Checked" fmlaLink="Scénarios!AS4" lockText="1" noThreeD="1"/>
</file>

<file path=xl/ctrlProps/ctrlProp4.xml><?xml version="1.0" encoding="utf-8"?>
<formControlPr xmlns="http://schemas.microsoft.com/office/spreadsheetml/2009/9/main" objectType="CheckBox" checked="Checked" fmlaLink="Scénarios!AT4" lockText="1" noThreeD="1"/>
</file>

<file path=xl/ctrlProps/ctrlProp5.xml><?xml version="1.0" encoding="utf-8"?>
<formControlPr xmlns="http://schemas.microsoft.com/office/spreadsheetml/2009/9/main" objectType="CheckBox" checked="Checked" fmlaLink="Scénarios!AP4" lockText="1" noThreeD="1"/>
</file>

<file path=xl/ctrlProps/ctrlProp6.xml><?xml version="1.0" encoding="utf-8"?>
<formControlPr xmlns="http://schemas.microsoft.com/office/spreadsheetml/2009/9/main" objectType="CheckBox" checked="Checked" fmlaLink="Scénarios!AO4" lockText="1" noThreeD="1"/>
</file>

<file path=xl/ctrlProps/ctrlProp7.xml><?xml version="1.0" encoding="utf-8"?>
<formControlPr xmlns="http://schemas.microsoft.com/office/spreadsheetml/2009/9/main" objectType="CheckBox" checked="Checked" fmlaLink="Scénarios!$AU$4"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Accueil!A1"/></Relationships>
</file>

<file path=xl/drawings/_rels/drawing2.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hyperlink" Target="#Ana_risk!C7"/><Relationship Id="rId26" Type="http://schemas.openxmlformats.org/officeDocument/2006/relationships/image" Target="../media/image21.svg"/><Relationship Id="rId39" Type="http://schemas.openxmlformats.org/officeDocument/2006/relationships/image" Target="../media/image28.png"/><Relationship Id="rId21" Type="http://schemas.openxmlformats.org/officeDocument/2006/relationships/image" Target="../media/image16.png"/><Relationship Id="rId34" Type="http://schemas.openxmlformats.org/officeDocument/2006/relationships/hyperlink" Target="#Grilles_IP!A1"/><Relationship Id="rId42" Type="http://schemas.openxmlformats.org/officeDocument/2006/relationships/image" Target="../media/image30.png"/><Relationship Id="rId7" Type="http://schemas.openxmlformats.org/officeDocument/2006/relationships/image" Target="../media/image6.png"/><Relationship Id="rId2" Type="http://schemas.openxmlformats.org/officeDocument/2006/relationships/image" Target="../media/image3.png"/><Relationship Id="rId16" Type="http://schemas.openxmlformats.org/officeDocument/2006/relationships/image" Target="../media/image12.png"/><Relationship Id="rId20" Type="http://schemas.openxmlformats.org/officeDocument/2006/relationships/image" Target="../media/image15.svg"/><Relationship Id="rId29" Type="http://schemas.openxmlformats.org/officeDocument/2006/relationships/image" Target="../media/image23.svg"/><Relationship Id="rId41" Type="http://schemas.openxmlformats.org/officeDocument/2006/relationships/hyperlink" Target="#ADMIN!A1"/><Relationship Id="rId1" Type="http://schemas.openxmlformats.org/officeDocument/2006/relationships/hyperlink" Target="http://www.clusif.fr/" TargetMode="External"/><Relationship Id="rId6" Type="http://schemas.openxmlformats.org/officeDocument/2006/relationships/hyperlink" Target="#Actifs_primaires!A1"/><Relationship Id="rId11" Type="http://schemas.openxmlformats.org/officeDocument/2006/relationships/image" Target="../media/image9.svg"/><Relationship Id="rId24" Type="http://schemas.openxmlformats.org/officeDocument/2006/relationships/image" Target="../media/image19.svg"/><Relationship Id="rId32" Type="http://schemas.openxmlformats.org/officeDocument/2006/relationships/image" Target="../media/image25.svg"/><Relationship Id="rId37" Type="http://schemas.openxmlformats.org/officeDocument/2006/relationships/image" Target="../media/image27.svg"/><Relationship Id="rId40" Type="http://schemas.openxmlformats.org/officeDocument/2006/relationships/image" Target="../media/image29.svg"/><Relationship Id="rId5" Type="http://schemas.openxmlformats.org/officeDocument/2006/relationships/image" Target="../media/image5.svg"/><Relationship Id="rId15" Type="http://schemas.openxmlformats.org/officeDocument/2006/relationships/hyperlink" Target="#Accueil!A1"/><Relationship Id="rId23" Type="http://schemas.openxmlformats.org/officeDocument/2006/relationships/image" Target="../media/image18.png"/><Relationship Id="rId28" Type="http://schemas.openxmlformats.org/officeDocument/2006/relationships/image" Target="../media/image22.png"/><Relationship Id="rId36" Type="http://schemas.openxmlformats.org/officeDocument/2006/relationships/image" Target="../media/image26.png"/><Relationship Id="rId10" Type="http://schemas.openxmlformats.org/officeDocument/2006/relationships/image" Target="../media/image8.png"/><Relationship Id="rId19" Type="http://schemas.openxmlformats.org/officeDocument/2006/relationships/image" Target="../media/image14.png"/><Relationship Id="rId31" Type="http://schemas.openxmlformats.org/officeDocument/2006/relationships/image" Target="../media/image24.png"/><Relationship Id="rId4" Type="http://schemas.openxmlformats.org/officeDocument/2006/relationships/image" Target="../media/image4.png"/><Relationship Id="rId9" Type="http://schemas.openxmlformats.org/officeDocument/2006/relationships/hyperlink" Target="#Dommages!A1"/><Relationship Id="rId14" Type="http://schemas.openxmlformats.org/officeDocument/2006/relationships/image" Target="../media/image11.svg"/><Relationship Id="rId22" Type="http://schemas.openxmlformats.org/officeDocument/2006/relationships/image" Target="../media/image17.svg"/><Relationship Id="rId27" Type="http://schemas.openxmlformats.org/officeDocument/2006/relationships/hyperlink" Target="#Fic_Risk!A1"/><Relationship Id="rId30" Type="http://schemas.openxmlformats.org/officeDocument/2006/relationships/hyperlink" Target="#Panorama!A1"/><Relationship Id="rId35" Type="http://schemas.openxmlformats.org/officeDocument/2006/relationships/hyperlink" Target="#Licence!A1"/><Relationship Id="rId43" Type="http://schemas.openxmlformats.org/officeDocument/2006/relationships/image" Target="../media/image31.svg"/><Relationship Id="rId8" Type="http://schemas.openxmlformats.org/officeDocument/2006/relationships/image" Target="../media/image7.svg"/><Relationship Id="rId3" Type="http://schemas.openxmlformats.org/officeDocument/2006/relationships/hyperlink" Target="#Actifs_support!A1"/><Relationship Id="rId12" Type="http://schemas.openxmlformats.org/officeDocument/2006/relationships/hyperlink" Target="#Expo!A1"/><Relationship Id="rId17" Type="http://schemas.openxmlformats.org/officeDocument/2006/relationships/image" Target="../media/image13.svg"/><Relationship Id="rId25" Type="http://schemas.openxmlformats.org/officeDocument/2006/relationships/image" Target="../media/image20.png"/><Relationship Id="rId33" Type="http://schemas.openxmlformats.org/officeDocument/2006/relationships/hyperlink" Target="#Gravit&#233;!A1"/><Relationship Id="rId38" Type="http://schemas.openxmlformats.org/officeDocument/2006/relationships/hyperlink" Target="#Pr&#233;sentation!A1"/></Relationships>
</file>

<file path=xl/drawings/_rels/drawing3.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Accueil!A1"/></Relationships>
</file>

<file path=xl/drawings/_rels/drawing4.xml.rels><?xml version="1.0" encoding="UTF-8" standalone="yes"?>
<Relationships xmlns="http://schemas.openxmlformats.org/package/2006/relationships"><Relationship Id="rId3" Type="http://schemas.openxmlformats.org/officeDocument/2006/relationships/hyperlink" Target="#Accueil!A1"/><Relationship Id="rId2" Type="http://schemas.openxmlformats.org/officeDocument/2006/relationships/image" Target="../media/image32.png"/><Relationship Id="rId1" Type="http://schemas.openxmlformats.org/officeDocument/2006/relationships/hyperlink" Target="https://clusif.fr/" TargetMode="External"/><Relationship Id="rId5" Type="http://schemas.openxmlformats.org/officeDocument/2006/relationships/image" Target="../media/image13.sv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hyperlink" Target="#Ana_risk!C7"/><Relationship Id="rId26" Type="http://schemas.openxmlformats.org/officeDocument/2006/relationships/image" Target="../media/image21.svg"/><Relationship Id="rId3" Type="http://schemas.openxmlformats.org/officeDocument/2006/relationships/hyperlink" Target="#Actifs_support!A1"/><Relationship Id="rId21" Type="http://schemas.openxmlformats.org/officeDocument/2006/relationships/image" Target="../media/image16.png"/><Relationship Id="rId34" Type="http://schemas.openxmlformats.org/officeDocument/2006/relationships/hyperlink" Target="#Grilles_IP!A1"/><Relationship Id="rId7" Type="http://schemas.openxmlformats.org/officeDocument/2006/relationships/image" Target="../media/image36.png"/><Relationship Id="rId12" Type="http://schemas.openxmlformats.org/officeDocument/2006/relationships/hyperlink" Target="#Expo!A1"/><Relationship Id="rId17" Type="http://schemas.openxmlformats.org/officeDocument/2006/relationships/image" Target="../media/image13.svg"/><Relationship Id="rId25" Type="http://schemas.openxmlformats.org/officeDocument/2006/relationships/image" Target="../media/image20.png"/><Relationship Id="rId33" Type="http://schemas.openxmlformats.org/officeDocument/2006/relationships/hyperlink" Target="#Gravit&#233;!A1"/><Relationship Id="rId2" Type="http://schemas.openxmlformats.org/officeDocument/2006/relationships/image" Target="../media/image34.svg"/><Relationship Id="rId16" Type="http://schemas.openxmlformats.org/officeDocument/2006/relationships/image" Target="../media/image12.png"/><Relationship Id="rId20" Type="http://schemas.openxmlformats.org/officeDocument/2006/relationships/image" Target="../media/image15.svg"/><Relationship Id="rId29" Type="http://schemas.openxmlformats.org/officeDocument/2006/relationships/image" Target="../media/image23.svg"/><Relationship Id="rId1" Type="http://schemas.openxmlformats.org/officeDocument/2006/relationships/image" Target="../media/image33.png"/><Relationship Id="rId6" Type="http://schemas.openxmlformats.org/officeDocument/2006/relationships/hyperlink" Target="#Actifs_primaires!A1"/><Relationship Id="rId11" Type="http://schemas.openxmlformats.org/officeDocument/2006/relationships/image" Target="../media/image9.svg"/><Relationship Id="rId24" Type="http://schemas.openxmlformats.org/officeDocument/2006/relationships/image" Target="../media/image19.svg"/><Relationship Id="rId32" Type="http://schemas.openxmlformats.org/officeDocument/2006/relationships/image" Target="../media/image25.svg"/><Relationship Id="rId5" Type="http://schemas.openxmlformats.org/officeDocument/2006/relationships/image" Target="../media/image35.svg"/><Relationship Id="rId15" Type="http://schemas.openxmlformats.org/officeDocument/2006/relationships/hyperlink" Target="#Accueil!D2"/><Relationship Id="rId23" Type="http://schemas.openxmlformats.org/officeDocument/2006/relationships/image" Target="../media/image18.png"/><Relationship Id="rId28" Type="http://schemas.openxmlformats.org/officeDocument/2006/relationships/image" Target="../media/image22.png"/><Relationship Id="rId10" Type="http://schemas.openxmlformats.org/officeDocument/2006/relationships/image" Target="../media/image8.png"/><Relationship Id="rId19" Type="http://schemas.openxmlformats.org/officeDocument/2006/relationships/image" Target="../media/image14.png"/><Relationship Id="rId31" Type="http://schemas.openxmlformats.org/officeDocument/2006/relationships/image" Target="../media/image24.png"/><Relationship Id="rId4" Type="http://schemas.openxmlformats.org/officeDocument/2006/relationships/image" Target="../media/image4.png"/><Relationship Id="rId9" Type="http://schemas.openxmlformats.org/officeDocument/2006/relationships/hyperlink" Target="#Dommages!A1"/><Relationship Id="rId14" Type="http://schemas.openxmlformats.org/officeDocument/2006/relationships/image" Target="../media/image11.svg"/><Relationship Id="rId22" Type="http://schemas.openxmlformats.org/officeDocument/2006/relationships/image" Target="../media/image17.svg"/><Relationship Id="rId27" Type="http://schemas.openxmlformats.org/officeDocument/2006/relationships/hyperlink" Target="#Fic_Risk!A1"/><Relationship Id="rId30" Type="http://schemas.openxmlformats.org/officeDocument/2006/relationships/hyperlink" Target="#Panorama!A1"/><Relationship Id="rId8" Type="http://schemas.openxmlformats.org/officeDocument/2006/relationships/image" Target="../media/image37.svg"/></Relationships>
</file>

<file path=xl/drawings/_rels/drawing6.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hyperlink" Target="#Ana_risk!C7"/><Relationship Id="rId26" Type="http://schemas.openxmlformats.org/officeDocument/2006/relationships/image" Target="../media/image21.svg"/><Relationship Id="rId3" Type="http://schemas.openxmlformats.org/officeDocument/2006/relationships/hyperlink" Target="#Actifs_support!A1"/><Relationship Id="rId21" Type="http://schemas.openxmlformats.org/officeDocument/2006/relationships/image" Target="../media/image16.png"/><Relationship Id="rId34" Type="http://schemas.openxmlformats.org/officeDocument/2006/relationships/hyperlink" Target="#Grilles_IP!A1"/><Relationship Id="rId7" Type="http://schemas.openxmlformats.org/officeDocument/2006/relationships/image" Target="../media/image6.png"/><Relationship Id="rId12" Type="http://schemas.openxmlformats.org/officeDocument/2006/relationships/hyperlink" Target="#Expo!A1"/><Relationship Id="rId17" Type="http://schemas.openxmlformats.org/officeDocument/2006/relationships/image" Target="../media/image13.svg"/><Relationship Id="rId25" Type="http://schemas.openxmlformats.org/officeDocument/2006/relationships/image" Target="../media/image20.png"/><Relationship Id="rId33" Type="http://schemas.openxmlformats.org/officeDocument/2006/relationships/hyperlink" Target="#Gravit&#233;!A1"/><Relationship Id="rId2" Type="http://schemas.openxmlformats.org/officeDocument/2006/relationships/image" Target="../media/image38.svg"/><Relationship Id="rId16" Type="http://schemas.openxmlformats.org/officeDocument/2006/relationships/image" Target="../media/image12.png"/><Relationship Id="rId20" Type="http://schemas.openxmlformats.org/officeDocument/2006/relationships/image" Target="../media/image15.svg"/><Relationship Id="rId29" Type="http://schemas.openxmlformats.org/officeDocument/2006/relationships/image" Target="../media/image23.svg"/><Relationship Id="rId1" Type="http://schemas.openxmlformats.org/officeDocument/2006/relationships/image" Target="../media/image33.png"/><Relationship Id="rId6" Type="http://schemas.openxmlformats.org/officeDocument/2006/relationships/hyperlink" Target="#Actifs_primaires!A1"/><Relationship Id="rId11" Type="http://schemas.openxmlformats.org/officeDocument/2006/relationships/image" Target="../media/image9.svg"/><Relationship Id="rId24" Type="http://schemas.openxmlformats.org/officeDocument/2006/relationships/image" Target="../media/image19.svg"/><Relationship Id="rId32" Type="http://schemas.openxmlformats.org/officeDocument/2006/relationships/image" Target="../media/image25.svg"/><Relationship Id="rId5" Type="http://schemas.openxmlformats.org/officeDocument/2006/relationships/image" Target="../media/image40.svg"/><Relationship Id="rId15" Type="http://schemas.openxmlformats.org/officeDocument/2006/relationships/hyperlink" Target="#Accueil!D2"/><Relationship Id="rId23" Type="http://schemas.openxmlformats.org/officeDocument/2006/relationships/image" Target="../media/image18.png"/><Relationship Id="rId28" Type="http://schemas.openxmlformats.org/officeDocument/2006/relationships/image" Target="../media/image22.png"/><Relationship Id="rId10" Type="http://schemas.openxmlformats.org/officeDocument/2006/relationships/image" Target="../media/image8.png"/><Relationship Id="rId19" Type="http://schemas.openxmlformats.org/officeDocument/2006/relationships/image" Target="../media/image14.png"/><Relationship Id="rId31" Type="http://schemas.openxmlformats.org/officeDocument/2006/relationships/image" Target="../media/image24.png"/><Relationship Id="rId4" Type="http://schemas.openxmlformats.org/officeDocument/2006/relationships/image" Target="../media/image39.png"/><Relationship Id="rId9" Type="http://schemas.openxmlformats.org/officeDocument/2006/relationships/hyperlink" Target="#Dommages!A1"/><Relationship Id="rId14" Type="http://schemas.openxmlformats.org/officeDocument/2006/relationships/image" Target="../media/image11.svg"/><Relationship Id="rId22" Type="http://schemas.openxmlformats.org/officeDocument/2006/relationships/image" Target="../media/image17.svg"/><Relationship Id="rId27" Type="http://schemas.openxmlformats.org/officeDocument/2006/relationships/hyperlink" Target="#Fic_Risk!A1"/><Relationship Id="rId30" Type="http://schemas.openxmlformats.org/officeDocument/2006/relationships/hyperlink" Target="#Panorama!A1"/><Relationship Id="rId8" Type="http://schemas.openxmlformats.org/officeDocument/2006/relationships/image" Target="../media/image7.svg"/></Relationships>
</file>

<file path=xl/drawings/_rels/drawing7.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hyperlink" Target="#Ana_risk!C7"/><Relationship Id="rId26" Type="http://schemas.openxmlformats.org/officeDocument/2006/relationships/image" Target="../media/image21.svg"/><Relationship Id="rId3" Type="http://schemas.openxmlformats.org/officeDocument/2006/relationships/hyperlink" Target="#Actifs_support!A1"/><Relationship Id="rId21" Type="http://schemas.openxmlformats.org/officeDocument/2006/relationships/image" Target="../media/image16.png"/><Relationship Id="rId34" Type="http://schemas.openxmlformats.org/officeDocument/2006/relationships/hyperlink" Target="#Grilles_IP!A1"/><Relationship Id="rId7" Type="http://schemas.openxmlformats.org/officeDocument/2006/relationships/image" Target="../media/image6.png"/><Relationship Id="rId12" Type="http://schemas.openxmlformats.org/officeDocument/2006/relationships/hyperlink" Target="#Expo!A1"/><Relationship Id="rId17" Type="http://schemas.openxmlformats.org/officeDocument/2006/relationships/image" Target="../media/image13.svg"/><Relationship Id="rId25" Type="http://schemas.openxmlformats.org/officeDocument/2006/relationships/image" Target="../media/image20.png"/><Relationship Id="rId33" Type="http://schemas.openxmlformats.org/officeDocument/2006/relationships/hyperlink" Target="#Gravit&#233;!A1"/><Relationship Id="rId2" Type="http://schemas.openxmlformats.org/officeDocument/2006/relationships/image" Target="../media/image38.svg"/><Relationship Id="rId16" Type="http://schemas.openxmlformats.org/officeDocument/2006/relationships/image" Target="../media/image12.png"/><Relationship Id="rId20" Type="http://schemas.openxmlformats.org/officeDocument/2006/relationships/image" Target="../media/image15.svg"/><Relationship Id="rId29" Type="http://schemas.openxmlformats.org/officeDocument/2006/relationships/image" Target="../media/image23.svg"/><Relationship Id="rId1" Type="http://schemas.openxmlformats.org/officeDocument/2006/relationships/image" Target="../media/image33.png"/><Relationship Id="rId6" Type="http://schemas.openxmlformats.org/officeDocument/2006/relationships/hyperlink" Target="#Actifs_primaires!A1"/><Relationship Id="rId11" Type="http://schemas.openxmlformats.org/officeDocument/2006/relationships/image" Target="../media/image42.svg"/><Relationship Id="rId24" Type="http://schemas.openxmlformats.org/officeDocument/2006/relationships/image" Target="../media/image19.svg"/><Relationship Id="rId32" Type="http://schemas.openxmlformats.org/officeDocument/2006/relationships/image" Target="../media/image25.svg"/><Relationship Id="rId5" Type="http://schemas.openxmlformats.org/officeDocument/2006/relationships/image" Target="../media/image35.svg"/><Relationship Id="rId15" Type="http://schemas.openxmlformats.org/officeDocument/2006/relationships/hyperlink" Target="#Accueil!D2"/><Relationship Id="rId23" Type="http://schemas.openxmlformats.org/officeDocument/2006/relationships/image" Target="../media/image18.png"/><Relationship Id="rId28" Type="http://schemas.openxmlformats.org/officeDocument/2006/relationships/image" Target="../media/image22.png"/><Relationship Id="rId10" Type="http://schemas.openxmlformats.org/officeDocument/2006/relationships/image" Target="../media/image41.png"/><Relationship Id="rId19" Type="http://schemas.openxmlformats.org/officeDocument/2006/relationships/image" Target="../media/image14.png"/><Relationship Id="rId31" Type="http://schemas.openxmlformats.org/officeDocument/2006/relationships/image" Target="../media/image24.png"/><Relationship Id="rId4" Type="http://schemas.openxmlformats.org/officeDocument/2006/relationships/image" Target="../media/image4.png"/><Relationship Id="rId9" Type="http://schemas.openxmlformats.org/officeDocument/2006/relationships/hyperlink" Target="#Dommages!A1"/><Relationship Id="rId14" Type="http://schemas.openxmlformats.org/officeDocument/2006/relationships/image" Target="../media/image11.svg"/><Relationship Id="rId22" Type="http://schemas.openxmlformats.org/officeDocument/2006/relationships/image" Target="../media/image17.svg"/><Relationship Id="rId27" Type="http://schemas.openxmlformats.org/officeDocument/2006/relationships/hyperlink" Target="#Fic_Risk!A1"/><Relationship Id="rId30" Type="http://schemas.openxmlformats.org/officeDocument/2006/relationships/hyperlink" Target="#Panorama!A1"/><Relationship Id="rId8" Type="http://schemas.openxmlformats.org/officeDocument/2006/relationships/image" Target="../media/image7.svg"/></Relationships>
</file>

<file path=xl/drawings/_rels/drawing8.xml.rels><?xml version="1.0" encoding="UTF-8" standalone="yes"?>
<Relationships xmlns="http://schemas.openxmlformats.org/package/2006/relationships"><Relationship Id="rId13" Type="http://schemas.openxmlformats.org/officeDocument/2006/relationships/image" Target="../media/image43.png"/><Relationship Id="rId18" Type="http://schemas.openxmlformats.org/officeDocument/2006/relationships/hyperlink" Target="#Ana_risk!C7"/><Relationship Id="rId26" Type="http://schemas.openxmlformats.org/officeDocument/2006/relationships/image" Target="../media/image21.svg"/><Relationship Id="rId3" Type="http://schemas.openxmlformats.org/officeDocument/2006/relationships/hyperlink" Target="#Actifs_support!A1"/><Relationship Id="rId21" Type="http://schemas.openxmlformats.org/officeDocument/2006/relationships/image" Target="../media/image16.png"/><Relationship Id="rId34" Type="http://schemas.openxmlformats.org/officeDocument/2006/relationships/hyperlink" Target="#Grilles_IP!A1"/><Relationship Id="rId7" Type="http://schemas.openxmlformats.org/officeDocument/2006/relationships/image" Target="../media/image6.png"/><Relationship Id="rId12" Type="http://schemas.openxmlformats.org/officeDocument/2006/relationships/hyperlink" Target="#Expo!A1"/><Relationship Id="rId17" Type="http://schemas.openxmlformats.org/officeDocument/2006/relationships/image" Target="../media/image13.svg"/><Relationship Id="rId25" Type="http://schemas.openxmlformats.org/officeDocument/2006/relationships/image" Target="../media/image20.png"/><Relationship Id="rId33" Type="http://schemas.openxmlformats.org/officeDocument/2006/relationships/hyperlink" Target="#Gravit&#233;!A1"/><Relationship Id="rId2" Type="http://schemas.openxmlformats.org/officeDocument/2006/relationships/image" Target="../media/image38.svg"/><Relationship Id="rId16" Type="http://schemas.openxmlformats.org/officeDocument/2006/relationships/image" Target="../media/image12.png"/><Relationship Id="rId20" Type="http://schemas.openxmlformats.org/officeDocument/2006/relationships/image" Target="../media/image15.svg"/><Relationship Id="rId29" Type="http://schemas.openxmlformats.org/officeDocument/2006/relationships/image" Target="../media/image23.svg"/><Relationship Id="rId1" Type="http://schemas.openxmlformats.org/officeDocument/2006/relationships/image" Target="../media/image33.png"/><Relationship Id="rId6" Type="http://schemas.openxmlformats.org/officeDocument/2006/relationships/hyperlink" Target="#Actifs_primaires!A1"/><Relationship Id="rId11" Type="http://schemas.openxmlformats.org/officeDocument/2006/relationships/image" Target="../media/image9.svg"/><Relationship Id="rId24" Type="http://schemas.openxmlformats.org/officeDocument/2006/relationships/image" Target="../media/image19.svg"/><Relationship Id="rId32" Type="http://schemas.openxmlformats.org/officeDocument/2006/relationships/image" Target="../media/image25.svg"/><Relationship Id="rId5" Type="http://schemas.openxmlformats.org/officeDocument/2006/relationships/image" Target="../media/image35.svg"/><Relationship Id="rId15" Type="http://schemas.openxmlformats.org/officeDocument/2006/relationships/hyperlink" Target="#Accueil!D2"/><Relationship Id="rId23" Type="http://schemas.openxmlformats.org/officeDocument/2006/relationships/image" Target="../media/image18.png"/><Relationship Id="rId28" Type="http://schemas.openxmlformats.org/officeDocument/2006/relationships/image" Target="../media/image22.png"/><Relationship Id="rId10" Type="http://schemas.openxmlformats.org/officeDocument/2006/relationships/image" Target="../media/image8.png"/><Relationship Id="rId19" Type="http://schemas.openxmlformats.org/officeDocument/2006/relationships/image" Target="../media/image14.png"/><Relationship Id="rId31" Type="http://schemas.openxmlformats.org/officeDocument/2006/relationships/image" Target="../media/image24.png"/><Relationship Id="rId4" Type="http://schemas.openxmlformats.org/officeDocument/2006/relationships/image" Target="../media/image4.png"/><Relationship Id="rId9" Type="http://schemas.openxmlformats.org/officeDocument/2006/relationships/hyperlink" Target="#Dommages!A1"/><Relationship Id="rId14" Type="http://schemas.openxmlformats.org/officeDocument/2006/relationships/image" Target="../media/image44.svg"/><Relationship Id="rId22" Type="http://schemas.openxmlformats.org/officeDocument/2006/relationships/image" Target="../media/image17.svg"/><Relationship Id="rId27" Type="http://schemas.openxmlformats.org/officeDocument/2006/relationships/hyperlink" Target="#Fic_Risk!A1"/><Relationship Id="rId30" Type="http://schemas.openxmlformats.org/officeDocument/2006/relationships/hyperlink" Target="#Panorama!A1"/><Relationship Id="rId8" Type="http://schemas.openxmlformats.org/officeDocument/2006/relationships/image" Target="../media/image7.svg"/></Relationships>
</file>

<file path=xl/drawings/_rels/drawing9.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Accueil!A1"/></Relationships>
</file>

<file path=xl/drawings/_rels/drawing10.xml.rels><?xml version="1.0" encoding="UTF-8" standalone="yes"?>
<Relationships xmlns="http://schemas.openxmlformats.org/package/2006/relationships"><Relationship Id="rId13" Type="http://schemas.openxmlformats.org/officeDocument/2006/relationships/image" Target="../media/image4.png"/><Relationship Id="rId18" Type="http://schemas.openxmlformats.org/officeDocument/2006/relationships/hyperlink" Target="#Dommages!A1"/><Relationship Id="rId26" Type="http://schemas.openxmlformats.org/officeDocument/2006/relationships/image" Target="../media/image13.svg"/><Relationship Id="rId39" Type="http://schemas.openxmlformats.org/officeDocument/2006/relationships/hyperlink" Target="#Panorama!A1"/><Relationship Id="rId21" Type="http://schemas.openxmlformats.org/officeDocument/2006/relationships/hyperlink" Target="#Expo!A1"/><Relationship Id="rId34" Type="http://schemas.openxmlformats.org/officeDocument/2006/relationships/image" Target="../media/image62.png"/><Relationship Id="rId42" Type="http://schemas.openxmlformats.org/officeDocument/2006/relationships/hyperlink" Target="#Gravit&#233;!A1"/><Relationship Id="rId7" Type="http://schemas.openxmlformats.org/officeDocument/2006/relationships/image" Target="../media/image51.png"/><Relationship Id="rId2" Type="http://schemas.openxmlformats.org/officeDocument/2006/relationships/image" Target="../media/image46.svg"/><Relationship Id="rId16" Type="http://schemas.openxmlformats.org/officeDocument/2006/relationships/image" Target="../media/image6.png"/><Relationship Id="rId29" Type="http://schemas.openxmlformats.org/officeDocument/2006/relationships/image" Target="../media/image57.svg"/><Relationship Id="rId1" Type="http://schemas.openxmlformats.org/officeDocument/2006/relationships/image" Target="../media/image45.png"/><Relationship Id="rId6" Type="http://schemas.openxmlformats.org/officeDocument/2006/relationships/image" Target="../media/image50.svg"/><Relationship Id="rId11" Type="http://schemas.openxmlformats.org/officeDocument/2006/relationships/image" Target="../media/image55.png"/><Relationship Id="rId24" Type="http://schemas.openxmlformats.org/officeDocument/2006/relationships/hyperlink" Target="#Accueil!D2"/><Relationship Id="rId32" Type="http://schemas.openxmlformats.org/officeDocument/2006/relationships/image" Target="../media/image60.png"/><Relationship Id="rId37" Type="http://schemas.openxmlformats.org/officeDocument/2006/relationships/image" Target="../media/image22.png"/><Relationship Id="rId40" Type="http://schemas.openxmlformats.org/officeDocument/2006/relationships/image" Target="../media/image24.png"/><Relationship Id="rId45" Type="http://schemas.openxmlformats.org/officeDocument/2006/relationships/image" Target="../media/image65.svg"/><Relationship Id="rId5" Type="http://schemas.openxmlformats.org/officeDocument/2006/relationships/image" Target="../media/image49.png"/><Relationship Id="rId15" Type="http://schemas.openxmlformats.org/officeDocument/2006/relationships/hyperlink" Target="#Actifs_primaires!A1"/><Relationship Id="rId23" Type="http://schemas.openxmlformats.org/officeDocument/2006/relationships/image" Target="../media/image11.svg"/><Relationship Id="rId28" Type="http://schemas.openxmlformats.org/officeDocument/2006/relationships/image" Target="../media/image56.png"/><Relationship Id="rId36" Type="http://schemas.openxmlformats.org/officeDocument/2006/relationships/hyperlink" Target="#Fic_Risk!A1"/><Relationship Id="rId10" Type="http://schemas.openxmlformats.org/officeDocument/2006/relationships/image" Target="../media/image54.svg"/><Relationship Id="rId19" Type="http://schemas.openxmlformats.org/officeDocument/2006/relationships/image" Target="../media/image8.png"/><Relationship Id="rId31" Type="http://schemas.openxmlformats.org/officeDocument/2006/relationships/image" Target="../media/image59.svg"/><Relationship Id="rId44" Type="http://schemas.openxmlformats.org/officeDocument/2006/relationships/image" Target="../media/image64.png"/><Relationship Id="rId4" Type="http://schemas.openxmlformats.org/officeDocument/2006/relationships/image" Target="../media/image48.svg"/><Relationship Id="rId9" Type="http://schemas.openxmlformats.org/officeDocument/2006/relationships/image" Target="../media/image53.png"/><Relationship Id="rId14" Type="http://schemas.openxmlformats.org/officeDocument/2006/relationships/image" Target="../media/image35.svg"/><Relationship Id="rId22" Type="http://schemas.openxmlformats.org/officeDocument/2006/relationships/image" Target="../media/image10.png"/><Relationship Id="rId27" Type="http://schemas.openxmlformats.org/officeDocument/2006/relationships/hyperlink" Target="#Ana_risk!C7"/><Relationship Id="rId30" Type="http://schemas.openxmlformats.org/officeDocument/2006/relationships/image" Target="../media/image58.png"/><Relationship Id="rId35" Type="http://schemas.openxmlformats.org/officeDocument/2006/relationships/image" Target="../media/image63.svg"/><Relationship Id="rId43" Type="http://schemas.openxmlformats.org/officeDocument/2006/relationships/hyperlink" Target="#Grilles_IP!A1"/><Relationship Id="rId8" Type="http://schemas.openxmlformats.org/officeDocument/2006/relationships/image" Target="../media/image52.svg"/><Relationship Id="rId3" Type="http://schemas.openxmlformats.org/officeDocument/2006/relationships/image" Target="../media/image47.png"/><Relationship Id="rId12" Type="http://schemas.openxmlformats.org/officeDocument/2006/relationships/hyperlink" Target="#Actifs_support!A1"/><Relationship Id="rId17" Type="http://schemas.openxmlformats.org/officeDocument/2006/relationships/image" Target="../media/image7.svg"/><Relationship Id="rId25" Type="http://schemas.openxmlformats.org/officeDocument/2006/relationships/image" Target="../media/image12.png"/><Relationship Id="rId33" Type="http://schemas.openxmlformats.org/officeDocument/2006/relationships/image" Target="../media/image61.svg"/><Relationship Id="rId38" Type="http://schemas.openxmlformats.org/officeDocument/2006/relationships/image" Target="../media/image23.svg"/><Relationship Id="rId20" Type="http://schemas.openxmlformats.org/officeDocument/2006/relationships/image" Target="../media/image9.svg"/><Relationship Id="rId41" Type="http://schemas.openxmlformats.org/officeDocument/2006/relationships/image" Target="../media/image25.svg"/></Relationships>
</file>

<file path=xl/drawings/_rels/drawing11.xml.rels><?xml version="1.0" encoding="UTF-8" standalone="yes"?>
<Relationships xmlns="http://schemas.openxmlformats.org/package/2006/relationships"><Relationship Id="rId13" Type="http://schemas.openxmlformats.org/officeDocument/2006/relationships/image" Target="../media/image6.png"/><Relationship Id="rId18" Type="http://schemas.openxmlformats.org/officeDocument/2006/relationships/hyperlink" Target="#Expo!A1"/><Relationship Id="rId26" Type="http://schemas.openxmlformats.org/officeDocument/2006/relationships/image" Target="../media/image67.svg"/><Relationship Id="rId39" Type="http://schemas.openxmlformats.org/officeDocument/2006/relationships/hyperlink" Target="#Gravit&#233;!A1"/><Relationship Id="rId21" Type="http://schemas.openxmlformats.org/officeDocument/2006/relationships/hyperlink" Target="#Accueil!D2"/><Relationship Id="rId34" Type="http://schemas.openxmlformats.org/officeDocument/2006/relationships/image" Target="../media/image22.png"/><Relationship Id="rId7" Type="http://schemas.openxmlformats.org/officeDocument/2006/relationships/image" Target="../media/image53.png"/><Relationship Id="rId12" Type="http://schemas.openxmlformats.org/officeDocument/2006/relationships/hyperlink" Target="#Actifs_primaires!A1"/><Relationship Id="rId17" Type="http://schemas.openxmlformats.org/officeDocument/2006/relationships/image" Target="../media/image9.svg"/><Relationship Id="rId25" Type="http://schemas.openxmlformats.org/officeDocument/2006/relationships/image" Target="../media/image66.png"/><Relationship Id="rId33" Type="http://schemas.openxmlformats.org/officeDocument/2006/relationships/hyperlink" Target="#Fic_Risk!A1"/><Relationship Id="rId38" Type="http://schemas.openxmlformats.org/officeDocument/2006/relationships/image" Target="../media/image25.svg"/><Relationship Id="rId2" Type="http://schemas.openxmlformats.org/officeDocument/2006/relationships/image" Target="../media/image48.svg"/><Relationship Id="rId16" Type="http://schemas.openxmlformats.org/officeDocument/2006/relationships/image" Target="../media/image8.png"/><Relationship Id="rId20" Type="http://schemas.openxmlformats.org/officeDocument/2006/relationships/image" Target="../media/image11.svg"/><Relationship Id="rId29" Type="http://schemas.openxmlformats.org/officeDocument/2006/relationships/image" Target="../media/image18.png"/><Relationship Id="rId1" Type="http://schemas.openxmlformats.org/officeDocument/2006/relationships/image" Target="../media/image47.png"/><Relationship Id="rId6" Type="http://schemas.openxmlformats.org/officeDocument/2006/relationships/image" Target="../media/image52.svg"/><Relationship Id="rId11" Type="http://schemas.openxmlformats.org/officeDocument/2006/relationships/image" Target="../media/image35.svg"/><Relationship Id="rId24" Type="http://schemas.openxmlformats.org/officeDocument/2006/relationships/hyperlink" Target="#Ana_risk!C7"/><Relationship Id="rId32" Type="http://schemas.openxmlformats.org/officeDocument/2006/relationships/image" Target="../media/image71.svg"/><Relationship Id="rId37" Type="http://schemas.openxmlformats.org/officeDocument/2006/relationships/image" Target="../media/image24.png"/><Relationship Id="rId40" Type="http://schemas.openxmlformats.org/officeDocument/2006/relationships/hyperlink" Target="#Grilles_IP!A1"/><Relationship Id="rId5" Type="http://schemas.openxmlformats.org/officeDocument/2006/relationships/image" Target="../media/image51.png"/><Relationship Id="rId15" Type="http://schemas.openxmlformats.org/officeDocument/2006/relationships/hyperlink" Target="#Dommages!A1"/><Relationship Id="rId23" Type="http://schemas.openxmlformats.org/officeDocument/2006/relationships/image" Target="../media/image13.svg"/><Relationship Id="rId28" Type="http://schemas.openxmlformats.org/officeDocument/2006/relationships/image" Target="../media/image68.svg"/><Relationship Id="rId36" Type="http://schemas.openxmlformats.org/officeDocument/2006/relationships/hyperlink" Target="#Panorama!A1"/><Relationship Id="rId10" Type="http://schemas.openxmlformats.org/officeDocument/2006/relationships/image" Target="../media/image4.png"/><Relationship Id="rId19" Type="http://schemas.openxmlformats.org/officeDocument/2006/relationships/image" Target="../media/image10.png"/><Relationship Id="rId31" Type="http://schemas.openxmlformats.org/officeDocument/2006/relationships/image" Target="../media/image70.png"/><Relationship Id="rId4" Type="http://schemas.openxmlformats.org/officeDocument/2006/relationships/image" Target="../media/image50.svg"/><Relationship Id="rId9" Type="http://schemas.openxmlformats.org/officeDocument/2006/relationships/hyperlink" Target="#Actifs_support!A1"/><Relationship Id="rId14" Type="http://schemas.openxmlformats.org/officeDocument/2006/relationships/image" Target="../media/image7.svg"/><Relationship Id="rId22" Type="http://schemas.openxmlformats.org/officeDocument/2006/relationships/image" Target="../media/image12.png"/><Relationship Id="rId27" Type="http://schemas.openxmlformats.org/officeDocument/2006/relationships/image" Target="../media/image16.png"/><Relationship Id="rId30" Type="http://schemas.openxmlformats.org/officeDocument/2006/relationships/image" Target="../media/image69.svg"/><Relationship Id="rId35" Type="http://schemas.openxmlformats.org/officeDocument/2006/relationships/image" Target="../media/image23.svg"/><Relationship Id="rId8" Type="http://schemas.openxmlformats.org/officeDocument/2006/relationships/image" Target="../media/image54.svg"/><Relationship Id="rId3" Type="http://schemas.openxmlformats.org/officeDocument/2006/relationships/image" Target="../media/image49.png"/></Relationships>
</file>

<file path=xl/drawings/_rels/drawing12.xml.rels><?xml version="1.0" encoding="UTF-8" standalone="yes"?>
<Relationships xmlns="http://schemas.openxmlformats.org/package/2006/relationships"><Relationship Id="rId13" Type="http://schemas.openxmlformats.org/officeDocument/2006/relationships/image" Target="../media/image80.png"/><Relationship Id="rId18" Type="http://schemas.openxmlformats.org/officeDocument/2006/relationships/hyperlink" Target="#Actifs_primaires!A1"/><Relationship Id="rId26" Type="http://schemas.openxmlformats.org/officeDocument/2006/relationships/image" Target="../media/image11.svg"/><Relationship Id="rId39" Type="http://schemas.openxmlformats.org/officeDocument/2006/relationships/image" Target="../media/image82.png"/><Relationship Id="rId21" Type="http://schemas.openxmlformats.org/officeDocument/2006/relationships/hyperlink" Target="#Dommages!A1"/><Relationship Id="rId34" Type="http://schemas.openxmlformats.org/officeDocument/2006/relationships/image" Target="../media/image18.png"/><Relationship Id="rId42" Type="http://schemas.openxmlformats.org/officeDocument/2006/relationships/image" Target="../media/image24.png"/><Relationship Id="rId7" Type="http://schemas.openxmlformats.org/officeDocument/2006/relationships/image" Target="../media/image74.png"/><Relationship Id="rId2" Type="http://schemas.openxmlformats.org/officeDocument/2006/relationships/image" Target="../media/image38.svg"/><Relationship Id="rId16" Type="http://schemas.openxmlformats.org/officeDocument/2006/relationships/image" Target="../media/image4.png"/><Relationship Id="rId29" Type="http://schemas.openxmlformats.org/officeDocument/2006/relationships/image" Target="../media/image13.svg"/><Relationship Id="rId1" Type="http://schemas.openxmlformats.org/officeDocument/2006/relationships/image" Target="../media/image33.png"/><Relationship Id="rId6" Type="http://schemas.openxmlformats.org/officeDocument/2006/relationships/image" Target="../media/image73.svg"/><Relationship Id="rId11" Type="http://schemas.openxmlformats.org/officeDocument/2006/relationships/image" Target="../media/image78.png"/><Relationship Id="rId24" Type="http://schemas.openxmlformats.org/officeDocument/2006/relationships/hyperlink" Target="#Expo!A1"/><Relationship Id="rId32" Type="http://schemas.openxmlformats.org/officeDocument/2006/relationships/image" Target="../media/image16.png"/><Relationship Id="rId37" Type="http://schemas.openxmlformats.org/officeDocument/2006/relationships/image" Target="../media/image21.svg"/><Relationship Id="rId40" Type="http://schemas.openxmlformats.org/officeDocument/2006/relationships/image" Target="../media/image83.svg"/><Relationship Id="rId45" Type="http://schemas.openxmlformats.org/officeDocument/2006/relationships/hyperlink" Target="#Grilles_IP!A1"/><Relationship Id="rId5" Type="http://schemas.openxmlformats.org/officeDocument/2006/relationships/image" Target="../media/image72.png"/><Relationship Id="rId15" Type="http://schemas.openxmlformats.org/officeDocument/2006/relationships/hyperlink" Target="#Actifs_support!A1"/><Relationship Id="rId23" Type="http://schemas.openxmlformats.org/officeDocument/2006/relationships/image" Target="../media/image9.svg"/><Relationship Id="rId28" Type="http://schemas.openxmlformats.org/officeDocument/2006/relationships/image" Target="../media/image12.png"/><Relationship Id="rId36" Type="http://schemas.openxmlformats.org/officeDocument/2006/relationships/image" Target="../media/image20.png"/><Relationship Id="rId10" Type="http://schemas.openxmlformats.org/officeDocument/2006/relationships/image" Target="../media/image77.svg"/><Relationship Id="rId19" Type="http://schemas.openxmlformats.org/officeDocument/2006/relationships/image" Target="../media/image6.png"/><Relationship Id="rId31" Type="http://schemas.openxmlformats.org/officeDocument/2006/relationships/image" Target="../media/image15.svg"/><Relationship Id="rId44" Type="http://schemas.openxmlformats.org/officeDocument/2006/relationships/hyperlink" Target="#Gravit&#233;!A1"/><Relationship Id="rId4" Type="http://schemas.openxmlformats.org/officeDocument/2006/relationships/hyperlink" Target="#Ana_risk!C7"/><Relationship Id="rId9" Type="http://schemas.openxmlformats.org/officeDocument/2006/relationships/image" Target="../media/image76.png"/><Relationship Id="rId14" Type="http://schemas.openxmlformats.org/officeDocument/2006/relationships/image" Target="../media/image81.svg"/><Relationship Id="rId22" Type="http://schemas.openxmlformats.org/officeDocument/2006/relationships/image" Target="../media/image8.png"/><Relationship Id="rId27" Type="http://schemas.openxmlformats.org/officeDocument/2006/relationships/hyperlink" Target="#Accueil!D2"/><Relationship Id="rId30" Type="http://schemas.openxmlformats.org/officeDocument/2006/relationships/image" Target="../media/image14.png"/><Relationship Id="rId35" Type="http://schemas.openxmlformats.org/officeDocument/2006/relationships/image" Target="../media/image19.svg"/><Relationship Id="rId43" Type="http://schemas.openxmlformats.org/officeDocument/2006/relationships/image" Target="../media/image25.svg"/><Relationship Id="rId8" Type="http://schemas.openxmlformats.org/officeDocument/2006/relationships/image" Target="../media/image75.svg"/><Relationship Id="rId3" Type="http://schemas.openxmlformats.org/officeDocument/2006/relationships/hyperlink" Target="#Ana_risk!A1"/><Relationship Id="rId12" Type="http://schemas.openxmlformats.org/officeDocument/2006/relationships/image" Target="../media/image79.svg"/><Relationship Id="rId17" Type="http://schemas.openxmlformats.org/officeDocument/2006/relationships/image" Target="../media/image35.svg"/><Relationship Id="rId25" Type="http://schemas.openxmlformats.org/officeDocument/2006/relationships/image" Target="../media/image10.png"/><Relationship Id="rId33" Type="http://schemas.openxmlformats.org/officeDocument/2006/relationships/image" Target="../media/image17.svg"/><Relationship Id="rId38" Type="http://schemas.openxmlformats.org/officeDocument/2006/relationships/hyperlink" Target="#Fic_Risk!A1"/><Relationship Id="rId20" Type="http://schemas.openxmlformats.org/officeDocument/2006/relationships/image" Target="../media/image7.svg"/><Relationship Id="rId41" Type="http://schemas.openxmlformats.org/officeDocument/2006/relationships/hyperlink" Target="#Panorama!A1"/></Relationships>
</file>

<file path=xl/drawings/_rels/drawing13.xml.rels><?xml version="1.0" encoding="UTF-8" standalone="yes"?>
<Relationships xmlns="http://schemas.openxmlformats.org/package/2006/relationships"><Relationship Id="rId13" Type="http://schemas.openxmlformats.org/officeDocument/2006/relationships/image" Target="../media/image10.png"/><Relationship Id="rId18" Type="http://schemas.openxmlformats.org/officeDocument/2006/relationships/hyperlink" Target="#Ana_risk!C7"/><Relationship Id="rId26" Type="http://schemas.openxmlformats.org/officeDocument/2006/relationships/image" Target="../media/image21.svg"/><Relationship Id="rId3" Type="http://schemas.openxmlformats.org/officeDocument/2006/relationships/hyperlink" Target="#Actifs_support!A1"/><Relationship Id="rId21" Type="http://schemas.openxmlformats.org/officeDocument/2006/relationships/image" Target="../media/image16.png"/><Relationship Id="rId34" Type="http://schemas.openxmlformats.org/officeDocument/2006/relationships/hyperlink" Target="#Grilles_IP!A1"/><Relationship Id="rId7" Type="http://schemas.openxmlformats.org/officeDocument/2006/relationships/image" Target="../media/image6.png"/><Relationship Id="rId12" Type="http://schemas.openxmlformats.org/officeDocument/2006/relationships/hyperlink" Target="#Expo!A1"/><Relationship Id="rId17" Type="http://schemas.openxmlformats.org/officeDocument/2006/relationships/image" Target="../media/image13.svg"/><Relationship Id="rId25" Type="http://schemas.openxmlformats.org/officeDocument/2006/relationships/image" Target="../media/image20.png"/><Relationship Id="rId33" Type="http://schemas.openxmlformats.org/officeDocument/2006/relationships/hyperlink" Target="#Gravit&#233;!A1"/><Relationship Id="rId2" Type="http://schemas.openxmlformats.org/officeDocument/2006/relationships/image" Target="../media/image38.svg"/><Relationship Id="rId16" Type="http://schemas.openxmlformats.org/officeDocument/2006/relationships/image" Target="../media/image12.png"/><Relationship Id="rId20" Type="http://schemas.openxmlformats.org/officeDocument/2006/relationships/image" Target="../media/image15.svg"/><Relationship Id="rId29" Type="http://schemas.openxmlformats.org/officeDocument/2006/relationships/image" Target="../media/image23.svg"/><Relationship Id="rId1" Type="http://schemas.openxmlformats.org/officeDocument/2006/relationships/image" Target="../media/image33.png"/><Relationship Id="rId6" Type="http://schemas.openxmlformats.org/officeDocument/2006/relationships/hyperlink" Target="#Actifs_primaires!A1"/><Relationship Id="rId11" Type="http://schemas.openxmlformats.org/officeDocument/2006/relationships/image" Target="../media/image9.svg"/><Relationship Id="rId24" Type="http://schemas.openxmlformats.org/officeDocument/2006/relationships/image" Target="../media/image19.svg"/><Relationship Id="rId32" Type="http://schemas.openxmlformats.org/officeDocument/2006/relationships/image" Target="../media/image85.svg"/><Relationship Id="rId5" Type="http://schemas.openxmlformats.org/officeDocument/2006/relationships/image" Target="../media/image35.svg"/><Relationship Id="rId15" Type="http://schemas.openxmlformats.org/officeDocument/2006/relationships/hyperlink" Target="#Accueil!D2"/><Relationship Id="rId23" Type="http://schemas.openxmlformats.org/officeDocument/2006/relationships/image" Target="../media/image18.png"/><Relationship Id="rId28" Type="http://schemas.openxmlformats.org/officeDocument/2006/relationships/image" Target="../media/image22.png"/><Relationship Id="rId10" Type="http://schemas.openxmlformats.org/officeDocument/2006/relationships/image" Target="../media/image8.png"/><Relationship Id="rId19" Type="http://schemas.openxmlformats.org/officeDocument/2006/relationships/image" Target="../media/image14.png"/><Relationship Id="rId31" Type="http://schemas.openxmlformats.org/officeDocument/2006/relationships/image" Target="../media/image84.png"/><Relationship Id="rId4" Type="http://schemas.openxmlformats.org/officeDocument/2006/relationships/image" Target="../media/image4.png"/><Relationship Id="rId9" Type="http://schemas.openxmlformats.org/officeDocument/2006/relationships/hyperlink" Target="#Dommages!A1"/><Relationship Id="rId14" Type="http://schemas.openxmlformats.org/officeDocument/2006/relationships/image" Target="../media/image11.svg"/><Relationship Id="rId22" Type="http://schemas.openxmlformats.org/officeDocument/2006/relationships/image" Target="../media/image17.svg"/><Relationship Id="rId27" Type="http://schemas.openxmlformats.org/officeDocument/2006/relationships/hyperlink" Target="#Fic_Risk!A1"/><Relationship Id="rId30" Type="http://schemas.openxmlformats.org/officeDocument/2006/relationships/hyperlink" Target="#Panorama!A1"/><Relationship Id="rId8" Type="http://schemas.openxmlformats.org/officeDocument/2006/relationships/image" Target="../media/image7.svg"/></Relationships>
</file>

<file path=xl/drawings/_rels/drawing1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Accueil!D2"/><Relationship Id="rId18" Type="http://schemas.openxmlformats.org/officeDocument/2006/relationships/image" Target="../media/image15.svg"/><Relationship Id="rId26" Type="http://schemas.openxmlformats.org/officeDocument/2006/relationships/image" Target="../media/image22.png"/><Relationship Id="rId3" Type="http://schemas.openxmlformats.org/officeDocument/2006/relationships/image" Target="../media/image35.svg"/><Relationship Id="rId21" Type="http://schemas.openxmlformats.org/officeDocument/2006/relationships/image" Target="../media/image18.png"/><Relationship Id="rId7" Type="http://schemas.openxmlformats.org/officeDocument/2006/relationships/hyperlink" Target="#Dommages!A1"/><Relationship Id="rId12" Type="http://schemas.openxmlformats.org/officeDocument/2006/relationships/image" Target="../media/image11.svg"/><Relationship Id="rId17" Type="http://schemas.openxmlformats.org/officeDocument/2006/relationships/image" Target="../media/image14.png"/><Relationship Id="rId25" Type="http://schemas.openxmlformats.org/officeDocument/2006/relationships/hyperlink" Target="#Fic_Risk!A1"/><Relationship Id="rId2" Type="http://schemas.openxmlformats.org/officeDocument/2006/relationships/image" Target="../media/image4.png"/><Relationship Id="rId16" Type="http://schemas.openxmlformats.org/officeDocument/2006/relationships/hyperlink" Target="#Ana_risk!C7"/><Relationship Id="rId20" Type="http://schemas.openxmlformats.org/officeDocument/2006/relationships/image" Target="../media/image17.svg"/><Relationship Id="rId29" Type="http://schemas.openxmlformats.org/officeDocument/2006/relationships/image" Target="../media/image24.png"/><Relationship Id="rId1" Type="http://schemas.openxmlformats.org/officeDocument/2006/relationships/hyperlink" Target="#Actifs_support!A1"/><Relationship Id="rId6" Type="http://schemas.openxmlformats.org/officeDocument/2006/relationships/image" Target="../media/image7.svg"/><Relationship Id="rId11" Type="http://schemas.openxmlformats.org/officeDocument/2006/relationships/image" Target="../media/image10.png"/><Relationship Id="rId24" Type="http://schemas.openxmlformats.org/officeDocument/2006/relationships/image" Target="../media/image21.svg"/><Relationship Id="rId32" Type="http://schemas.openxmlformats.org/officeDocument/2006/relationships/hyperlink" Target="#Grilles_IP!A1"/><Relationship Id="rId5" Type="http://schemas.openxmlformats.org/officeDocument/2006/relationships/image" Target="../media/image6.png"/><Relationship Id="rId15" Type="http://schemas.openxmlformats.org/officeDocument/2006/relationships/image" Target="../media/image13.svg"/><Relationship Id="rId23" Type="http://schemas.openxmlformats.org/officeDocument/2006/relationships/image" Target="../media/image20.png"/><Relationship Id="rId28" Type="http://schemas.openxmlformats.org/officeDocument/2006/relationships/hyperlink" Target="#Panorama!A1"/><Relationship Id="rId10" Type="http://schemas.openxmlformats.org/officeDocument/2006/relationships/hyperlink" Target="#Expo!A1"/><Relationship Id="rId19" Type="http://schemas.openxmlformats.org/officeDocument/2006/relationships/image" Target="../media/image16.png"/><Relationship Id="rId31" Type="http://schemas.openxmlformats.org/officeDocument/2006/relationships/hyperlink" Target="#Gravit&#233;!A1"/><Relationship Id="rId4" Type="http://schemas.openxmlformats.org/officeDocument/2006/relationships/hyperlink" Target="#Actifs_primaires!A1"/><Relationship Id="rId9" Type="http://schemas.openxmlformats.org/officeDocument/2006/relationships/image" Target="../media/image9.svg"/><Relationship Id="rId14" Type="http://schemas.openxmlformats.org/officeDocument/2006/relationships/image" Target="../media/image12.png"/><Relationship Id="rId22" Type="http://schemas.openxmlformats.org/officeDocument/2006/relationships/image" Target="../media/image19.svg"/><Relationship Id="rId27" Type="http://schemas.openxmlformats.org/officeDocument/2006/relationships/image" Target="../media/image23.svg"/><Relationship Id="rId30" Type="http://schemas.openxmlformats.org/officeDocument/2006/relationships/image" Target="../media/image25.svg"/></Relationships>
</file>

<file path=xl/drawings/_rels/drawing15.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Accueil!D2"/><Relationship Id="rId18" Type="http://schemas.openxmlformats.org/officeDocument/2006/relationships/image" Target="../media/image15.svg"/><Relationship Id="rId26" Type="http://schemas.openxmlformats.org/officeDocument/2006/relationships/image" Target="../media/image22.png"/><Relationship Id="rId3" Type="http://schemas.openxmlformats.org/officeDocument/2006/relationships/image" Target="../media/image35.svg"/><Relationship Id="rId21" Type="http://schemas.openxmlformats.org/officeDocument/2006/relationships/image" Target="../media/image18.png"/><Relationship Id="rId7" Type="http://schemas.openxmlformats.org/officeDocument/2006/relationships/hyperlink" Target="#Dommages!A1"/><Relationship Id="rId12" Type="http://schemas.openxmlformats.org/officeDocument/2006/relationships/image" Target="../media/image11.svg"/><Relationship Id="rId17" Type="http://schemas.openxmlformats.org/officeDocument/2006/relationships/image" Target="../media/image14.png"/><Relationship Id="rId25" Type="http://schemas.openxmlformats.org/officeDocument/2006/relationships/hyperlink" Target="#Fic_Risk!A1"/><Relationship Id="rId2" Type="http://schemas.openxmlformats.org/officeDocument/2006/relationships/image" Target="../media/image4.png"/><Relationship Id="rId16" Type="http://schemas.openxmlformats.org/officeDocument/2006/relationships/hyperlink" Target="#Ana_risk!C7"/><Relationship Id="rId20" Type="http://schemas.openxmlformats.org/officeDocument/2006/relationships/image" Target="../media/image17.svg"/><Relationship Id="rId29" Type="http://schemas.openxmlformats.org/officeDocument/2006/relationships/image" Target="../media/image24.png"/><Relationship Id="rId1" Type="http://schemas.openxmlformats.org/officeDocument/2006/relationships/hyperlink" Target="#Actifs_support!A1"/><Relationship Id="rId6" Type="http://schemas.openxmlformats.org/officeDocument/2006/relationships/image" Target="../media/image7.svg"/><Relationship Id="rId11" Type="http://schemas.openxmlformats.org/officeDocument/2006/relationships/image" Target="../media/image10.png"/><Relationship Id="rId24" Type="http://schemas.openxmlformats.org/officeDocument/2006/relationships/image" Target="../media/image21.svg"/><Relationship Id="rId32" Type="http://schemas.openxmlformats.org/officeDocument/2006/relationships/hyperlink" Target="#Grilles_IP!A1"/><Relationship Id="rId5" Type="http://schemas.openxmlformats.org/officeDocument/2006/relationships/image" Target="../media/image6.png"/><Relationship Id="rId15" Type="http://schemas.openxmlformats.org/officeDocument/2006/relationships/image" Target="../media/image13.svg"/><Relationship Id="rId23" Type="http://schemas.openxmlformats.org/officeDocument/2006/relationships/image" Target="../media/image20.png"/><Relationship Id="rId28" Type="http://schemas.openxmlformats.org/officeDocument/2006/relationships/hyperlink" Target="#Panorama!A1"/><Relationship Id="rId10" Type="http://schemas.openxmlformats.org/officeDocument/2006/relationships/hyperlink" Target="#Expo!A1"/><Relationship Id="rId19" Type="http://schemas.openxmlformats.org/officeDocument/2006/relationships/image" Target="../media/image16.png"/><Relationship Id="rId31" Type="http://schemas.openxmlformats.org/officeDocument/2006/relationships/hyperlink" Target="#Gravit&#233;!A1"/><Relationship Id="rId4" Type="http://schemas.openxmlformats.org/officeDocument/2006/relationships/hyperlink" Target="#Actifs_primaires!A1"/><Relationship Id="rId9" Type="http://schemas.openxmlformats.org/officeDocument/2006/relationships/image" Target="../media/image9.svg"/><Relationship Id="rId14" Type="http://schemas.openxmlformats.org/officeDocument/2006/relationships/image" Target="../media/image12.png"/><Relationship Id="rId22" Type="http://schemas.openxmlformats.org/officeDocument/2006/relationships/image" Target="../media/image19.svg"/><Relationship Id="rId27" Type="http://schemas.openxmlformats.org/officeDocument/2006/relationships/image" Target="../media/image23.svg"/><Relationship Id="rId30" Type="http://schemas.openxmlformats.org/officeDocument/2006/relationships/image" Target="../media/image25.svg"/></Relationships>
</file>

<file path=xl/drawings/drawing1.xml><?xml version="1.0" encoding="utf-8"?>
<xdr:wsDr xmlns:xdr="http://schemas.openxmlformats.org/drawingml/2006/spreadsheetDrawing" xmlns:a="http://schemas.openxmlformats.org/drawingml/2006/main">
  <xdr:twoCellAnchor>
    <xdr:from>
      <xdr:col>0</xdr:col>
      <xdr:colOff>1143645</xdr:colOff>
      <xdr:row>0</xdr:row>
      <xdr:rowOff>343044</xdr:rowOff>
    </xdr:from>
    <xdr:to>
      <xdr:col>0</xdr:col>
      <xdr:colOff>2990158</xdr:colOff>
      <xdr:row>0</xdr:row>
      <xdr:rowOff>665890</xdr:rowOff>
    </xdr:to>
    <xdr:sp macro="[0]!AfficherOnglets" textlink="">
      <xdr:nvSpPr>
        <xdr:cNvPr id="2" name="Rectangle : coins arrondis 1">
          <a:extLst>
            <a:ext uri="{FF2B5EF4-FFF2-40B4-BE49-F238E27FC236}">
              <a16:creationId xmlns:a16="http://schemas.microsoft.com/office/drawing/2014/main" id="{00000000-0008-0000-0100-000002000000}"/>
            </a:ext>
          </a:extLst>
        </xdr:cNvPr>
        <xdr:cNvSpPr/>
      </xdr:nvSpPr>
      <xdr:spPr bwMode="auto">
        <a:xfrm>
          <a:off x="1143645" y="343044"/>
          <a:ext cx="1846513" cy="322846"/>
        </a:xfrm>
        <a:prstGeom prst="roundRect">
          <a:avLst>
            <a:gd name="adj" fmla="val 29487"/>
          </a:avLst>
        </a:prstGeom>
        <a:ln>
          <a:headEnd type="none" w="med" len="med"/>
          <a:tailEnd type="none" w="med" len="med"/>
        </a:ln>
      </xdr:spPr>
      <xdr:style>
        <a:lnRef idx="0">
          <a:schemeClr val="accent3"/>
        </a:lnRef>
        <a:fillRef idx="3">
          <a:schemeClr val="accent3"/>
        </a:fillRef>
        <a:effectRef idx="3">
          <a:schemeClr val="accent3"/>
        </a:effectRef>
        <a:fontRef idx="minor">
          <a:schemeClr val="lt1"/>
        </a:fontRef>
      </xdr:style>
      <xdr:txBody>
        <a:bodyPr vertOverflow="clip" wrap="square" lIns="18288" tIns="0" rIns="0" bIns="0" rtlCol="0" anchor="ctr" upright="1"/>
        <a:lstStyle/>
        <a:p>
          <a:pPr lvl="0" algn="ctr"/>
          <a:r>
            <a:rPr lang="fr-FR" sz="1100"/>
            <a:t> </a:t>
          </a:r>
          <a:r>
            <a:rPr lang="fr-FR" sz="1100">
              <a:solidFill>
                <a:sysClr val="windowText" lastClr="000000"/>
              </a:solidFill>
            </a:rPr>
            <a:t>Afficher la barre d'onglets</a:t>
          </a:r>
        </a:p>
      </xdr:txBody>
    </xdr:sp>
    <xdr:clientData/>
  </xdr:twoCellAnchor>
  <xdr:twoCellAnchor>
    <xdr:from>
      <xdr:col>0</xdr:col>
      <xdr:colOff>1143645</xdr:colOff>
      <xdr:row>0</xdr:row>
      <xdr:rowOff>766154</xdr:rowOff>
    </xdr:from>
    <xdr:to>
      <xdr:col>0</xdr:col>
      <xdr:colOff>2990158</xdr:colOff>
      <xdr:row>0</xdr:row>
      <xdr:rowOff>1089002</xdr:rowOff>
    </xdr:to>
    <xdr:sp macro="[0]!MasquerOnglets" textlink="">
      <xdr:nvSpPr>
        <xdr:cNvPr id="3" name="Rectangle : coins arrondis 2">
          <a:extLst>
            <a:ext uri="{FF2B5EF4-FFF2-40B4-BE49-F238E27FC236}">
              <a16:creationId xmlns:a16="http://schemas.microsoft.com/office/drawing/2014/main" id="{00000000-0008-0000-0100-000003000000}"/>
            </a:ext>
          </a:extLst>
        </xdr:cNvPr>
        <xdr:cNvSpPr/>
      </xdr:nvSpPr>
      <xdr:spPr bwMode="auto">
        <a:xfrm>
          <a:off x="1143645" y="766154"/>
          <a:ext cx="1846513" cy="322848"/>
        </a:xfrm>
        <a:prstGeom prst="roundRect">
          <a:avLst>
            <a:gd name="adj" fmla="val 29487"/>
          </a:avLst>
        </a:prstGeom>
        <a:ln>
          <a:headEnd type="none" w="med" len="med"/>
          <a:tailEnd type="none" w="med" len="med"/>
        </a:ln>
      </xdr:spPr>
      <xdr:style>
        <a:lnRef idx="0">
          <a:schemeClr val="accent2"/>
        </a:lnRef>
        <a:fillRef idx="3">
          <a:schemeClr val="accent2"/>
        </a:fillRef>
        <a:effectRef idx="3">
          <a:schemeClr val="accent2"/>
        </a:effectRef>
        <a:fontRef idx="minor">
          <a:schemeClr val="lt1"/>
        </a:fontRef>
      </xdr:style>
      <xdr:txBody>
        <a:bodyPr vertOverflow="clip" wrap="square" lIns="18288" tIns="0" rIns="0" bIns="0" rtlCol="0" anchor="ctr" upright="1"/>
        <a:lstStyle/>
        <a:p>
          <a:pPr lvl="0" algn="ctr"/>
          <a:r>
            <a:rPr lang="fr-FR" sz="1100"/>
            <a:t> Masquer la barre d'onglets</a:t>
          </a:r>
        </a:p>
      </xdr:txBody>
    </xdr:sp>
    <xdr:clientData/>
  </xdr:twoCellAnchor>
  <xdr:twoCellAnchor editAs="oneCell">
    <xdr:from>
      <xdr:col>0</xdr:col>
      <xdr:colOff>0</xdr:colOff>
      <xdr:row>0</xdr:row>
      <xdr:rowOff>0</xdr:rowOff>
    </xdr:from>
    <xdr:to>
      <xdr:col>0</xdr:col>
      <xdr:colOff>371308</xdr:colOff>
      <xdr:row>0</xdr:row>
      <xdr:rowOff>371308</xdr:rowOff>
    </xdr:to>
    <xdr:pic>
      <xdr:nvPicPr>
        <xdr:cNvPr id="4" name="Graphique 3" descr="Logement avec un remplissage uni">
          <a:hlinkClick xmlns:r="http://schemas.openxmlformats.org/officeDocument/2006/relationships" r:id="rId1" tooltip="Accueil"/>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371308" cy="371308"/>
        </a:xfrm>
        <a:prstGeom prst="rect">
          <a:avLst/>
        </a:prstGeom>
        <a:effectLst>
          <a:outerShdw blurRad="50800" dist="38100" dir="2700000" algn="tl"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365523</xdr:colOff>
      <xdr:row>0</xdr:row>
      <xdr:rowOff>184547</xdr:rowOff>
    </xdr:from>
    <xdr:to>
      <xdr:col>1</xdr:col>
      <xdr:colOff>1776413</xdr:colOff>
      <xdr:row>0</xdr:row>
      <xdr:rowOff>934641</xdr:rowOff>
    </xdr:to>
    <xdr:pic>
      <xdr:nvPicPr>
        <xdr:cNvPr id="5" name="Image 4">
          <a:hlinkClick xmlns:r="http://schemas.openxmlformats.org/officeDocument/2006/relationships" r:id="rId1"/>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4102" t="14094" r="12480" b="14992"/>
        <a:stretch/>
      </xdr:blipFill>
      <xdr:spPr>
        <a:xfrm>
          <a:off x="641748" y="184547"/>
          <a:ext cx="1410890" cy="750094"/>
        </a:xfrm>
        <a:prstGeom prst="rect">
          <a:avLst/>
        </a:prstGeom>
      </xdr:spPr>
    </xdr:pic>
    <xdr:clientData/>
  </xdr:twoCellAnchor>
  <xdr:twoCellAnchor>
    <xdr:from>
      <xdr:col>3</xdr:col>
      <xdr:colOff>476711</xdr:colOff>
      <xdr:row>4</xdr:row>
      <xdr:rowOff>157513</xdr:rowOff>
    </xdr:from>
    <xdr:to>
      <xdr:col>3</xdr:col>
      <xdr:colOff>833056</xdr:colOff>
      <xdr:row>4</xdr:row>
      <xdr:rowOff>515132</xdr:rowOff>
    </xdr:to>
    <xdr:pic>
      <xdr:nvPicPr>
        <xdr:cNvPr id="26" name="Graphique 25" descr="Serveur avec un remplissage uni">
          <a:hlinkClick xmlns:r="http://schemas.openxmlformats.org/officeDocument/2006/relationships" r:id="rId3" tooltip="Actifs Support"/>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7793102" y="2687591"/>
          <a:ext cx="356345" cy="357619"/>
        </a:xfrm>
        <a:prstGeom prst="rect">
          <a:avLst/>
        </a:prstGeom>
      </xdr:spPr>
    </xdr:pic>
    <xdr:clientData/>
  </xdr:twoCellAnchor>
  <xdr:twoCellAnchor>
    <xdr:from>
      <xdr:col>3</xdr:col>
      <xdr:colOff>492686</xdr:colOff>
      <xdr:row>3</xdr:row>
      <xdr:rowOff>146254</xdr:rowOff>
    </xdr:from>
    <xdr:to>
      <xdr:col>3</xdr:col>
      <xdr:colOff>850305</xdr:colOff>
      <xdr:row>3</xdr:row>
      <xdr:rowOff>503873</xdr:rowOff>
    </xdr:to>
    <xdr:pic>
      <xdr:nvPicPr>
        <xdr:cNvPr id="24" name="Graphique 23" descr="Recherche de dossiers avec un remplissage uni">
          <a:hlinkClick xmlns:r="http://schemas.openxmlformats.org/officeDocument/2006/relationships" r:id="rId6" tooltip="Actifs Primaires"/>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7809077" y="2045301"/>
          <a:ext cx="357619" cy="357619"/>
        </a:xfrm>
        <a:prstGeom prst="rect">
          <a:avLst/>
        </a:prstGeom>
      </xdr:spPr>
    </xdr:pic>
    <xdr:clientData/>
  </xdr:twoCellAnchor>
  <xdr:twoCellAnchor editAs="oneCell">
    <xdr:from>
      <xdr:col>3</xdr:col>
      <xdr:colOff>467063</xdr:colOff>
      <xdr:row>5</xdr:row>
      <xdr:rowOff>107818</xdr:rowOff>
    </xdr:from>
    <xdr:to>
      <xdr:col>3</xdr:col>
      <xdr:colOff>824682</xdr:colOff>
      <xdr:row>5</xdr:row>
      <xdr:rowOff>465437</xdr:rowOff>
    </xdr:to>
    <xdr:pic>
      <xdr:nvPicPr>
        <xdr:cNvPr id="22" name="Graphique 21" descr="Accident avec un remplissage uni">
          <a:hlinkClick xmlns:r="http://schemas.openxmlformats.org/officeDocument/2006/relationships" r:id="rId9" tooltip="Dommages"/>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7783454" y="3268927"/>
          <a:ext cx="357619" cy="357619"/>
        </a:xfrm>
        <a:prstGeom prst="rect">
          <a:avLst/>
        </a:prstGeom>
      </xdr:spPr>
    </xdr:pic>
    <xdr:clientData/>
  </xdr:twoCellAnchor>
  <xdr:twoCellAnchor editAs="oneCell">
    <xdr:from>
      <xdr:col>3</xdr:col>
      <xdr:colOff>475345</xdr:colOff>
      <xdr:row>6</xdr:row>
      <xdr:rowOff>165794</xdr:rowOff>
    </xdr:from>
    <xdr:to>
      <xdr:col>3</xdr:col>
      <xdr:colOff>832964</xdr:colOff>
      <xdr:row>6</xdr:row>
      <xdr:rowOff>523413</xdr:rowOff>
    </xdr:to>
    <xdr:pic>
      <xdr:nvPicPr>
        <xdr:cNvPr id="20" name="Graphique 19" descr="Dé avec un remplissage uni">
          <a:hlinkClick xmlns:r="http://schemas.openxmlformats.org/officeDocument/2006/relationships" r:id="rId12" tooltip="Evénements déclencheurs"/>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791736" y="3957935"/>
          <a:ext cx="357619" cy="357619"/>
        </a:xfrm>
        <a:prstGeom prst="rect">
          <a:avLst/>
        </a:prstGeom>
      </xdr:spPr>
    </xdr:pic>
    <xdr:clientData/>
  </xdr:twoCellAnchor>
  <xdr:twoCellAnchor editAs="oneCell">
    <xdr:from>
      <xdr:col>3</xdr:col>
      <xdr:colOff>467327</xdr:colOff>
      <xdr:row>1</xdr:row>
      <xdr:rowOff>67770</xdr:rowOff>
    </xdr:from>
    <xdr:to>
      <xdr:col>3</xdr:col>
      <xdr:colOff>838635</xdr:colOff>
      <xdr:row>1</xdr:row>
      <xdr:rowOff>439078</xdr:rowOff>
    </xdr:to>
    <xdr:pic>
      <xdr:nvPicPr>
        <xdr:cNvPr id="19" name="Graphique 18" descr="Logement avec un remplissage uni">
          <a:hlinkClick xmlns:r="http://schemas.openxmlformats.org/officeDocument/2006/relationships" r:id="rId15" tooltip="Accueil"/>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7782527" y="1210770"/>
          <a:ext cx="371308" cy="371308"/>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467310</xdr:colOff>
      <xdr:row>8</xdr:row>
      <xdr:rowOff>134178</xdr:rowOff>
    </xdr:from>
    <xdr:to>
      <xdr:col>3</xdr:col>
      <xdr:colOff>895803</xdr:colOff>
      <xdr:row>8</xdr:row>
      <xdr:rowOff>544282</xdr:rowOff>
    </xdr:to>
    <xdr:grpSp>
      <xdr:nvGrpSpPr>
        <xdr:cNvPr id="30" name="Groupe 29">
          <a:hlinkClick xmlns:r="http://schemas.openxmlformats.org/officeDocument/2006/relationships" r:id="rId18" tooltip="Analyse de Risque"/>
          <a:extLst>
            <a:ext uri="{FF2B5EF4-FFF2-40B4-BE49-F238E27FC236}">
              <a16:creationId xmlns:a16="http://schemas.microsoft.com/office/drawing/2014/main" id="{00000000-0008-0000-0200-00001E000000}"/>
            </a:ext>
          </a:extLst>
        </xdr:cNvPr>
        <xdr:cNvGrpSpPr/>
      </xdr:nvGrpSpPr>
      <xdr:grpSpPr>
        <a:xfrm>
          <a:off x="7988250" y="4812858"/>
          <a:ext cx="428493" cy="410104"/>
          <a:chOff x="5111260" y="103549"/>
          <a:chExt cx="428280" cy="410104"/>
        </a:xfrm>
        <a:effectLst>
          <a:outerShdw blurRad="50800" dist="38100" dir="2700000" algn="tl" rotWithShape="0">
            <a:prstClr val="black">
              <a:alpha val="40000"/>
            </a:prstClr>
          </a:outerShdw>
        </a:effectLst>
      </xdr:grpSpPr>
      <xdr:pic>
        <xdr:nvPicPr>
          <xdr:cNvPr id="34" name="Graphique 33" descr="Document avec un remplissage uni">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154942" y="103549"/>
            <a:ext cx="384598" cy="410104"/>
          </a:xfrm>
          <a:prstGeom prst="rect">
            <a:avLst/>
          </a:prstGeom>
        </xdr:spPr>
      </xdr:pic>
      <xdr:pic>
        <xdr:nvPicPr>
          <xdr:cNvPr id="35" name="Graphique 34" descr="Coche avec un remplissage uni">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125784" y="288962"/>
            <a:ext cx="180273" cy="197722"/>
          </a:xfrm>
          <a:prstGeom prst="rect">
            <a:avLst/>
          </a:prstGeom>
        </xdr:spPr>
      </xdr:pic>
      <xdr:pic>
        <xdr:nvPicPr>
          <xdr:cNvPr id="36" name="Graphique 35" descr="Badge à suivre avec un remplissage uni">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111260" y="145828"/>
            <a:ext cx="180273" cy="194849"/>
          </a:xfrm>
          <a:prstGeom prst="rect">
            <a:avLst/>
          </a:prstGeom>
        </xdr:spPr>
      </xdr:pic>
      <xdr:pic>
        <xdr:nvPicPr>
          <xdr:cNvPr id="37" name="Graphique 36" descr="Crayon avec un remplissage uni">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284434" y="277381"/>
            <a:ext cx="231999" cy="230257"/>
          </a:xfrm>
          <a:prstGeom prst="rect">
            <a:avLst/>
          </a:prstGeom>
        </xdr:spPr>
      </xdr:pic>
    </xdr:grpSp>
    <xdr:clientData/>
  </xdr:twoCellAnchor>
  <xdr:twoCellAnchor editAs="oneCell">
    <xdr:from>
      <xdr:col>3</xdr:col>
      <xdr:colOff>458171</xdr:colOff>
      <xdr:row>9</xdr:row>
      <xdr:rowOff>140804</xdr:rowOff>
    </xdr:from>
    <xdr:to>
      <xdr:col>3</xdr:col>
      <xdr:colOff>904942</xdr:colOff>
      <xdr:row>9</xdr:row>
      <xdr:rowOff>587353</xdr:rowOff>
    </xdr:to>
    <xdr:pic>
      <xdr:nvPicPr>
        <xdr:cNvPr id="31" name="Graphique 30" descr="Présentation avec liste de vérification avec un remplissage uni">
          <a:hlinkClick xmlns:r="http://schemas.openxmlformats.org/officeDocument/2006/relationships" r:id="rId27" tooltip="Fiches de Risque"/>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7771714" y="5383695"/>
          <a:ext cx="446771" cy="446549"/>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458171</xdr:colOff>
      <xdr:row>10</xdr:row>
      <xdr:rowOff>132521</xdr:rowOff>
    </xdr:from>
    <xdr:to>
      <xdr:col>3</xdr:col>
      <xdr:colOff>904942</xdr:colOff>
      <xdr:row>10</xdr:row>
      <xdr:rowOff>579070</xdr:rowOff>
    </xdr:to>
    <xdr:pic>
      <xdr:nvPicPr>
        <xdr:cNvPr id="33" name="Graphique 32" descr="Présentation avec camembert avec un remplissage uni">
          <a:hlinkClick xmlns:r="http://schemas.openxmlformats.org/officeDocument/2006/relationships" r:id="rId30" tooltip="Panorama"/>
          <a:extLst>
            <a:ext uri="{FF2B5EF4-FFF2-40B4-BE49-F238E27FC236}">
              <a16:creationId xmlns:a16="http://schemas.microsoft.com/office/drawing/2014/main" id="{00000000-0008-0000-0200-000021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7771714" y="6071151"/>
          <a:ext cx="446771" cy="446549"/>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431443</xdr:colOff>
      <xdr:row>12</xdr:row>
      <xdr:rowOff>114709</xdr:rowOff>
    </xdr:from>
    <xdr:to>
      <xdr:col>3</xdr:col>
      <xdr:colOff>923925</xdr:colOff>
      <xdr:row>12</xdr:row>
      <xdr:rowOff>561109</xdr:rowOff>
    </xdr:to>
    <xdr:sp macro="" textlink="">
      <xdr:nvSpPr>
        <xdr:cNvPr id="48" name="ZoneTexte 47">
          <a:hlinkClick xmlns:r="http://schemas.openxmlformats.org/officeDocument/2006/relationships" r:id="rId33" tooltip="Gravité"/>
          <a:extLst>
            <a:ext uri="{FF2B5EF4-FFF2-40B4-BE49-F238E27FC236}">
              <a16:creationId xmlns:a16="http://schemas.microsoft.com/office/drawing/2014/main" id="{00000000-0008-0000-0200-000030000000}"/>
            </a:ext>
          </a:extLst>
        </xdr:cNvPr>
        <xdr:cNvSpPr txBox="1"/>
      </xdr:nvSpPr>
      <xdr:spPr>
        <a:xfrm>
          <a:off x="7746643" y="7382284"/>
          <a:ext cx="492482" cy="446400"/>
        </a:xfrm>
        <a:prstGeom prst="rect">
          <a:avLst/>
        </a:prstGeom>
        <a:noFill/>
        <a:ln w="3870" cap="flat">
          <a:no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fr-FR" sz="1800" b="1">
              <a:solidFill>
                <a:schemeClr val="dk1"/>
              </a:solidFill>
              <a:latin typeface="+mn-lt"/>
              <a:ea typeface="+mn-ea"/>
              <a:cs typeface="+mn-cs"/>
            </a:rPr>
            <a:t>GR</a:t>
          </a:r>
        </a:p>
      </xdr:txBody>
    </xdr:sp>
    <xdr:clientData/>
  </xdr:twoCellAnchor>
  <xdr:twoCellAnchor editAs="oneCell">
    <xdr:from>
      <xdr:col>3</xdr:col>
      <xdr:colOff>431443</xdr:colOff>
      <xdr:row>13</xdr:row>
      <xdr:rowOff>95597</xdr:rowOff>
    </xdr:from>
    <xdr:to>
      <xdr:col>3</xdr:col>
      <xdr:colOff>931669</xdr:colOff>
      <xdr:row>13</xdr:row>
      <xdr:rowOff>483166</xdr:rowOff>
    </xdr:to>
    <xdr:sp macro="" textlink="">
      <xdr:nvSpPr>
        <xdr:cNvPr id="49" name="ZoneTexte 48">
          <a:hlinkClick xmlns:r="http://schemas.openxmlformats.org/officeDocument/2006/relationships" r:id="rId34" tooltip="Grilles de décision"/>
          <a:extLst>
            <a:ext uri="{FF2B5EF4-FFF2-40B4-BE49-F238E27FC236}">
              <a16:creationId xmlns:a16="http://schemas.microsoft.com/office/drawing/2014/main" id="{00000000-0008-0000-0200-000031000000}"/>
            </a:ext>
          </a:extLst>
        </xdr:cNvPr>
        <xdr:cNvSpPr txBox="1"/>
      </xdr:nvSpPr>
      <xdr:spPr>
        <a:xfrm>
          <a:off x="7751039" y="8426309"/>
          <a:ext cx="500226" cy="387569"/>
        </a:xfrm>
        <a:prstGeom prst="rect">
          <a:avLst/>
        </a:prstGeom>
        <a:noFill/>
        <a:ln w="3870" cap="flat">
          <a:no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b="1"/>
            <a:t>IP</a:t>
          </a:r>
          <a:endParaRPr lang="fr-FR" sz="1100" b="1"/>
        </a:p>
      </xdr:txBody>
    </xdr:sp>
    <xdr:clientData/>
  </xdr:twoCellAnchor>
  <xdr:twoCellAnchor>
    <xdr:from>
      <xdr:col>1</xdr:col>
      <xdr:colOff>161192</xdr:colOff>
      <xdr:row>2</xdr:row>
      <xdr:rowOff>234461</xdr:rowOff>
    </xdr:from>
    <xdr:to>
      <xdr:col>3</xdr:col>
      <xdr:colOff>1143000</xdr:colOff>
      <xdr:row>6</xdr:row>
      <xdr:rowOff>609601</xdr:rowOff>
    </xdr:to>
    <xdr:sp macro="" textlink="">
      <xdr:nvSpPr>
        <xdr:cNvPr id="72" name="Rectangle : coins arrondis 71">
          <a:extLst>
            <a:ext uri="{FF2B5EF4-FFF2-40B4-BE49-F238E27FC236}">
              <a16:creationId xmlns:a16="http://schemas.microsoft.com/office/drawing/2014/main" id="{00000000-0008-0000-0200-000048000000}"/>
            </a:ext>
          </a:extLst>
        </xdr:cNvPr>
        <xdr:cNvSpPr/>
      </xdr:nvSpPr>
      <xdr:spPr bwMode="auto">
        <a:xfrm>
          <a:off x="439615" y="1883019"/>
          <a:ext cx="8022981" cy="2514601"/>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1</xdr:col>
      <xdr:colOff>161192</xdr:colOff>
      <xdr:row>7</xdr:row>
      <xdr:rowOff>241788</xdr:rowOff>
    </xdr:from>
    <xdr:to>
      <xdr:col>3</xdr:col>
      <xdr:colOff>1143000</xdr:colOff>
      <xdr:row>10</xdr:row>
      <xdr:rowOff>733425</xdr:rowOff>
    </xdr:to>
    <xdr:sp macro="" textlink="">
      <xdr:nvSpPr>
        <xdr:cNvPr id="73" name="Rectangle : coins arrondis 72">
          <a:extLst>
            <a:ext uri="{FF2B5EF4-FFF2-40B4-BE49-F238E27FC236}">
              <a16:creationId xmlns:a16="http://schemas.microsoft.com/office/drawing/2014/main" id="{00000000-0008-0000-0200-000049000000}"/>
            </a:ext>
          </a:extLst>
        </xdr:cNvPr>
        <xdr:cNvSpPr/>
      </xdr:nvSpPr>
      <xdr:spPr bwMode="auto">
        <a:xfrm>
          <a:off x="437417" y="4632813"/>
          <a:ext cx="8020783" cy="2358537"/>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1</xdr:col>
      <xdr:colOff>161192</xdr:colOff>
      <xdr:row>12</xdr:row>
      <xdr:rowOff>7327</xdr:rowOff>
    </xdr:from>
    <xdr:to>
      <xdr:col>3</xdr:col>
      <xdr:colOff>1143000</xdr:colOff>
      <xdr:row>13</xdr:row>
      <xdr:rowOff>564172</xdr:rowOff>
    </xdr:to>
    <xdr:sp macro="" textlink="">
      <xdr:nvSpPr>
        <xdr:cNvPr id="74" name="Rectangle : coins arrondis 73">
          <a:extLst>
            <a:ext uri="{FF2B5EF4-FFF2-40B4-BE49-F238E27FC236}">
              <a16:creationId xmlns:a16="http://schemas.microsoft.com/office/drawing/2014/main" id="{00000000-0008-0000-0200-00004A000000}"/>
            </a:ext>
          </a:extLst>
        </xdr:cNvPr>
        <xdr:cNvSpPr/>
      </xdr:nvSpPr>
      <xdr:spPr bwMode="auto">
        <a:xfrm>
          <a:off x="439615" y="7707923"/>
          <a:ext cx="8022981" cy="1186961"/>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1</xdr:col>
      <xdr:colOff>161192</xdr:colOff>
      <xdr:row>15</xdr:row>
      <xdr:rowOff>14653</xdr:rowOff>
    </xdr:from>
    <xdr:to>
      <xdr:col>3</xdr:col>
      <xdr:colOff>1143000</xdr:colOff>
      <xdr:row>16</xdr:row>
      <xdr:rowOff>424961</xdr:rowOff>
    </xdr:to>
    <xdr:sp macro="" textlink="">
      <xdr:nvSpPr>
        <xdr:cNvPr id="75" name="Rectangle : coins arrondis 74">
          <a:extLst>
            <a:ext uri="{FF2B5EF4-FFF2-40B4-BE49-F238E27FC236}">
              <a16:creationId xmlns:a16="http://schemas.microsoft.com/office/drawing/2014/main" id="{00000000-0008-0000-0200-00004B000000}"/>
            </a:ext>
          </a:extLst>
        </xdr:cNvPr>
        <xdr:cNvSpPr/>
      </xdr:nvSpPr>
      <xdr:spPr bwMode="auto">
        <a:xfrm>
          <a:off x="439615" y="9488365"/>
          <a:ext cx="8022981" cy="91586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editAs="oneCell">
    <xdr:from>
      <xdr:col>3</xdr:col>
      <xdr:colOff>486915</xdr:colOff>
      <xdr:row>16</xdr:row>
      <xdr:rowOff>5378</xdr:rowOff>
    </xdr:from>
    <xdr:to>
      <xdr:col>3</xdr:col>
      <xdr:colOff>876198</xdr:colOff>
      <xdr:row>16</xdr:row>
      <xdr:rowOff>394661</xdr:rowOff>
    </xdr:to>
    <xdr:pic>
      <xdr:nvPicPr>
        <xdr:cNvPr id="77" name="Graphique 76" descr="Presse-papiers badge avec un remplissage uni">
          <a:hlinkClick xmlns:r="http://schemas.openxmlformats.org/officeDocument/2006/relationships" r:id="rId35" tooltip="License"/>
          <a:extLst>
            <a:ext uri="{FF2B5EF4-FFF2-40B4-BE49-F238E27FC236}">
              <a16:creationId xmlns:a16="http://schemas.microsoft.com/office/drawing/2014/main" id="{00000000-0008-0000-0200-00004D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rcRect/>
        <a:stretch/>
      </xdr:blipFill>
      <xdr:spPr>
        <a:xfrm>
          <a:off x="7806511" y="9720878"/>
          <a:ext cx="389283" cy="389283"/>
        </a:xfrm>
        <a:prstGeom prst="rect">
          <a:avLst/>
        </a:prstGeom>
      </xdr:spPr>
    </xdr:pic>
    <xdr:clientData/>
  </xdr:twoCellAnchor>
  <xdr:twoCellAnchor editAs="oneCell">
    <xdr:from>
      <xdr:col>3</xdr:col>
      <xdr:colOff>486915</xdr:colOff>
      <xdr:row>15</xdr:row>
      <xdr:rowOff>56667</xdr:rowOff>
    </xdr:from>
    <xdr:to>
      <xdr:col>3</xdr:col>
      <xdr:colOff>876198</xdr:colOff>
      <xdr:row>15</xdr:row>
      <xdr:rowOff>445950</xdr:rowOff>
    </xdr:to>
    <xdr:pic>
      <xdr:nvPicPr>
        <xdr:cNvPr id="78" name="Graphique 77" descr="Flux de travail avec un remplissage uni">
          <a:hlinkClick xmlns:r="http://schemas.openxmlformats.org/officeDocument/2006/relationships" r:id="rId38" tooltip="Présentation"/>
          <a:extLst>
            <a:ext uri="{FF2B5EF4-FFF2-40B4-BE49-F238E27FC236}">
              <a16:creationId xmlns:a16="http://schemas.microsoft.com/office/drawing/2014/main" id="{00000000-0008-0000-0200-00004E000000}"/>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rcRect/>
        <a:stretch/>
      </xdr:blipFill>
      <xdr:spPr>
        <a:xfrm flipH="1">
          <a:off x="7806511" y="9266609"/>
          <a:ext cx="389283" cy="389283"/>
        </a:xfrm>
        <a:prstGeom prst="rect">
          <a:avLst/>
        </a:prstGeom>
      </xdr:spPr>
    </xdr:pic>
    <xdr:clientData/>
  </xdr:twoCellAnchor>
  <xdr:twoCellAnchor editAs="oneCell">
    <xdr:from>
      <xdr:col>3</xdr:col>
      <xdr:colOff>556847</xdr:colOff>
      <xdr:row>17</xdr:row>
      <xdr:rowOff>89963</xdr:rowOff>
    </xdr:from>
    <xdr:to>
      <xdr:col>3</xdr:col>
      <xdr:colOff>806267</xdr:colOff>
      <xdr:row>17</xdr:row>
      <xdr:rowOff>339385</xdr:rowOff>
    </xdr:to>
    <xdr:pic>
      <xdr:nvPicPr>
        <xdr:cNvPr id="79" name="Graphique 78" descr="Outils avec un remplissage uni">
          <a:hlinkClick xmlns:r="http://schemas.openxmlformats.org/officeDocument/2006/relationships" r:id="rId41" tooltip="Admin"/>
          <a:extLst>
            <a:ext uri="{FF2B5EF4-FFF2-40B4-BE49-F238E27FC236}">
              <a16:creationId xmlns:a16="http://schemas.microsoft.com/office/drawing/2014/main" id="{00000000-0008-0000-0200-00004F000000}"/>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 uri="{96DAC541-7B7A-43D3-8B79-37D633B846F1}">
              <asvg:svgBlip xmlns:asvg="http://schemas.microsoft.com/office/drawing/2016/SVG/main" r:embed="rId43"/>
            </a:ext>
          </a:extLst>
        </a:blip>
        <a:srcRect/>
        <a:stretch/>
      </xdr:blipFill>
      <xdr:spPr>
        <a:xfrm>
          <a:off x="7876443" y="10574790"/>
          <a:ext cx="249420" cy="249422"/>
        </a:xfrm>
        <a:prstGeom prst="rect">
          <a:avLst/>
        </a:prstGeom>
      </xdr:spPr>
    </xdr:pic>
    <xdr:clientData/>
  </xdr:twoCellAnchor>
  <xdr:twoCellAnchor>
    <xdr:from>
      <xdr:col>1</xdr:col>
      <xdr:colOff>170717</xdr:colOff>
      <xdr:row>18</xdr:row>
      <xdr:rowOff>232263</xdr:rowOff>
    </xdr:from>
    <xdr:to>
      <xdr:col>3</xdr:col>
      <xdr:colOff>1152525</xdr:colOff>
      <xdr:row>22</xdr:row>
      <xdr:rowOff>47625</xdr:rowOff>
    </xdr:to>
    <xdr:sp macro="" textlink="">
      <xdr:nvSpPr>
        <xdr:cNvPr id="80" name="Rectangle : coins arrondis 79">
          <a:extLst>
            <a:ext uri="{FF2B5EF4-FFF2-40B4-BE49-F238E27FC236}">
              <a16:creationId xmlns:a16="http://schemas.microsoft.com/office/drawing/2014/main" id="{00000000-0008-0000-0200-000050000000}"/>
            </a:ext>
          </a:extLst>
        </xdr:cNvPr>
        <xdr:cNvSpPr/>
      </xdr:nvSpPr>
      <xdr:spPr bwMode="auto">
        <a:xfrm>
          <a:off x="446942" y="10395438"/>
          <a:ext cx="8020783" cy="986937"/>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0</xdr:row>
      <xdr:rowOff>76200</xdr:rowOff>
    </xdr:from>
    <xdr:to>
      <xdr:col>1</xdr:col>
      <xdr:colOff>28408</xdr:colOff>
      <xdr:row>1</xdr:row>
      <xdr:rowOff>199858</xdr:rowOff>
    </xdr:to>
    <xdr:pic>
      <xdr:nvPicPr>
        <xdr:cNvPr id="2" name="Graphique 1" descr="Logement avec un remplissage uni">
          <a:hlinkClick xmlns:r="http://schemas.openxmlformats.org/officeDocument/2006/relationships" r:id="rId1" tooltip="Accueil"/>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76200"/>
          <a:ext cx="371308" cy="371308"/>
        </a:xfrm>
        <a:prstGeom prst="rect">
          <a:avLst/>
        </a:prstGeom>
        <a:effectLst>
          <a:outerShdw blurRad="50800" dist="38100" dir="2700000" algn="tl" rotWithShape="0">
            <a:prstClr val="black">
              <a:alpha val="40000"/>
            </a:prstClr>
          </a:outerShd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647700</xdr:colOff>
      <xdr:row>0</xdr:row>
      <xdr:rowOff>228600</xdr:rowOff>
    </xdr:from>
    <xdr:to>
      <xdr:col>1</xdr:col>
      <xdr:colOff>1152525</xdr:colOff>
      <xdr:row>2</xdr:row>
      <xdr:rowOff>142875</xdr:rowOff>
    </xdr:to>
    <xdr:pic>
      <xdr:nvPicPr>
        <xdr:cNvPr id="3" name="Image 2">
          <a:hlinkClick xmlns:r="http://schemas.openxmlformats.org/officeDocument/2006/relationships" r:id="rId1"/>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889" t="10490" r="12222" b="11887"/>
        <a:stretch/>
      </xdr:blipFill>
      <xdr:spPr>
        <a:xfrm>
          <a:off x="647700" y="228600"/>
          <a:ext cx="1266825" cy="704850"/>
        </a:xfrm>
        <a:prstGeom prst="rect">
          <a:avLst/>
        </a:prstGeom>
      </xdr:spPr>
    </xdr:pic>
    <xdr:clientData/>
  </xdr:twoCellAnchor>
  <xdr:twoCellAnchor editAs="oneCell">
    <xdr:from>
      <xdr:col>0</xdr:col>
      <xdr:colOff>0</xdr:colOff>
      <xdr:row>0</xdr:row>
      <xdr:rowOff>0</xdr:rowOff>
    </xdr:from>
    <xdr:to>
      <xdr:col>0</xdr:col>
      <xdr:colOff>371308</xdr:colOff>
      <xdr:row>0</xdr:row>
      <xdr:rowOff>371308</xdr:rowOff>
    </xdr:to>
    <xdr:pic>
      <xdr:nvPicPr>
        <xdr:cNvPr id="4" name="Graphique 3" descr="Logement avec un remplissage uni">
          <a:hlinkClick xmlns:r="http://schemas.openxmlformats.org/officeDocument/2006/relationships" r:id="rId3" tooltip="Accueil"/>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0" y="0"/>
          <a:ext cx="371308" cy="371308"/>
        </a:xfrm>
        <a:prstGeom prst="rect">
          <a:avLst/>
        </a:prstGeom>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869706</xdr:colOff>
      <xdr:row>1</xdr:row>
      <xdr:rowOff>647701</xdr:rowOff>
    </xdr:from>
    <xdr:to>
      <xdr:col>8</xdr:col>
      <xdr:colOff>400782</xdr:colOff>
      <xdr:row>1</xdr:row>
      <xdr:rowOff>1145932</xdr:rowOff>
    </xdr:to>
    <xdr:grpSp>
      <xdr:nvGrpSpPr>
        <xdr:cNvPr id="6" name="Groupe 5">
          <a:extLst>
            <a:ext uri="{FF2B5EF4-FFF2-40B4-BE49-F238E27FC236}">
              <a16:creationId xmlns:a16="http://schemas.microsoft.com/office/drawing/2014/main" id="{00000000-0008-0000-0500-000006000000}"/>
            </a:ext>
          </a:extLst>
        </xdr:cNvPr>
        <xdr:cNvGrpSpPr/>
      </xdr:nvGrpSpPr>
      <xdr:grpSpPr>
        <a:xfrm>
          <a:off x="6918081" y="809626"/>
          <a:ext cx="3912576" cy="498231"/>
          <a:chOff x="8154869" y="95251"/>
          <a:chExt cx="3766038" cy="498231"/>
        </a:xfrm>
      </xdr:grpSpPr>
      <xdr:sp macro="" textlink="">
        <xdr:nvSpPr>
          <xdr:cNvPr id="4" name="ZoneTexte 3">
            <a:extLst>
              <a:ext uri="{FF2B5EF4-FFF2-40B4-BE49-F238E27FC236}">
                <a16:creationId xmlns:a16="http://schemas.microsoft.com/office/drawing/2014/main" id="{00000000-0008-0000-0500-000004000000}"/>
              </a:ext>
            </a:extLst>
          </xdr:cNvPr>
          <xdr:cNvSpPr txBox="1"/>
        </xdr:nvSpPr>
        <xdr:spPr>
          <a:xfrm>
            <a:off x="8154869" y="95251"/>
            <a:ext cx="3766038" cy="498231"/>
          </a:xfrm>
          <a:prstGeom prst="round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lvl="1"/>
            <a:r>
              <a:rPr lang="fr-FR" sz="1000">
                <a:solidFill>
                  <a:schemeClr val="bg1"/>
                </a:solidFill>
              </a:rPr>
              <a:t>Niveau d'Impact</a:t>
            </a:r>
            <a:r>
              <a:rPr lang="fr-FR" sz="1000" baseline="0">
                <a:solidFill>
                  <a:schemeClr val="bg1"/>
                </a:solidFill>
              </a:rPr>
              <a:t> : i</a:t>
            </a:r>
            <a:r>
              <a:rPr lang="fr-FR" sz="1000">
                <a:solidFill>
                  <a:schemeClr val="bg1"/>
                </a:solidFill>
              </a:rPr>
              <a:t>ndiquer 1, 2, 3,</a:t>
            </a:r>
            <a:r>
              <a:rPr lang="fr-FR" sz="1000" baseline="0">
                <a:solidFill>
                  <a:schemeClr val="bg1"/>
                </a:solidFill>
              </a:rPr>
              <a:t> 4 ou supprimer la valeur si ce n'est pas applicable au dysfonctionnement redouté</a:t>
            </a:r>
            <a:endParaRPr lang="fr-FR" sz="1000">
              <a:solidFill>
                <a:schemeClr val="bg1"/>
              </a:solidFill>
            </a:endParaRPr>
          </a:p>
        </xdr:txBody>
      </xdr:sp>
      <xdr:pic>
        <xdr:nvPicPr>
          <xdr:cNvPr id="3" name="Graphique 2" descr="Informations avec un remplissage uni">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25202" y="117232"/>
            <a:ext cx="446942" cy="449140"/>
          </a:xfrm>
          <a:prstGeom prst="rect">
            <a:avLst/>
          </a:prstGeom>
        </xdr:spPr>
      </xdr:pic>
    </xdr:grpSp>
    <xdr:clientData/>
  </xdr:twoCellAnchor>
  <xdr:twoCellAnchor editAs="absolute">
    <xdr:from>
      <xdr:col>1</xdr:col>
      <xdr:colOff>9525</xdr:colOff>
      <xdr:row>1</xdr:row>
      <xdr:rowOff>133350</xdr:rowOff>
    </xdr:from>
    <xdr:to>
      <xdr:col>4</xdr:col>
      <xdr:colOff>760412</xdr:colOff>
      <xdr:row>1</xdr:row>
      <xdr:rowOff>676275</xdr:rowOff>
    </xdr:to>
    <xdr:grpSp>
      <xdr:nvGrpSpPr>
        <xdr:cNvPr id="19" name="Groupe 18">
          <a:extLst>
            <a:ext uri="{FF2B5EF4-FFF2-40B4-BE49-F238E27FC236}">
              <a16:creationId xmlns:a16="http://schemas.microsoft.com/office/drawing/2014/main" id="{00000000-0008-0000-0500-000013000000}"/>
            </a:ext>
          </a:extLst>
        </xdr:cNvPr>
        <xdr:cNvGrpSpPr/>
      </xdr:nvGrpSpPr>
      <xdr:grpSpPr>
        <a:xfrm>
          <a:off x="209550" y="295275"/>
          <a:ext cx="6599237" cy="542925"/>
          <a:chOff x="9492429" y="704850"/>
          <a:chExt cx="6437312" cy="542925"/>
        </a:xfrm>
      </xdr:grpSpPr>
      <xdr:pic>
        <xdr:nvPicPr>
          <xdr:cNvPr id="20" name="Graphique 19" descr="Serveur avec un remplissage uni">
            <a:hlinkClick xmlns:r="http://schemas.openxmlformats.org/officeDocument/2006/relationships" r:id="rId3" tooltip="Actifs Support"/>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0677537" y="752314"/>
            <a:ext cx="446400" cy="447996"/>
          </a:xfrm>
          <a:prstGeom prst="rect">
            <a:avLst/>
          </a:prstGeom>
        </xdr:spPr>
      </xdr:pic>
      <xdr:pic>
        <xdr:nvPicPr>
          <xdr:cNvPr id="21" name="Graphique 20" descr="Recherche de dossiers avec un remplissage uni">
            <a:hlinkClick xmlns:r="http://schemas.openxmlformats.org/officeDocument/2006/relationships" r:id="rId6" tooltip="Actifs Primaires"/>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0123083" y="753112"/>
            <a:ext cx="446400" cy="446400"/>
          </a:xfrm>
          <a:prstGeom prst="rect">
            <a:avLst/>
          </a:prstGeom>
        </xdr:spPr>
      </xdr:pic>
      <xdr:pic>
        <xdr:nvPicPr>
          <xdr:cNvPr id="22" name="Graphique 21" descr="Accident avec un remplissage uni">
            <a:hlinkClick xmlns:r="http://schemas.openxmlformats.org/officeDocument/2006/relationships" r:id="rId9" tooltip="Dommages"/>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1231991" y="753112"/>
            <a:ext cx="446400" cy="446400"/>
          </a:xfrm>
          <a:prstGeom prst="rect">
            <a:avLst/>
          </a:prstGeom>
        </xdr:spPr>
      </xdr:pic>
      <xdr:pic>
        <xdr:nvPicPr>
          <xdr:cNvPr id="23" name="Graphique 22" descr="Dé avec un remplissage uni">
            <a:hlinkClick xmlns:r="http://schemas.openxmlformats.org/officeDocument/2006/relationships" r:id="rId12" tooltip="Evénements déclencheurs"/>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1786446" y="753112"/>
            <a:ext cx="446400" cy="446400"/>
          </a:xfrm>
          <a:prstGeom prst="rect">
            <a:avLst/>
          </a:prstGeom>
        </xdr:spPr>
      </xdr:pic>
      <xdr:pic>
        <xdr:nvPicPr>
          <xdr:cNvPr id="24" name="Graphique 23" descr="Logement avec un remplissage uni">
            <a:hlinkClick xmlns:r="http://schemas.openxmlformats.org/officeDocument/2006/relationships" r:id="rId15" tooltip="Accueil"/>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9492429" y="753112"/>
            <a:ext cx="446400" cy="446400"/>
          </a:xfrm>
          <a:prstGeom prst="rect">
            <a:avLst/>
          </a:prstGeom>
          <a:effectLst>
            <a:outerShdw blurRad="50800" dist="38100" dir="2700000" algn="tl" rotWithShape="0">
              <a:prstClr val="black">
                <a:alpha val="40000"/>
              </a:prstClr>
            </a:outerShdw>
          </a:effectLst>
        </xdr:spPr>
      </xdr:pic>
      <xdr:grpSp>
        <xdr:nvGrpSpPr>
          <xdr:cNvPr id="25" name="Groupe 24">
            <a:hlinkClick xmlns:r="http://schemas.openxmlformats.org/officeDocument/2006/relationships" r:id="rId18" tooltip="Analyse de Risque"/>
            <a:extLst>
              <a:ext uri="{FF2B5EF4-FFF2-40B4-BE49-F238E27FC236}">
                <a16:creationId xmlns:a16="http://schemas.microsoft.com/office/drawing/2014/main" id="{00000000-0008-0000-0500-000019000000}"/>
              </a:ext>
            </a:extLst>
          </xdr:cNvPr>
          <xdr:cNvGrpSpPr/>
        </xdr:nvGrpSpPr>
        <xdr:grpSpPr>
          <a:xfrm>
            <a:off x="12635662" y="771260"/>
            <a:ext cx="428493" cy="410104"/>
            <a:chOff x="5111260" y="103549"/>
            <a:chExt cx="428280" cy="410104"/>
          </a:xfrm>
          <a:effectLst>
            <a:outerShdw blurRad="50800" dist="38100" dir="2700000" algn="tl" rotWithShape="0">
              <a:prstClr val="black">
                <a:alpha val="40000"/>
              </a:prstClr>
            </a:outerShdw>
          </a:effectLst>
        </xdr:grpSpPr>
        <xdr:pic>
          <xdr:nvPicPr>
            <xdr:cNvPr id="33" name="Graphique 32" descr="Document avec un remplissage uni">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154942" y="103549"/>
              <a:ext cx="384598" cy="410104"/>
            </a:xfrm>
            <a:prstGeom prst="rect">
              <a:avLst/>
            </a:prstGeom>
          </xdr:spPr>
        </xdr:pic>
        <xdr:pic>
          <xdr:nvPicPr>
            <xdr:cNvPr id="34" name="Graphique 33" descr="Coche avec un remplissage uni">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125784" y="288962"/>
              <a:ext cx="180273" cy="197722"/>
            </a:xfrm>
            <a:prstGeom prst="rect">
              <a:avLst/>
            </a:prstGeom>
          </xdr:spPr>
        </xdr:pic>
        <xdr:pic>
          <xdr:nvPicPr>
            <xdr:cNvPr id="35" name="Graphique 34" descr="Badge à suivre avec un remplissage uni">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111260" y="145828"/>
              <a:ext cx="180273" cy="194849"/>
            </a:xfrm>
            <a:prstGeom prst="rect">
              <a:avLst/>
            </a:prstGeom>
          </xdr:spPr>
        </xdr:pic>
        <xdr:pic>
          <xdr:nvPicPr>
            <xdr:cNvPr id="36" name="Graphique 35" descr="Crayon avec un remplissage uni">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284434" y="277381"/>
              <a:ext cx="231999" cy="230257"/>
            </a:xfrm>
            <a:prstGeom prst="rect">
              <a:avLst/>
            </a:prstGeom>
          </xdr:spPr>
        </xdr:pic>
      </xdr:grpSp>
      <xdr:pic>
        <xdr:nvPicPr>
          <xdr:cNvPr id="26" name="Graphique 25" descr="Présentation avec liste de vérification avec un remplissage uni">
            <a:hlinkClick xmlns:r="http://schemas.openxmlformats.org/officeDocument/2006/relationships" r:id="rId27" tooltip="Fiches de Risque"/>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13207741" y="753038"/>
            <a:ext cx="446771" cy="446549"/>
          </a:xfrm>
          <a:prstGeom prst="rect">
            <a:avLst/>
          </a:prstGeom>
          <a:effectLst>
            <a:outerShdw blurRad="50800" dist="38100" dir="2700000" algn="tl" rotWithShape="0">
              <a:prstClr val="black">
                <a:alpha val="40000"/>
              </a:prstClr>
            </a:outerShdw>
          </a:effectLst>
        </xdr:spPr>
      </xdr:pic>
      <xdr:pic>
        <xdr:nvPicPr>
          <xdr:cNvPr id="27" name="Graphique 26" descr="Présentation avec camembert avec un remplissage uni">
            <a:hlinkClick xmlns:r="http://schemas.openxmlformats.org/officeDocument/2006/relationships" r:id="rId30" tooltip="Panorama"/>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3798098" y="753038"/>
            <a:ext cx="446771" cy="446549"/>
          </a:xfrm>
          <a:prstGeom prst="rect">
            <a:avLst/>
          </a:prstGeom>
          <a:effectLst>
            <a:outerShdw blurRad="50800" dist="38100" dir="2700000" algn="tl" rotWithShape="0">
              <a:prstClr val="black">
                <a:alpha val="40000"/>
              </a:prstClr>
            </a:outerShdw>
          </a:effectLst>
        </xdr:spPr>
      </xdr:pic>
      <xdr:sp macro="" textlink="">
        <xdr:nvSpPr>
          <xdr:cNvPr id="28" name="Rectangle : coins arrondis 27">
            <a:extLst>
              <a:ext uri="{FF2B5EF4-FFF2-40B4-BE49-F238E27FC236}">
                <a16:creationId xmlns:a16="http://schemas.microsoft.com/office/drawing/2014/main" id="{00000000-0008-0000-0500-00001C000000}"/>
              </a:ext>
            </a:extLst>
          </xdr:cNvPr>
          <xdr:cNvSpPr/>
        </xdr:nvSpPr>
        <xdr:spPr bwMode="auto">
          <a:xfrm>
            <a:off x="10043544" y="704850"/>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29" name="Rectangle : coins arrondis 28">
            <a:extLst>
              <a:ext uri="{FF2B5EF4-FFF2-40B4-BE49-F238E27FC236}">
                <a16:creationId xmlns:a16="http://schemas.microsoft.com/office/drawing/2014/main" id="{00000000-0008-0000-0500-00001D000000}"/>
              </a:ext>
            </a:extLst>
          </xdr:cNvPr>
          <xdr:cNvSpPr/>
        </xdr:nvSpPr>
        <xdr:spPr bwMode="auto">
          <a:xfrm>
            <a:off x="12481945" y="704850"/>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30" name="ZoneTexte 29">
            <a:hlinkClick xmlns:r="http://schemas.openxmlformats.org/officeDocument/2006/relationships" r:id="rId33" tooltip="Gravité"/>
            <a:extLst>
              <a:ext uri="{FF2B5EF4-FFF2-40B4-BE49-F238E27FC236}">
                <a16:creationId xmlns:a16="http://schemas.microsoft.com/office/drawing/2014/main" id="{00000000-0008-0000-0500-00001E000000}"/>
              </a:ext>
            </a:extLst>
          </xdr:cNvPr>
          <xdr:cNvSpPr txBox="1"/>
        </xdr:nvSpPr>
        <xdr:spPr>
          <a:xfrm>
            <a:off x="14706791" y="767403"/>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31" name="ZoneTexte 30">
            <a:hlinkClick xmlns:r="http://schemas.openxmlformats.org/officeDocument/2006/relationships" r:id="rId34" tooltip="Grilles de décision"/>
            <a:extLst>
              <a:ext uri="{FF2B5EF4-FFF2-40B4-BE49-F238E27FC236}">
                <a16:creationId xmlns:a16="http://schemas.microsoft.com/office/drawing/2014/main" id="{00000000-0008-0000-0500-00001F000000}"/>
              </a:ext>
            </a:extLst>
          </xdr:cNvPr>
          <xdr:cNvSpPr txBox="1"/>
        </xdr:nvSpPr>
        <xdr:spPr>
          <a:xfrm>
            <a:off x="15311792" y="767512"/>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32" name="Rectangle : coins arrondis 31">
            <a:extLst>
              <a:ext uri="{FF2B5EF4-FFF2-40B4-BE49-F238E27FC236}">
                <a16:creationId xmlns:a16="http://schemas.microsoft.com/office/drawing/2014/main" id="{00000000-0008-0000-0500-000020000000}"/>
              </a:ext>
            </a:extLst>
          </xdr:cNvPr>
          <xdr:cNvSpPr/>
        </xdr:nvSpPr>
        <xdr:spPr bwMode="auto">
          <a:xfrm>
            <a:off x="14557738" y="704850"/>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3</xdr:col>
      <xdr:colOff>946220</xdr:colOff>
      <xdr:row>1</xdr:row>
      <xdr:rowOff>673623</xdr:rowOff>
    </xdr:from>
    <xdr:to>
      <xdr:col>4</xdr:col>
      <xdr:colOff>781426</xdr:colOff>
      <xdr:row>1</xdr:row>
      <xdr:rowOff>1168570</xdr:rowOff>
    </xdr:to>
    <xdr:grpSp>
      <xdr:nvGrpSpPr>
        <xdr:cNvPr id="4" name="Groupe 3">
          <a:extLst>
            <a:ext uri="{FF2B5EF4-FFF2-40B4-BE49-F238E27FC236}">
              <a16:creationId xmlns:a16="http://schemas.microsoft.com/office/drawing/2014/main" id="{00000000-0008-0000-0600-000004000000}"/>
            </a:ext>
          </a:extLst>
        </xdr:cNvPr>
        <xdr:cNvGrpSpPr/>
      </xdr:nvGrpSpPr>
      <xdr:grpSpPr>
        <a:xfrm>
          <a:off x="4047560" y="841263"/>
          <a:ext cx="3477566" cy="494947"/>
          <a:chOff x="6419850" y="1409700"/>
          <a:chExt cx="3370385" cy="505558"/>
        </a:xfrm>
      </xdr:grpSpPr>
      <xdr:sp macro="" textlink="">
        <xdr:nvSpPr>
          <xdr:cNvPr id="2" name="ZoneTexte 1">
            <a:extLst>
              <a:ext uri="{FF2B5EF4-FFF2-40B4-BE49-F238E27FC236}">
                <a16:creationId xmlns:a16="http://schemas.microsoft.com/office/drawing/2014/main" id="{00000000-0008-0000-0600-000002000000}"/>
              </a:ext>
            </a:extLst>
          </xdr:cNvPr>
          <xdr:cNvSpPr txBox="1"/>
        </xdr:nvSpPr>
        <xdr:spPr>
          <a:xfrm>
            <a:off x="6419850" y="1409700"/>
            <a:ext cx="3370385" cy="505558"/>
          </a:xfrm>
          <a:prstGeom prst="round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lvl="1"/>
            <a:r>
              <a:rPr lang="fr-FR" sz="1000">
                <a:solidFill>
                  <a:schemeClr val="bg1"/>
                </a:solidFill>
              </a:rPr>
              <a:t>Mettre un 0 dans la colonne sélection pour ne pas sélectionner un actif support</a:t>
            </a:r>
          </a:p>
        </xdr:txBody>
      </xdr:sp>
      <xdr:pic>
        <xdr:nvPicPr>
          <xdr:cNvPr id="3" name="Graphique 2" descr="Informations avec un remplissage uni">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75535" y="1431681"/>
            <a:ext cx="446942" cy="452803"/>
          </a:xfrm>
          <a:prstGeom prst="rect">
            <a:avLst/>
          </a:prstGeom>
        </xdr:spPr>
      </xdr:pic>
    </xdr:grpSp>
    <xdr:clientData/>
  </xdr:twoCellAnchor>
  <xdr:twoCellAnchor editAs="absolute">
    <xdr:from>
      <xdr:col>1</xdr:col>
      <xdr:colOff>19050</xdr:colOff>
      <xdr:row>1</xdr:row>
      <xdr:rowOff>57150</xdr:rowOff>
    </xdr:from>
    <xdr:to>
      <xdr:col>4</xdr:col>
      <xdr:colOff>93662</xdr:colOff>
      <xdr:row>1</xdr:row>
      <xdr:rowOff>600075</xdr:rowOff>
    </xdr:to>
    <xdr:grpSp>
      <xdr:nvGrpSpPr>
        <xdr:cNvPr id="19" name="Groupe 18">
          <a:extLst>
            <a:ext uri="{FF2B5EF4-FFF2-40B4-BE49-F238E27FC236}">
              <a16:creationId xmlns:a16="http://schemas.microsoft.com/office/drawing/2014/main" id="{00000000-0008-0000-0600-000013000000}"/>
            </a:ext>
          </a:extLst>
        </xdr:cNvPr>
        <xdr:cNvGrpSpPr/>
      </xdr:nvGrpSpPr>
      <xdr:grpSpPr>
        <a:xfrm>
          <a:off x="217170" y="224790"/>
          <a:ext cx="6620192" cy="542925"/>
          <a:chOff x="9518705" y="1493126"/>
          <a:chExt cx="6437312" cy="542925"/>
        </a:xfrm>
      </xdr:grpSpPr>
      <xdr:pic>
        <xdr:nvPicPr>
          <xdr:cNvPr id="20" name="Graphique 19" descr="Serveur avec un remplissage uni">
            <a:hlinkClick xmlns:r="http://schemas.openxmlformats.org/officeDocument/2006/relationships" r:id="rId3" tooltip="Actifs Support"/>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0703813" y="1540590"/>
            <a:ext cx="446400" cy="447996"/>
          </a:xfrm>
          <a:prstGeom prst="rect">
            <a:avLst/>
          </a:prstGeom>
        </xdr:spPr>
      </xdr:pic>
      <xdr:pic>
        <xdr:nvPicPr>
          <xdr:cNvPr id="21" name="Graphique 20" descr="Recherche de dossiers avec un remplissage uni">
            <a:hlinkClick xmlns:r="http://schemas.openxmlformats.org/officeDocument/2006/relationships" r:id="rId6" tooltip="Actifs Primaires"/>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0149359" y="1541388"/>
            <a:ext cx="446400" cy="446400"/>
          </a:xfrm>
          <a:prstGeom prst="rect">
            <a:avLst/>
          </a:prstGeom>
        </xdr:spPr>
      </xdr:pic>
      <xdr:pic>
        <xdr:nvPicPr>
          <xdr:cNvPr id="22" name="Graphique 21" descr="Accident avec un remplissage uni">
            <a:hlinkClick xmlns:r="http://schemas.openxmlformats.org/officeDocument/2006/relationships" r:id="rId9" tooltip="Dommages"/>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1258267" y="1541388"/>
            <a:ext cx="446400" cy="446400"/>
          </a:xfrm>
          <a:prstGeom prst="rect">
            <a:avLst/>
          </a:prstGeom>
        </xdr:spPr>
      </xdr:pic>
      <xdr:pic>
        <xdr:nvPicPr>
          <xdr:cNvPr id="23" name="Graphique 22" descr="Dé avec un remplissage uni">
            <a:hlinkClick xmlns:r="http://schemas.openxmlformats.org/officeDocument/2006/relationships" r:id="rId12" tooltip="Evénements déclencheurs"/>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1812722" y="1541388"/>
            <a:ext cx="446400" cy="446400"/>
          </a:xfrm>
          <a:prstGeom prst="rect">
            <a:avLst/>
          </a:prstGeom>
        </xdr:spPr>
      </xdr:pic>
      <xdr:pic>
        <xdr:nvPicPr>
          <xdr:cNvPr id="24" name="Graphique 23" descr="Logement avec un remplissage uni">
            <a:hlinkClick xmlns:r="http://schemas.openxmlformats.org/officeDocument/2006/relationships" r:id="rId15" tooltip="Accueil"/>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9518705" y="1541388"/>
            <a:ext cx="446400" cy="446400"/>
          </a:xfrm>
          <a:prstGeom prst="rect">
            <a:avLst/>
          </a:prstGeom>
          <a:effectLst>
            <a:outerShdw blurRad="50800" dist="38100" dir="2700000" algn="tl" rotWithShape="0">
              <a:prstClr val="black">
                <a:alpha val="40000"/>
              </a:prstClr>
            </a:outerShdw>
          </a:effectLst>
        </xdr:spPr>
      </xdr:pic>
      <xdr:grpSp>
        <xdr:nvGrpSpPr>
          <xdr:cNvPr id="25" name="Groupe 24">
            <a:hlinkClick xmlns:r="http://schemas.openxmlformats.org/officeDocument/2006/relationships" r:id="rId18" tooltip="Analyse de Risque"/>
            <a:extLst>
              <a:ext uri="{FF2B5EF4-FFF2-40B4-BE49-F238E27FC236}">
                <a16:creationId xmlns:a16="http://schemas.microsoft.com/office/drawing/2014/main" id="{00000000-0008-0000-0600-000019000000}"/>
              </a:ext>
            </a:extLst>
          </xdr:cNvPr>
          <xdr:cNvGrpSpPr/>
        </xdr:nvGrpSpPr>
        <xdr:grpSpPr>
          <a:xfrm>
            <a:off x="12661938" y="1559536"/>
            <a:ext cx="428493" cy="410104"/>
            <a:chOff x="5111260" y="103549"/>
            <a:chExt cx="428280" cy="410104"/>
          </a:xfrm>
          <a:effectLst>
            <a:outerShdw blurRad="50800" dist="38100" dir="2700000" algn="tl" rotWithShape="0">
              <a:prstClr val="black">
                <a:alpha val="40000"/>
              </a:prstClr>
            </a:outerShdw>
          </a:effectLst>
        </xdr:grpSpPr>
        <xdr:pic>
          <xdr:nvPicPr>
            <xdr:cNvPr id="33" name="Graphique 32" descr="Document avec un remplissage uni">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154942" y="103549"/>
              <a:ext cx="384598" cy="410104"/>
            </a:xfrm>
            <a:prstGeom prst="rect">
              <a:avLst/>
            </a:prstGeom>
          </xdr:spPr>
        </xdr:pic>
        <xdr:pic>
          <xdr:nvPicPr>
            <xdr:cNvPr id="34" name="Graphique 33" descr="Coche avec un remplissage uni">
              <a:extLst>
                <a:ext uri="{FF2B5EF4-FFF2-40B4-BE49-F238E27FC236}">
                  <a16:creationId xmlns:a16="http://schemas.microsoft.com/office/drawing/2014/main" id="{00000000-0008-0000-0600-00002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125784" y="288962"/>
              <a:ext cx="180273" cy="197722"/>
            </a:xfrm>
            <a:prstGeom prst="rect">
              <a:avLst/>
            </a:prstGeom>
          </xdr:spPr>
        </xdr:pic>
        <xdr:pic>
          <xdr:nvPicPr>
            <xdr:cNvPr id="35" name="Graphique 34" descr="Badge à suivre avec un remplissage uni">
              <a:extLst>
                <a:ext uri="{FF2B5EF4-FFF2-40B4-BE49-F238E27FC236}">
                  <a16:creationId xmlns:a16="http://schemas.microsoft.com/office/drawing/2014/main" id="{00000000-0008-0000-0600-000023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111260" y="145828"/>
              <a:ext cx="180273" cy="194849"/>
            </a:xfrm>
            <a:prstGeom prst="rect">
              <a:avLst/>
            </a:prstGeom>
          </xdr:spPr>
        </xdr:pic>
        <xdr:pic>
          <xdr:nvPicPr>
            <xdr:cNvPr id="36" name="Graphique 35" descr="Crayon avec un remplissage uni">
              <a:extLst>
                <a:ext uri="{FF2B5EF4-FFF2-40B4-BE49-F238E27FC236}">
                  <a16:creationId xmlns:a16="http://schemas.microsoft.com/office/drawing/2014/main" id="{00000000-0008-0000-0600-000024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284434" y="277381"/>
              <a:ext cx="231999" cy="230257"/>
            </a:xfrm>
            <a:prstGeom prst="rect">
              <a:avLst/>
            </a:prstGeom>
          </xdr:spPr>
        </xdr:pic>
      </xdr:grpSp>
      <xdr:pic>
        <xdr:nvPicPr>
          <xdr:cNvPr id="26" name="Graphique 25" descr="Présentation avec liste de vérification avec un remplissage uni">
            <a:hlinkClick xmlns:r="http://schemas.openxmlformats.org/officeDocument/2006/relationships" r:id="rId27" tooltip="Fiches de Risque"/>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13234017" y="1541314"/>
            <a:ext cx="446771" cy="446549"/>
          </a:xfrm>
          <a:prstGeom prst="rect">
            <a:avLst/>
          </a:prstGeom>
          <a:effectLst>
            <a:outerShdw blurRad="50800" dist="38100" dir="2700000" algn="tl" rotWithShape="0">
              <a:prstClr val="black">
                <a:alpha val="40000"/>
              </a:prstClr>
            </a:outerShdw>
          </a:effectLst>
        </xdr:spPr>
      </xdr:pic>
      <xdr:pic>
        <xdr:nvPicPr>
          <xdr:cNvPr id="27" name="Graphique 26" descr="Présentation avec camembert avec un remplissage uni">
            <a:hlinkClick xmlns:r="http://schemas.openxmlformats.org/officeDocument/2006/relationships" r:id="rId30" tooltip="Panorama"/>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3824374" y="1541314"/>
            <a:ext cx="446771" cy="446549"/>
          </a:xfrm>
          <a:prstGeom prst="rect">
            <a:avLst/>
          </a:prstGeom>
          <a:effectLst>
            <a:outerShdw blurRad="50800" dist="38100" dir="2700000" algn="tl" rotWithShape="0">
              <a:prstClr val="black">
                <a:alpha val="40000"/>
              </a:prstClr>
            </a:outerShdw>
          </a:effectLst>
        </xdr:spPr>
      </xdr:pic>
      <xdr:sp macro="" textlink="">
        <xdr:nvSpPr>
          <xdr:cNvPr id="28" name="Rectangle : coins arrondis 27">
            <a:extLst>
              <a:ext uri="{FF2B5EF4-FFF2-40B4-BE49-F238E27FC236}">
                <a16:creationId xmlns:a16="http://schemas.microsoft.com/office/drawing/2014/main" id="{00000000-0008-0000-0600-00001C000000}"/>
              </a:ext>
            </a:extLst>
          </xdr:cNvPr>
          <xdr:cNvSpPr/>
        </xdr:nvSpPr>
        <xdr:spPr bwMode="auto">
          <a:xfrm>
            <a:off x="10069820" y="1493126"/>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29" name="Rectangle : coins arrondis 28">
            <a:extLst>
              <a:ext uri="{FF2B5EF4-FFF2-40B4-BE49-F238E27FC236}">
                <a16:creationId xmlns:a16="http://schemas.microsoft.com/office/drawing/2014/main" id="{00000000-0008-0000-0600-00001D000000}"/>
              </a:ext>
            </a:extLst>
          </xdr:cNvPr>
          <xdr:cNvSpPr/>
        </xdr:nvSpPr>
        <xdr:spPr bwMode="auto">
          <a:xfrm>
            <a:off x="12508221" y="1493126"/>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30" name="ZoneTexte 29">
            <a:hlinkClick xmlns:r="http://schemas.openxmlformats.org/officeDocument/2006/relationships" r:id="rId33" tooltip="Gravité"/>
            <a:extLst>
              <a:ext uri="{FF2B5EF4-FFF2-40B4-BE49-F238E27FC236}">
                <a16:creationId xmlns:a16="http://schemas.microsoft.com/office/drawing/2014/main" id="{00000000-0008-0000-0600-00001E000000}"/>
              </a:ext>
            </a:extLst>
          </xdr:cNvPr>
          <xdr:cNvSpPr txBox="1"/>
        </xdr:nvSpPr>
        <xdr:spPr>
          <a:xfrm>
            <a:off x="14733067" y="1555679"/>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31" name="ZoneTexte 30">
            <a:hlinkClick xmlns:r="http://schemas.openxmlformats.org/officeDocument/2006/relationships" r:id="rId34" tooltip="Grilles de décision"/>
            <a:extLst>
              <a:ext uri="{FF2B5EF4-FFF2-40B4-BE49-F238E27FC236}">
                <a16:creationId xmlns:a16="http://schemas.microsoft.com/office/drawing/2014/main" id="{00000000-0008-0000-0600-00001F000000}"/>
              </a:ext>
            </a:extLst>
          </xdr:cNvPr>
          <xdr:cNvSpPr txBox="1"/>
        </xdr:nvSpPr>
        <xdr:spPr>
          <a:xfrm>
            <a:off x="15338068" y="1555788"/>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32" name="Rectangle : coins arrondis 31">
            <a:extLst>
              <a:ext uri="{FF2B5EF4-FFF2-40B4-BE49-F238E27FC236}">
                <a16:creationId xmlns:a16="http://schemas.microsoft.com/office/drawing/2014/main" id="{00000000-0008-0000-0600-000020000000}"/>
              </a:ext>
            </a:extLst>
          </xdr:cNvPr>
          <xdr:cNvSpPr/>
        </xdr:nvSpPr>
        <xdr:spPr bwMode="auto">
          <a:xfrm>
            <a:off x="14584014" y="1493126"/>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5</xdr:col>
      <xdr:colOff>2676525</xdr:colOff>
      <xdr:row>1</xdr:row>
      <xdr:rowOff>476250</xdr:rowOff>
    </xdr:from>
    <xdr:to>
      <xdr:col>6</xdr:col>
      <xdr:colOff>636710</xdr:colOff>
      <xdr:row>1</xdr:row>
      <xdr:rowOff>981808</xdr:rowOff>
    </xdr:to>
    <xdr:grpSp>
      <xdr:nvGrpSpPr>
        <xdr:cNvPr id="2" name="Groupe 1">
          <a:extLst>
            <a:ext uri="{FF2B5EF4-FFF2-40B4-BE49-F238E27FC236}">
              <a16:creationId xmlns:a16="http://schemas.microsoft.com/office/drawing/2014/main" id="{00000000-0008-0000-0700-000002000000}"/>
            </a:ext>
          </a:extLst>
        </xdr:cNvPr>
        <xdr:cNvGrpSpPr/>
      </xdr:nvGrpSpPr>
      <xdr:grpSpPr>
        <a:xfrm>
          <a:off x="8437245" y="643890"/>
          <a:ext cx="3522785" cy="505558"/>
          <a:chOff x="6419850" y="1409700"/>
          <a:chExt cx="3370385" cy="505558"/>
        </a:xfrm>
      </xdr:grpSpPr>
      <xdr:sp macro="" textlink="">
        <xdr:nvSpPr>
          <xdr:cNvPr id="3" name="ZoneTexte 2">
            <a:extLst>
              <a:ext uri="{FF2B5EF4-FFF2-40B4-BE49-F238E27FC236}">
                <a16:creationId xmlns:a16="http://schemas.microsoft.com/office/drawing/2014/main" id="{00000000-0008-0000-0700-000003000000}"/>
              </a:ext>
            </a:extLst>
          </xdr:cNvPr>
          <xdr:cNvSpPr txBox="1"/>
        </xdr:nvSpPr>
        <xdr:spPr>
          <a:xfrm>
            <a:off x="6419850" y="1409700"/>
            <a:ext cx="3370385" cy="505558"/>
          </a:xfrm>
          <a:prstGeom prst="round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lvl="1" algn="l"/>
            <a:r>
              <a:rPr lang="fr-FR" sz="1000">
                <a:solidFill>
                  <a:schemeClr val="bg1"/>
                </a:solidFill>
              </a:rPr>
              <a:t>Mettre un 0 dans la colonne sélection pour ne pas sélectionner un dommage</a:t>
            </a:r>
          </a:p>
        </xdr:txBody>
      </xdr:sp>
      <xdr:pic>
        <xdr:nvPicPr>
          <xdr:cNvPr id="4" name="Graphique 3" descr="Informations avec un remplissage uni">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56485" y="1431681"/>
            <a:ext cx="446942" cy="452803"/>
          </a:xfrm>
          <a:prstGeom prst="rect">
            <a:avLst/>
          </a:prstGeom>
        </xdr:spPr>
      </xdr:pic>
    </xdr:grpSp>
    <xdr:clientData/>
  </xdr:twoCellAnchor>
  <xdr:twoCellAnchor editAs="absolute">
    <xdr:from>
      <xdr:col>1</xdr:col>
      <xdr:colOff>9525</xdr:colOff>
      <xdr:row>1</xdr:row>
      <xdr:rowOff>66675</xdr:rowOff>
    </xdr:from>
    <xdr:to>
      <xdr:col>5</xdr:col>
      <xdr:colOff>979487</xdr:colOff>
      <xdr:row>1</xdr:row>
      <xdr:rowOff>609600</xdr:rowOff>
    </xdr:to>
    <xdr:grpSp>
      <xdr:nvGrpSpPr>
        <xdr:cNvPr id="19" name="Groupe 18">
          <a:extLst>
            <a:ext uri="{FF2B5EF4-FFF2-40B4-BE49-F238E27FC236}">
              <a16:creationId xmlns:a16="http://schemas.microsoft.com/office/drawing/2014/main" id="{00000000-0008-0000-0700-000013000000}"/>
            </a:ext>
          </a:extLst>
        </xdr:cNvPr>
        <xdr:cNvGrpSpPr/>
      </xdr:nvGrpSpPr>
      <xdr:grpSpPr>
        <a:xfrm>
          <a:off x="146685" y="234315"/>
          <a:ext cx="6593522" cy="542925"/>
          <a:chOff x="9518705" y="2314247"/>
          <a:chExt cx="6437312" cy="542925"/>
        </a:xfrm>
      </xdr:grpSpPr>
      <xdr:pic>
        <xdr:nvPicPr>
          <xdr:cNvPr id="20" name="Graphique 19" descr="Serveur avec un remplissage uni">
            <a:hlinkClick xmlns:r="http://schemas.openxmlformats.org/officeDocument/2006/relationships" r:id="rId3" tooltip="Actifs Support"/>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0703813" y="2361711"/>
            <a:ext cx="446400" cy="447996"/>
          </a:xfrm>
          <a:prstGeom prst="rect">
            <a:avLst/>
          </a:prstGeom>
        </xdr:spPr>
      </xdr:pic>
      <xdr:pic>
        <xdr:nvPicPr>
          <xdr:cNvPr id="21" name="Graphique 20" descr="Recherche de dossiers avec un remplissage uni">
            <a:hlinkClick xmlns:r="http://schemas.openxmlformats.org/officeDocument/2006/relationships" r:id="rId6" tooltip="Actifs Primaires"/>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0149359" y="2362509"/>
            <a:ext cx="446400" cy="446400"/>
          </a:xfrm>
          <a:prstGeom prst="rect">
            <a:avLst/>
          </a:prstGeom>
        </xdr:spPr>
      </xdr:pic>
      <xdr:pic>
        <xdr:nvPicPr>
          <xdr:cNvPr id="22" name="Graphique 21" descr="Accident avec un remplissage uni">
            <a:hlinkClick xmlns:r="http://schemas.openxmlformats.org/officeDocument/2006/relationships" r:id="rId9" tooltip="Dommages"/>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1258267" y="2362509"/>
            <a:ext cx="446400" cy="446400"/>
          </a:xfrm>
          <a:prstGeom prst="rect">
            <a:avLst/>
          </a:prstGeom>
        </xdr:spPr>
      </xdr:pic>
      <xdr:pic>
        <xdr:nvPicPr>
          <xdr:cNvPr id="23" name="Graphique 22" descr="Dé avec un remplissage uni">
            <a:hlinkClick xmlns:r="http://schemas.openxmlformats.org/officeDocument/2006/relationships" r:id="rId12" tooltip="Evénements déclencheurs"/>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1812722" y="2362509"/>
            <a:ext cx="446400" cy="446400"/>
          </a:xfrm>
          <a:prstGeom prst="rect">
            <a:avLst/>
          </a:prstGeom>
        </xdr:spPr>
      </xdr:pic>
      <xdr:pic>
        <xdr:nvPicPr>
          <xdr:cNvPr id="24" name="Graphique 23" descr="Logement avec un remplissage uni">
            <a:hlinkClick xmlns:r="http://schemas.openxmlformats.org/officeDocument/2006/relationships" r:id="rId15" tooltip="Accueil"/>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9518705" y="2362509"/>
            <a:ext cx="446400" cy="446400"/>
          </a:xfrm>
          <a:prstGeom prst="rect">
            <a:avLst/>
          </a:prstGeom>
          <a:effectLst>
            <a:outerShdw blurRad="50800" dist="38100" dir="2700000" algn="tl" rotWithShape="0">
              <a:prstClr val="black">
                <a:alpha val="40000"/>
              </a:prstClr>
            </a:outerShdw>
          </a:effectLst>
        </xdr:spPr>
      </xdr:pic>
      <xdr:grpSp>
        <xdr:nvGrpSpPr>
          <xdr:cNvPr id="25" name="Groupe 24">
            <a:hlinkClick xmlns:r="http://schemas.openxmlformats.org/officeDocument/2006/relationships" r:id="rId18" tooltip="Analyse de Risque"/>
            <a:extLst>
              <a:ext uri="{FF2B5EF4-FFF2-40B4-BE49-F238E27FC236}">
                <a16:creationId xmlns:a16="http://schemas.microsoft.com/office/drawing/2014/main" id="{00000000-0008-0000-0700-000019000000}"/>
              </a:ext>
            </a:extLst>
          </xdr:cNvPr>
          <xdr:cNvGrpSpPr/>
        </xdr:nvGrpSpPr>
        <xdr:grpSpPr>
          <a:xfrm>
            <a:off x="12661938" y="2380657"/>
            <a:ext cx="428493" cy="410104"/>
            <a:chOff x="5111260" y="103549"/>
            <a:chExt cx="428280" cy="410104"/>
          </a:xfrm>
          <a:effectLst>
            <a:outerShdw blurRad="50800" dist="38100" dir="2700000" algn="tl" rotWithShape="0">
              <a:prstClr val="black">
                <a:alpha val="40000"/>
              </a:prstClr>
            </a:outerShdw>
          </a:effectLst>
        </xdr:grpSpPr>
        <xdr:pic>
          <xdr:nvPicPr>
            <xdr:cNvPr id="33" name="Graphique 32" descr="Document avec un remplissage uni">
              <a:extLst>
                <a:ext uri="{FF2B5EF4-FFF2-40B4-BE49-F238E27FC236}">
                  <a16:creationId xmlns:a16="http://schemas.microsoft.com/office/drawing/2014/main" id="{00000000-0008-0000-0700-000021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154942" y="103549"/>
              <a:ext cx="384598" cy="410104"/>
            </a:xfrm>
            <a:prstGeom prst="rect">
              <a:avLst/>
            </a:prstGeom>
          </xdr:spPr>
        </xdr:pic>
        <xdr:pic>
          <xdr:nvPicPr>
            <xdr:cNvPr id="34" name="Graphique 33" descr="Coche avec un remplissage uni">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125784" y="288962"/>
              <a:ext cx="180273" cy="197722"/>
            </a:xfrm>
            <a:prstGeom prst="rect">
              <a:avLst/>
            </a:prstGeom>
          </xdr:spPr>
        </xdr:pic>
        <xdr:pic>
          <xdr:nvPicPr>
            <xdr:cNvPr id="35" name="Graphique 34" descr="Badge à suivre avec un remplissage uni">
              <a:extLst>
                <a:ext uri="{FF2B5EF4-FFF2-40B4-BE49-F238E27FC236}">
                  <a16:creationId xmlns:a16="http://schemas.microsoft.com/office/drawing/2014/main" id="{00000000-0008-0000-0700-000023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111260" y="145828"/>
              <a:ext cx="180273" cy="194849"/>
            </a:xfrm>
            <a:prstGeom prst="rect">
              <a:avLst/>
            </a:prstGeom>
          </xdr:spPr>
        </xdr:pic>
        <xdr:pic>
          <xdr:nvPicPr>
            <xdr:cNvPr id="36" name="Graphique 35" descr="Crayon avec un remplissage uni">
              <a:extLst>
                <a:ext uri="{FF2B5EF4-FFF2-40B4-BE49-F238E27FC236}">
                  <a16:creationId xmlns:a16="http://schemas.microsoft.com/office/drawing/2014/main" id="{00000000-0008-0000-0700-000024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284434" y="277381"/>
              <a:ext cx="231999" cy="230257"/>
            </a:xfrm>
            <a:prstGeom prst="rect">
              <a:avLst/>
            </a:prstGeom>
          </xdr:spPr>
        </xdr:pic>
      </xdr:grpSp>
      <xdr:pic>
        <xdr:nvPicPr>
          <xdr:cNvPr id="26" name="Graphique 25" descr="Présentation avec liste de vérification avec un remplissage uni">
            <a:hlinkClick xmlns:r="http://schemas.openxmlformats.org/officeDocument/2006/relationships" r:id="rId27" tooltip="Fiches de Risque"/>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13234017" y="2362435"/>
            <a:ext cx="446771" cy="446549"/>
          </a:xfrm>
          <a:prstGeom prst="rect">
            <a:avLst/>
          </a:prstGeom>
          <a:effectLst>
            <a:outerShdw blurRad="50800" dist="38100" dir="2700000" algn="tl" rotWithShape="0">
              <a:prstClr val="black">
                <a:alpha val="40000"/>
              </a:prstClr>
            </a:outerShdw>
          </a:effectLst>
        </xdr:spPr>
      </xdr:pic>
      <xdr:pic>
        <xdr:nvPicPr>
          <xdr:cNvPr id="27" name="Graphique 26" descr="Présentation avec camembert avec un remplissage uni">
            <a:hlinkClick xmlns:r="http://schemas.openxmlformats.org/officeDocument/2006/relationships" r:id="rId30" tooltip="Panorama"/>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3824374" y="2362435"/>
            <a:ext cx="446771" cy="446549"/>
          </a:xfrm>
          <a:prstGeom prst="rect">
            <a:avLst/>
          </a:prstGeom>
          <a:effectLst>
            <a:outerShdw blurRad="50800" dist="38100" dir="2700000" algn="tl" rotWithShape="0">
              <a:prstClr val="black">
                <a:alpha val="40000"/>
              </a:prstClr>
            </a:outerShdw>
          </a:effectLst>
        </xdr:spPr>
      </xdr:pic>
      <xdr:sp macro="" textlink="">
        <xdr:nvSpPr>
          <xdr:cNvPr id="28" name="Rectangle : coins arrondis 27">
            <a:extLst>
              <a:ext uri="{FF2B5EF4-FFF2-40B4-BE49-F238E27FC236}">
                <a16:creationId xmlns:a16="http://schemas.microsoft.com/office/drawing/2014/main" id="{00000000-0008-0000-0700-00001C000000}"/>
              </a:ext>
            </a:extLst>
          </xdr:cNvPr>
          <xdr:cNvSpPr/>
        </xdr:nvSpPr>
        <xdr:spPr bwMode="auto">
          <a:xfrm>
            <a:off x="10069820" y="2314247"/>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29" name="Rectangle : coins arrondis 28">
            <a:extLst>
              <a:ext uri="{FF2B5EF4-FFF2-40B4-BE49-F238E27FC236}">
                <a16:creationId xmlns:a16="http://schemas.microsoft.com/office/drawing/2014/main" id="{00000000-0008-0000-0700-00001D000000}"/>
              </a:ext>
            </a:extLst>
          </xdr:cNvPr>
          <xdr:cNvSpPr/>
        </xdr:nvSpPr>
        <xdr:spPr bwMode="auto">
          <a:xfrm>
            <a:off x="12508221" y="2314247"/>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30" name="ZoneTexte 29">
            <a:hlinkClick xmlns:r="http://schemas.openxmlformats.org/officeDocument/2006/relationships" r:id="rId33" tooltip="Gravité"/>
            <a:extLst>
              <a:ext uri="{FF2B5EF4-FFF2-40B4-BE49-F238E27FC236}">
                <a16:creationId xmlns:a16="http://schemas.microsoft.com/office/drawing/2014/main" id="{00000000-0008-0000-0700-00001E000000}"/>
              </a:ext>
            </a:extLst>
          </xdr:cNvPr>
          <xdr:cNvSpPr txBox="1"/>
        </xdr:nvSpPr>
        <xdr:spPr>
          <a:xfrm>
            <a:off x="14733067" y="2376800"/>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31" name="ZoneTexte 30">
            <a:hlinkClick xmlns:r="http://schemas.openxmlformats.org/officeDocument/2006/relationships" r:id="rId34" tooltip="Grilles de décision"/>
            <a:extLst>
              <a:ext uri="{FF2B5EF4-FFF2-40B4-BE49-F238E27FC236}">
                <a16:creationId xmlns:a16="http://schemas.microsoft.com/office/drawing/2014/main" id="{00000000-0008-0000-0700-00001F000000}"/>
              </a:ext>
            </a:extLst>
          </xdr:cNvPr>
          <xdr:cNvSpPr txBox="1"/>
        </xdr:nvSpPr>
        <xdr:spPr>
          <a:xfrm>
            <a:off x="15338068" y="2376909"/>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32" name="Rectangle : coins arrondis 31">
            <a:extLst>
              <a:ext uri="{FF2B5EF4-FFF2-40B4-BE49-F238E27FC236}">
                <a16:creationId xmlns:a16="http://schemas.microsoft.com/office/drawing/2014/main" id="{00000000-0008-0000-0700-000020000000}"/>
              </a:ext>
            </a:extLst>
          </xdr:cNvPr>
          <xdr:cNvSpPr/>
        </xdr:nvSpPr>
        <xdr:spPr bwMode="auto">
          <a:xfrm>
            <a:off x="14584014" y="2314247"/>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6</xdr:col>
      <xdr:colOff>466725</xdr:colOff>
      <xdr:row>1</xdr:row>
      <xdr:rowOff>180971</xdr:rowOff>
    </xdr:from>
    <xdr:to>
      <xdr:col>10</xdr:col>
      <xdr:colOff>733425</xdr:colOff>
      <xdr:row>1</xdr:row>
      <xdr:rowOff>1085848</xdr:rowOff>
    </xdr:to>
    <xdr:grpSp>
      <xdr:nvGrpSpPr>
        <xdr:cNvPr id="2" name="Groupe 1">
          <a:extLst>
            <a:ext uri="{FF2B5EF4-FFF2-40B4-BE49-F238E27FC236}">
              <a16:creationId xmlns:a16="http://schemas.microsoft.com/office/drawing/2014/main" id="{00000000-0008-0000-0800-000002000000}"/>
            </a:ext>
          </a:extLst>
        </xdr:cNvPr>
        <xdr:cNvGrpSpPr/>
      </xdr:nvGrpSpPr>
      <xdr:grpSpPr>
        <a:xfrm>
          <a:off x="7911465" y="272411"/>
          <a:ext cx="4427220" cy="904877"/>
          <a:chOff x="6811811" y="1501883"/>
          <a:chExt cx="4441803" cy="903567"/>
        </a:xfrm>
      </xdr:grpSpPr>
      <xdr:sp macro="" textlink="">
        <xdr:nvSpPr>
          <xdr:cNvPr id="3" name="ZoneTexte 2">
            <a:extLst>
              <a:ext uri="{FF2B5EF4-FFF2-40B4-BE49-F238E27FC236}">
                <a16:creationId xmlns:a16="http://schemas.microsoft.com/office/drawing/2014/main" id="{00000000-0008-0000-0800-000003000000}"/>
              </a:ext>
            </a:extLst>
          </xdr:cNvPr>
          <xdr:cNvSpPr txBox="1"/>
        </xdr:nvSpPr>
        <xdr:spPr>
          <a:xfrm>
            <a:off x="6811811" y="1501883"/>
            <a:ext cx="4441803" cy="903567"/>
          </a:xfrm>
          <a:prstGeom prst="round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lvl="1"/>
            <a:r>
              <a:rPr lang="fr-FR" sz="1000">
                <a:solidFill>
                  <a:schemeClr val="bg1"/>
                </a:solidFill>
              </a:rPr>
              <a:t>Exposition naturelle décidée : </a:t>
            </a:r>
            <a:r>
              <a:rPr lang="fr-FR" sz="1000">
                <a:solidFill>
                  <a:schemeClr val="bg1"/>
                </a:solidFill>
                <a:effectLst/>
                <a:latin typeface="+mn-lt"/>
                <a:ea typeface="+mn-ea"/>
                <a:cs typeface="+mn-cs"/>
              </a:rPr>
              <a:t>Vous pouvez choisir</a:t>
            </a:r>
            <a:r>
              <a:rPr lang="fr-FR" sz="1000" baseline="0">
                <a:solidFill>
                  <a:schemeClr val="bg1"/>
                </a:solidFill>
                <a:effectLst/>
                <a:latin typeface="+mn-lt"/>
                <a:ea typeface="+mn-ea"/>
                <a:cs typeface="+mn-cs"/>
              </a:rPr>
              <a:t> une exposition différentes (de 1 à 4).</a:t>
            </a:r>
          </a:p>
          <a:p>
            <a:pPr marL="457200" marR="0" lvl="1" indent="0" defTabSz="914400" eaLnBrk="1" fontAlgn="auto" latinLnBrk="0" hangingPunct="1">
              <a:lnSpc>
                <a:spcPct val="100000"/>
              </a:lnSpc>
              <a:spcBef>
                <a:spcPts val="0"/>
              </a:spcBef>
              <a:spcAft>
                <a:spcPts val="0"/>
              </a:spcAft>
              <a:buClrTx/>
              <a:buSzTx/>
              <a:buFontTx/>
              <a:buNone/>
              <a:tabLst/>
              <a:defRPr/>
            </a:pPr>
            <a:endParaRPr lang="fr-FR" sz="600">
              <a:solidFill>
                <a:schemeClr val="bg1"/>
              </a:solidFill>
              <a:effectLst/>
              <a:latin typeface="+mn-lt"/>
              <a:ea typeface="+mn-ea"/>
              <a:cs typeface="+mn-cs"/>
            </a:endParaRPr>
          </a:p>
          <a:p>
            <a:pPr marL="457200" marR="0" lvl="1" indent="0" defTabSz="914400" eaLnBrk="1" fontAlgn="auto" latinLnBrk="0" hangingPunct="1">
              <a:lnSpc>
                <a:spcPct val="100000"/>
              </a:lnSpc>
              <a:spcBef>
                <a:spcPts val="0"/>
              </a:spcBef>
              <a:spcAft>
                <a:spcPts val="0"/>
              </a:spcAft>
              <a:buClrTx/>
              <a:buSzTx/>
              <a:buFontTx/>
              <a:buNone/>
              <a:tabLst/>
              <a:defRPr/>
            </a:pPr>
            <a:r>
              <a:rPr lang="fr-FR" sz="1000">
                <a:solidFill>
                  <a:schemeClr val="bg1"/>
                </a:solidFill>
                <a:effectLst/>
                <a:latin typeface="+mn-lt"/>
                <a:ea typeface="+mn-ea"/>
                <a:cs typeface="+mn-cs"/>
              </a:rPr>
              <a:t>Sélection : Mettre un 0 dans la colonne sélection pour ne pas sélectionner un</a:t>
            </a:r>
            <a:r>
              <a:rPr lang="fr-FR" sz="1000" baseline="0">
                <a:solidFill>
                  <a:schemeClr val="bg1"/>
                </a:solidFill>
                <a:effectLst/>
                <a:latin typeface="+mn-lt"/>
                <a:ea typeface="+mn-ea"/>
                <a:cs typeface="+mn-cs"/>
              </a:rPr>
              <a:t> événement déclencheur</a:t>
            </a:r>
            <a:r>
              <a:rPr lang="fr-FR" sz="1000">
                <a:solidFill>
                  <a:schemeClr val="bg1"/>
                </a:solidFill>
                <a:effectLst/>
                <a:latin typeface="+mn-lt"/>
                <a:ea typeface="+mn-ea"/>
                <a:cs typeface="+mn-cs"/>
              </a:rPr>
              <a:t>.</a:t>
            </a:r>
            <a:endParaRPr lang="fr-FR" sz="1000">
              <a:solidFill>
                <a:schemeClr val="bg1"/>
              </a:solidFill>
              <a:effectLst/>
            </a:endParaRPr>
          </a:p>
        </xdr:txBody>
      </xdr:sp>
      <xdr:pic>
        <xdr:nvPicPr>
          <xdr:cNvPr id="4" name="Graphique 3" descr="Informations avec un remplissage uni">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866648" y="1720644"/>
            <a:ext cx="425470" cy="464040"/>
          </a:xfrm>
          <a:prstGeom prst="rect">
            <a:avLst/>
          </a:prstGeom>
        </xdr:spPr>
      </xdr:pic>
    </xdr:grpSp>
    <xdr:clientData/>
  </xdr:twoCellAnchor>
  <xdr:twoCellAnchor editAs="absolute">
    <xdr:from>
      <xdr:col>1</xdr:col>
      <xdr:colOff>0</xdr:colOff>
      <xdr:row>1</xdr:row>
      <xdr:rowOff>57150</xdr:rowOff>
    </xdr:from>
    <xdr:to>
      <xdr:col>5</xdr:col>
      <xdr:colOff>284162</xdr:colOff>
      <xdr:row>1</xdr:row>
      <xdr:rowOff>600075</xdr:rowOff>
    </xdr:to>
    <xdr:grpSp>
      <xdr:nvGrpSpPr>
        <xdr:cNvPr id="19" name="Groupe 18">
          <a:extLst>
            <a:ext uri="{FF2B5EF4-FFF2-40B4-BE49-F238E27FC236}">
              <a16:creationId xmlns:a16="http://schemas.microsoft.com/office/drawing/2014/main" id="{00000000-0008-0000-0800-000013000000}"/>
            </a:ext>
          </a:extLst>
        </xdr:cNvPr>
        <xdr:cNvGrpSpPr/>
      </xdr:nvGrpSpPr>
      <xdr:grpSpPr>
        <a:xfrm>
          <a:off x="99060" y="148590"/>
          <a:ext cx="6624002" cy="542925"/>
          <a:chOff x="9518705" y="3076247"/>
          <a:chExt cx="6437312" cy="542925"/>
        </a:xfrm>
      </xdr:grpSpPr>
      <xdr:pic>
        <xdr:nvPicPr>
          <xdr:cNvPr id="20" name="Graphique 19" descr="Serveur avec un remplissage uni">
            <a:hlinkClick xmlns:r="http://schemas.openxmlformats.org/officeDocument/2006/relationships" r:id="rId3" tooltip="Actifs Support"/>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0703813" y="3123711"/>
            <a:ext cx="446400" cy="447996"/>
          </a:xfrm>
          <a:prstGeom prst="rect">
            <a:avLst/>
          </a:prstGeom>
        </xdr:spPr>
      </xdr:pic>
      <xdr:pic>
        <xdr:nvPicPr>
          <xdr:cNvPr id="21" name="Graphique 20" descr="Recherche de dossiers avec un remplissage uni">
            <a:hlinkClick xmlns:r="http://schemas.openxmlformats.org/officeDocument/2006/relationships" r:id="rId6" tooltip="Actifs Primaires"/>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0149359" y="3124509"/>
            <a:ext cx="446400" cy="446400"/>
          </a:xfrm>
          <a:prstGeom prst="rect">
            <a:avLst/>
          </a:prstGeom>
        </xdr:spPr>
      </xdr:pic>
      <xdr:pic>
        <xdr:nvPicPr>
          <xdr:cNvPr id="22" name="Graphique 21" descr="Accident avec un remplissage uni">
            <a:hlinkClick xmlns:r="http://schemas.openxmlformats.org/officeDocument/2006/relationships" r:id="rId9" tooltip="Dommages"/>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1258267" y="3124509"/>
            <a:ext cx="446400" cy="446400"/>
          </a:xfrm>
          <a:prstGeom prst="rect">
            <a:avLst/>
          </a:prstGeom>
        </xdr:spPr>
      </xdr:pic>
      <xdr:pic>
        <xdr:nvPicPr>
          <xdr:cNvPr id="23" name="Graphique 22" descr="Dé avec un remplissage uni">
            <a:hlinkClick xmlns:r="http://schemas.openxmlformats.org/officeDocument/2006/relationships" r:id="rId12" tooltip="Evénements déclencheurs"/>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1812722" y="3124509"/>
            <a:ext cx="446400" cy="446400"/>
          </a:xfrm>
          <a:prstGeom prst="rect">
            <a:avLst/>
          </a:prstGeom>
        </xdr:spPr>
      </xdr:pic>
      <xdr:pic>
        <xdr:nvPicPr>
          <xdr:cNvPr id="24" name="Graphique 23" descr="Logement avec un remplissage uni">
            <a:hlinkClick xmlns:r="http://schemas.openxmlformats.org/officeDocument/2006/relationships" r:id="rId15" tooltip="Accueil"/>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9518705" y="3124509"/>
            <a:ext cx="446400" cy="446400"/>
          </a:xfrm>
          <a:prstGeom prst="rect">
            <a:avLst/>
          </a:prstGeom>
          <a:effectLst>
            <a:outerShdw blurRad="50800" dist="38100" dir="2700000" algn="tl" rotWithShape="0">
              <a:prstClr val="black">
                <a:alpha val="40000"/>
              </a:prstClr>
            </a:outerShdw>
          </a:effectLst>
        </xdr:spPr>
      </xdr:pic>
      <xdr:grpSp>
        <xdr:nvGrpSpPr>
          <xdr:cNvPr id="25" name="Groupe 24">
            <a:hlinkClick xmlns:r="http://schemas.openxmlformats.org/officeDocument/2006/relationships" r:id="rId18" tooltip="Analyse de Risque"/>
            <a:extLst>
              <a:ext uri="{FF2B5EF4-FFF2-40B4-BE49-F238E27FC236}">
                <a16:creationId xmlns:a16="http://schemas.microsoft.com/office/drawing/2014/main" id="{00000000-0008-0000-0800-000019000000}"/>
              </a:ext>
            </a:extLst>
          </xdr:cNvPr>
          <xdr:cNvGrpSpPr/>
        </xdr:nvGrpSpPr>
        <xdr:grpSpPr>
          <a:xfrm>
            <a:off x="12661938" y="3142657"/>
            <a:ext cx="428493" cy="410104"/>
            <a:chOff x="5111260" y="103549"/>
            <a:chExt cx="428280" cy="410104"/>
          </a:xfrm>
          <a:effectLst>
            <a:outerShdw blurRad="50800" dist="38100" dir="2700000" algn="tl" rotWithShape="0">
              <a:prstClr val="black">
                <a:alpha val="40000"/>
              </a:prstClr>
            </a:outerShdw>
          </a:effectLst>
        </xdr:grpSpPr>
        <xdr:pic>
          <xdr:nvPicPr>
            <xdr:cNvPr id="33" name="Graphique 32" descr="Document avec un remplissage uni">
              <a:extLst>
                <a:ext uri="{FF2B5EF4-FFF2-40B4-BE49-F238E27FC236}">
                  <a16:creationId xmlns:a16="http://schemas.microsoft.com/office/drawing/2014/main" id="{00000000-0008-0000-0800-000021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154942" y="103549"/>
              <a:ext cx="384598" cy="410104"/>
            </a:xfrm>
            <a:prstGeom prst="rect">
              <a:avLst/>
            </a:prstGeom>
          </xdr:spPr>
        </xdr:pic>
        <xdr:pic>
          <xdr:nvPicPr>
            <xdr:cNvPr id="34" name="Graphique 33" descr="Coche avec un remplissage uni">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125784" y="288962"/>
              <a:ext cx="180273" cy="197722"/>
            </a:xfrm>
            <a:prstGeom prst="rect">
              <a:avLst/>
            </a:prstGeom>
          </xdr:spPr>
        </xdr:pic>
        <xdr:pic>
          <xdr:nvPicPr>
            <xdr:cNvPr id="35" name="Graphique 34" descr="Badge à suivre avec un remplissage uni">
              <a:extLst>
                <a:ext uri="{FF2B5EF4-FFF2-40B4-BE49-F238E27FC236}">
                  <a16:creationId xmlns:a16="http://schemas.microsoft.com/office/drawing/2014/main" id="{00000000-0008-0000-0800-000023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111260" y="145828"/>
              <a:ext cx="180273" cy="194849"/>
            </a:xfrm>
            <a:prstGeom prst="rect">
              <a:avLst/>
            </a:prstGeom>
          </xdr:spPr>
        </xdr:pic>
        <xdr:pic>
          <xdr:nvPicPr>
            <xdr:cNvPr id="36" name="Graphique 35" descr="Crayon avec un remplissage uni">
              <a:extLst>
                <a:ext uri="{FF2B5EF4-FFF2-40B4-BE49-F238E27FC236}">
                  <a16:creationId xmlns:a16="http://schemas.microsoft.com/office/drawing/2014/main" id="{00000000-0008-0000-0800-000024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284434" y="277381"/>
              <a:ext cx="231999" cy="230257"/>
            </a:xfrm>
            <a:prstGeom prst="rect">
              <a:avLst/>
            </a:prstGeom>
          </xdr:spPr>
        </xdr:pic>
      </xdr:grpSp>
      <xdr:pic>
        <xdr:nvPicPr>
          <xdr:cNvPr id="26" name="Graphique 25" descr="Présentation avec liste de vérification avec un remplissage uni">
            <a:hlinkClick xmlns:r="http://schemas.openxmlformats.org/officeDocument/2006/relationships" r:id="rId27" tooltip="Fiches de Risque"/>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13234017" y="3124435"/>
            <a:ext cx="446771" cy="446549"/>
          </a:xfrm>
          <a:prstGeom prst="rect">
            <a:avLst/>
          </a:prstGeom>
          <a:effectLst>
            <a:outerShdw blurRad="50800" dist="38100" dir="2700000" algn="tl" rotWithShape="0">
              <a:prstClr val="black">
                <a:alpha val="40000"/>
              </a:prstClr>
            </a:outerShdw>
          </a:effectLst>
        </xdr:spPr>
      </xdr:pic>
      <xdr:pic>
        <xdr:nvPicPr>
          <xdr:cNvPr id="27" name="Graphique 26" descr="Présentation avec camembert avec un remplissage uni">
            <a:hlinkClick xmlns:r="http://schemas.openxmlformats.org/officeDocument/2006/relationships" r:id="rId30" tooltip="Panorama"/>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3824374" y="3124435"/>
            <a:ext cx="446771" cy="446549"/>
          </a:xfrm>
          <a:prstGeom prst="rect">
            <a:avLst/>
          </a:prstGeom>
          <a:effectLst>
            <a:outerShdw blurRad="50800" dist="38100" dir="2700000" algn="tl" rotWithShape="0">
              <a:prstClr val="black">
                <a:alpha val="40000"/>
              </a:prstClr>
            </a:outerShdw>
          </a:effectLst>
        </xdr:spPr>
      </xdr:pic>
      <xdr:sp macro="" textlink="">
        <xdr:nvSpPr>
          <xdr:cNvPr id="28" name="Rectangle : coins arrondis 27">
            <a:extLst>
              <a:ext uri="{FF2B5EF4-FFF2-40B4-BE49-F238E27FC236}">
                <a16:creationId xmlns:a16="http://schemas.microsoft.com/office/drawing/2014/main" id="{00000000-0008-0000-0800-00001C000000}"/>
              </a:ext>
            </a:extLst>
          </xdr:cNvPr>
          <xdr:cNvSpPr/>
        </xdr:nvSpPr>
        <xdr:spPr bwMode="auto">
          <a:xfrm>
            <a:off x="10069820" y="3076247"/>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29" name="Rectangle : coins arrondis 28">
            <a:extLst>
              <a:ext uri="{FF2B5EF4-FFF2-40B4-BE49-F238E27FC236}">
                <a16:creationId xmlns:a16="http://schemas.microsoft.com/office/drawing/2014/main" id="{00000000-0008-0000-0800-00001D000000}"/>
              </a:ext>
            </a:extLst>
          </xdr:cNvPr>
          <xdr:cNvSpPr/>
        </xdr:nvSpPr>
        <xdr:spPr bwMode="auto">
          <a:xfrm>
            <a:off x="12508221" y="3076247"/>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30" name="ZoneTexte 29">
            <a:hlinkClick xmlns:r="http://schemas.openxmlformats.org/officeDocument/2006/relationships" r:id="rId33" tooltip="Gravité"/>
            <a:extLst>
              <a:ext uri="{FF2B5EF4-FFF2-40B4-BE49-F238E27FC236}">
                <a16:creationId xmlns:a16="http://schemas.microsoft.com/office/drawing/2014/main" id="{00000000-0008-0000-0800-00001E000000}"/>
              </a:ext>
            </a:extLst>
          </xdr:cNvPr>
          <xdr:cNvSpPr txBox="1"/>
        </xdr:nvSpPr>
        <xdr:spPr>
          <a:xfrm>
            <a:off x="14733067" y="3138800"/>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31" name="ZoneTexte 30">
            <a:hlinkClick xmlns:r="http://schemas.openxmlformats.org/officeDocument/2006/relationships" r:id="rId34" tooltip="Grilles de décision"/>
            <a:extLst>
              <a:ext uri="{FF2B5EF4-FFF2-40B4-BE49-F238E27FC236}">
                <a16:creationId xmlns:a16="http://schemas.microsoft.com/office/drawing/2014/main" id="{00000000-0008-0000-0800-00001F000000}"/>
              </a:ext>
            </a:extLst>
          </xdr:cNvPr>
          <xdr:cNvSpPr txBox="1"/>
        </xdr:nvSpPr>
        <xdr:spPr>
          <a:xfrm>
            <a:off x="15338068" y="3138909"/>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32" name="Rectangle : coins arrondis 31">
            <a:extLst>
              <a:ext uri="{FF2B5EF4-FFF2-40B4-BE49-F238E27FC236}">
                <a16:creationId xmlns:a16="http://schemas.microsoft.com/office/drawing/2014/main" id="{00000000-0008-0000-0800-000020000000}"/>
              </a:ext>
            </a:extLst>
          </xdr:cNvPr>
          <xdr:cNvSpPr/>
        </xdr:nvSpPr>
        <xdr:spPr bwMode="auto">
          <a:xfrm>
            <a:off x="14584014" y="3076247"/>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1</xdr:col>
      <xdr:colOff>85725</xdr:colOff>
      <xdr:row>0</xdr:row>
      <xdr:rowOff>0</xdr:rowOff>
    </xdr:from>
    <xdr:to>
      <xdr:col>1</xdr:col>
      <xdr:colOff>539325</xdr:colOff>
      <xdr:row>0</xdr:row>
      <xdr:rowOff>453600</xdr:rowOff>
    </xdr:to>
    <xdr:pic>
      <xdr:nvPicPr>
        <xdr:cNvPr id="12" name="Graphique 11" descr="Logement avec un remplissage uni">
          <a:hlinkClick xmlns:r="http://schemas.openxmlformats.org/officeDocument/2006/relationships" r:id="rId1" tooltip="Accueil"/>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2400" y="0"/>
          <a:ext cx="453600" cy="453600"/>
        </a:xfrm>
        <a:prstGeom prst="rect">
          <a:avLst/>
        </a:prstGeom>
        <a:effectLst>
          <a:outerShdw blurRad="50800" dist="38100" dir="2700000" algn="tl" rotWithShape="0">
            <a:prstClr val="black">
              <a:alpha val="40000"/>
            </a:prst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219076</xdr:colOff>
      <xdr:row>4</xdr:row>
      <xdr:rowOff>9525</xdr:rowOff>
    </xdr:from>
    <xdr:to>
      <xdr:col>4</xdr:col>
      <xdr:colOff>295275</xdr:colOff>
      <xdr:row>31</xdr:row>
      <xdr:rowOff>133350</xdr:rowOff>
    </xdr:to>
    <xdr:sp macro="" textlink="">
      <xdr:nvSpPr>
        <xdr:cNvPr id="3" name="Rectangle : coins arrondis 2">
          <a:extLst>
            <a:ext uri="{FF2B5EF4-FFF2-40B4-BE49-F238E27FC236}">
              <a16:creationId xmlns:a16="http://schemas.microsoft.com/office/drawing/2014/main" id="{00000000-0008-0000-0A00-000003000000}"/>
            </a:ext>
          </a:extLst>
        </xdr:cNvPr>
        <xdr:cNvSpPr/>
      </xdr:nvSpPr>
      <xdr:spPr bwMode="auto">
        <a:xfrm>
          <a:off x="219076" y="923925"/>
          <a:ext cx="10220324" cy="620077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0</xdr:col>
      <xdr:colOff>228602</xdr:colOff>
      <xdr:row>35</xdr:row>
      <xdr:rowOff>76201</xdr:rowOff>
    </xdr:from>
    <xdr:to>
      <xdr:col>4</xdr:col>
      <xdr:colOff>247650</xdr:colOff>
      <xdr:row>57</xdr:row>
      <xdr:rowOff>142876</xdr:rowOff>
    </xdr:to>
    <xdr:sp macro="" textlink="">
      <xdr:nvSpPr>
        <xdr:cNvPr id="17" name="Rectangle : coins arrondis 16">
          <a:extLst>
            <a:ext uri="{FF2B5EF4-FFF2-40B4-BE49-F238E27FC236}">
              <a16:creationId xmlns:a16="http://schemas.microsoft.com/office/drawing/2014/main" id="{00000000-0008-0000-0A00-000011000000}"/>
            </a:ext>
          </a:extLst>
        </xdr:cNvPr>
        <xdr:cNvSpPr/>
      </xdr:nvSpPr>
      <xdr:spPr bwMode="auto">
        <a:xfrm>
          <a:off x="228602" y="7997826"/>
          <a:ext cx="10179048" cy="8242300"/>
        </a:xfrm>
        <a:prstGeom prst="roundRect">
          <a:avLst>
            <a:gd name="adj" fmla="val 3293"/>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0</xdr:col>
      <xdr:colOff>228602</xdr:colOff>
      <xdr:row>60</xdr:row>
      <xdr:rowOff>85724</xdr:rowOff>
    </xdr:from>
    <xdr:to>
      <xdr:col>4</xdr:col>
      <xdr:colOff>238125</xdr:colOff>
      <xdr:row>83</xdr:row>
      <xdr:rowOff>156882</xdr:rowOff>
    </xdr:to>
    <xdr:sp macro="" textlink="">
      <xdr:nvSpPr>
        <xdr:cNvPr id="18" name="Rectangle : coins arrondis 17">
          <a:extLst>
            <a:ext uri="{FF2B5EF4-FFF2-40B4-BE49-F238E27FC236}">
              <a16:creationId xmlns:a16="http://schemas.microsoft.com/office/drawing/2014/main" id="{00000000-0008-0000-0A00-000012000000}"/>
            </a:ext>
          </a:extLst>
        </xdr:cNvPr>
        <xdr:cNvSpPr/>
      </xdr:nvSpPr>
      <xdr:spPr bwMode="auto">
        <a:xfrm>
          <a:off x="228602" y="16897349"/>
          <a:ext cx="10153648" cy="8815108"/>
        </a:xfrm>
        <a:prstGeom prst="roundRect">
          <a:avLst>
            <a:gd name="adj" fmla="val 3184"/>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0</xdr:col>
      <xdr:colOff>228602</xdr:colOff>
      <xdr:row>84</xdr:row>
      <xdr:rowOff>145677</xdr:rowOff>
    </xdr:from>
    <xdr:to>
      <xdr:col>4</xdr:col>
      <xdr:colOff>238125</xdr:colOff>
      <xdr:row>87</xdr:row>
      <xdr:rowOff>145676</xdr:rowOff>
    </xdr:to>
    <xdr:sp macro="" textlink="">
      <xdr:nvSpPr>
        <xdr:cNvPr id="20" name="Rectangle : coins arrondis 19">
          <a:extLst>
            <a:ext uri="{FF2B5EF4-FFF2-40B4-BE49-F238E27FC236}">
              <a16:creationId xmlns:a16="http://schemas.microsoft.com/office/drawing/2014/main" id="{00000000-0008-0000-0A00-000014000000}"/>
            </a:ext>
          </a:extLst>
        </xdr:cNvPr>
        <xdr:cNvSpPr/>
      </xdr:nvSpPr>
      <xdr:spPr bwMode="auto">
        <a:xfrm>
          <a:off x="228602" y="25967952"/>
          <a:ext cx="10153648" cy="1285874"/>
        </a:xfrm>
        <a:prstGeom prst="roundRect">
          <a:avLst>
            <a:gd name="adj" fmla="val 17877"/>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3</xdr:col>
      <xdr:colOff>4957459</xdr:colOff>
      <xdr:row>0</xdr:row>
      <xdr:rowOff>149991</xdr:rowOff>
    </xdr:from>
    <xdr:to>
      <xdr:col>5</xdr:col>
      <xdr:colOff>1127440</xdr:colOff>
      <xdr:row>0</xdr:row>
      <xdr:rowOff>833767</xdr:rowOff>
    </xdr:to>
    <xdr:grpSp>
      <xdr:nvGrpSpPr>
        <xdr:cNvPr id="7" name="Groupe 6">
          <a:extLst>
            <a:ext uri="{FF2B5EF4-FFF2-40B4-BE49-F238E27FC236}">
              <a16:creationId xmlns:a16="http://schemas.microsoft.com/office/drawing/2014/main" id="{00000000-0008-0000-0A00-000007000000}"/>
            </a:ext>
          </a:extLst>
        </xdr:cNvPr>
        <xdr:cNvGrpSpPr/>
      </xdr:nvGrpSpPr>
      <xdr:grpSpPr>
        <a:xfrm>
          <a:off x="10139059" y="149991"/>
          <a:ext cx="2105961" cy="683776"/>
          <a:chOff x="4078942" y="27969883"/>
          <a:chExt cx="1938618" cy="517712"/>
        </a:xfrm>
      </xdr:grpSpPr>
      <xdr:sp macro="[0]!PreValid" textlink="">
        <xdr:nvSpPr>
          <xdr:cNvPr id="4" name="Organigramme : Terminateur 3">
            <a:extLst>
              <a:ext uri="{FF2B5EF4-FFF2-40B4-BE49-F238E27FC236}">
                <a16:creationId xmlns:a16="http://schemas.microsoft.com/office/drawing/2014/main" id="{00000000-0008-0000-0A00-000004000000}"/>
              </a:ext>
            </a:extLst>
          </xdr:cNvPr>
          <xdr:cNvSpPr/>
        </xdr:nvSpPr>
        <xdr:spPr bwMode="auto">
          <a:xfrm>
            <a:off x="4078942" y="27969883"/>
            <a:ext cx="1938618" cy="517712"/>
          </a:xfrm>
          <a:prstGeom prst="flowChartTerminator">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wrap="square" lIns="18288" tIns="0" rIns="108000" bIns="0" rtlCol="0" anchor="ctr" upright="1"/>
          <a:lstStyle/>
          <a:p>
            <a:pPr algn="r"/>
            <a:r>
              <a:rPr lang="fr-FR" sz="1600"/>
              <a:t>Enregistrer</a:t>
            </a:r>
          </a:p>
        </xdr:txBody>
      </xdr:sp>
      <xdr:pic macro="[0]!PreValid">
        <xdr:nvPicPr>
          <xdr:cNvPr id="6" name="Graphique 5" descr="Coche avec un remplissage uni">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291853" y="28037118"/>
            <a:ext cx="398930" cy="398930"/>
          </a:xfrm>
          <a:prstGeom prst="rect">
            <a:avLst/>
          </a:prstGeom>
        </xdr:spPr>
      </xdr:pic>
    </xdr:grpSp>
    <xdr:clientData/>
  </xdr:twoCellAnchor>
  <xdr:twoCellAnchor>
    <xdr:from>
      <xdr:col>9</xdr:col>
      <xdr:colOff>114299</xdr:colOff>
      <xdr:row>2</xdr:row>
      <xdr:rowOff>114299</xdr:rowOff>
    </xdr:from>
    <xdr:to>
      <xdr:col>10</xdr:col>
      <xdr:colOff>523874</xdr:colOff>
      <xdr:row>6</xdr:row>
      <xdr:rowOff>114299</xdr:rowOff>
    </xdr:to>
    <xdr:grpSp>
      <xdr:nvGrpSpPr>
        <xdr:cNvPr id="12" name="Groupe 11">
          <a:extLst>
            <a:ext uri="{FF2B5EF4-FFF2-40B4-BE49-F238E27FC236}">
              <a16:creationId xmlns:a16="http://schemas.microsoft.com/office/drawing/2014/main" id="{00000000-0008-0000-0A00-00000C000000}"/>
            </a:ext>
          </a:extLst>
        </xdr:cNvPr>
        <xdr:cNvGrpSpPr/>
      </xdr:nvGrpSpPr>
      <xdr:grpSpPr>
        <a:xfrm>
          <a:off x="15049500" y="1455419"/>
          <a:ext cx="0" cy="1158240"/>
          <a:chOff x="11420475" y="1304925"/>
          <a:chExt cx="914400" cy="914400"/>
        </a:xfrm>
      </xdr:grpSpPr>
      <xdr:pic>
        <xdr:nvPicPr>
          <xdr:cNvPr id="5" name="Graphique 4" descr="Écran avec un remplissage uni">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420475" y="1304925"/>
            <a:ext cx="914400" cy="914400"/>
          </a:xfrm>
          <a:prstGeom prst="rect">
            <a:avLst/>
          </a:prstGeom>
        </xdr:spPr>
      </xdr:pic>
      <xdr:pic>
        <xdr:nvPicPr>
          <xdr:cNvPr id="9" name="Graphique 8" descr="Graphique à barres avec un remplissage uni">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53825" y="1504950"/>
            <a:ext cx="381000" cy="381000"/>
          </a:xfrm>
          <a:prstGeom prst="rect">
            <a:avLst/>
          </a:prstGeom>
        </xdr:spPr>
      </xdr:pic>
      <xdr:pic>
        <xdr:nvPicPr>
          <xdr:cNvPr id="11" name="Graphique 10" descr="Graphique en secteurs avec un remplissage uni">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865750" y="1528724"/>
            <a:ext cx="354825" cy="354825"/>
          </a:xfrm>
          <a:prstGeom prst="rect">
            <a:avLst/>
          </a:prstGeom>
        </xdr:spPr>
      </xdr:pic>
    </xdr:grpSp>
    <xdr:clientData/>
  </xdr:twoCellAnchor>
  <xdr:twoCellAnchor>
    <xdr:from>
      <xdr:col>9</xdr:col>
      <xdr:colOff>19050</xdr:colOff>
      <xdr:row>2</xdr:row>
      <xdr:rowOff>9525</xdr:rowOff>
    </xdr:from>
    <xdr:to>
      <xdr:col>10</xdr:col>
      <xdr:colOff>657225</xdr:colOff>
      <xdr:row>2</xdr:row>
      <xdr:rowOff>295275</xdr:rowOff>
    </xdr:to>
    <xdr:sp macro="" textlink="">
      <xdr:nvSpPr>
        <xdr:cNvPr id="14" name="ZoneTexte 13">
          <a:extLst>
            <a:ext uri="{FF2B5EF4-FFF2-40B4-BE49-F238E27FC236}">
              <a16:creationId xmlns:a16="http://schemas.microsoft.com/office/drawing/2014/main" id="{00000000-0008-0000-0A00-00000E000000}"/>
            </a:ext>
          </a:extLst>
        </xdr:cNvPr>
        <xdr:cNvSpPr txBox="1"/>
      </xdr:nvSpPr>
      <xdr:spPr>
        <a:xfrm>
          <a:off x="17221200" y="314325"/>
          <a:ext cx="14001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latin typeface="Arial" panose="020B0604020202020204" pitchFamily="34" charset="0"/>
              <a:cs typeface="Arial" panose="020B0604020202020204" pitchFamily="34" charset="0"/>
            </a:rPr>
            <a:t>Tableau de Bord</a:t>
          </a:r>
        </a:p>
      </xdr:txBody>
    </xdr:sp>
    <xdr:clientData/>
  </xdr:twoCellAnchor>
  <xdr:twoCellAnchor>
    <xdr:from>
      <xdr:col>9</xdr:col>
      <xdr:colOff>66675</xdr:colOff>
      <xdr:row>7</xdr:row>
      <xdr:rowOff>19050</xdr:rowOff>
    </xdr:from>
    <xdr:to>
      <xdr:col>10</xdr:col>
      <xdr:colOff>704850</xdr:colOff>
      <xdr:row>10</xdr:row>
      <xdr:rowOff>152400</xdr:rowOff>
    </xdr:to>
    <xdr:grpSp>
      <xdr:nvGrpSpPr>
        <xdr:cNvPr id="26" name="Groupe 25">
          <a:extLst>
            <a:ext uri="{FF2B5EF4-FFF2-40B4-BE49-F238E27FC236}">
              <a16:creationId xmlns:a16="http://schemas.microsoft.com/office/drawing/2014/main" id="{00000000-0008-0000-0A00-00001A000000}"/>
            </a:ext>
          </a:extLst>
        </xdr:cNvPr>
        <xdr:cNvGrpSpPr/>
      </xdr:nvGrpSpPr>
      <xdr:grpSpPr>
        <a:xfrm>
          <a:off x="15049500" y="2670810"/>
          <a:ext cx="0" cy="1047750"/>
          <a:chOff x="17268825" y="1676400"/>
          <a:chExt cx="1400175" cy="1076325"/>
        </a:xfrm>
      </xdr:grpSpPr>
      <xdr:pic>
        <xdr:nvPicPr>
          <xdr:cNvPr id="19" name="Graphique 18" descr="Gomme avec un remplissage uni">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7511712" y="1676400"/>
            <a:ext cx="762000" cy="914400"/>
          </a:xfrm>
          <a:prstGeom prst="rect">
            <a:avLst/>
          </a:prstGeom>
        </xdr:spPr>
      </xdr:pic>
      <xdr:sp macro="" textlink="">
        <xdr:nvSpPr>
          <xdr:cNvPr id="23" name="ZoneTexte 22">
            <a:extLst>
              <a:ext uri="{FF2B5EF4-FFF2-40B4-BE49-F238E27FC236}">
                <a16:creationId xmlns:a16="http://schemas.microsoft.com/office/drawing/2014/main" id="{00000000-0008-0000-0A00-000017000000}"/>
              </a:ext>
            </a:extLst>
          </xdr:cNvPr>
          <xdr:cNvSpPr txBox="1"/>
        </xdr:nvSpPr>
        <xdr:spPr>
          <a:xfrm>
            <a:off x="17268825" y="2466975"/>
            <a:ext cx="14001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latin typeface="Arial" panose="020B0604020202020204" pitchFamily="34" charset="0"/>
                <a:cs typeface="Arial" panose="020B0604020202020204" pitchFamily="34" charset="0"/>
              </a:rPr>
              <a:t>Effacer</a:t>
            </a:r>
            <a:r>
              <a:rPr lang="fr-FR" sz="1100" b="1" baseline="0">
                <a:latin typeface="Arial" panose="020B0604020202020204" pitchFamily="34" charset="0"/>
                <a:cs typeface="Arial" panose="020B0604020202020204" pitchFamily="34" charset="0"/>
              </a:rPr>
              <a:t> la saisie</a:t>
            </a:r>
            <a:endParaRPr lang="fr-FR" sz="1100" b="1">
              <a:latin typeface="Arial" panose="020B0604020202020204" pitchFamily="34" charset="0"/>
              <a:cs typeface="Arial" panose="020B0604020202020204" pitchFamily="34" charset="0"/>
            </a:endParaRPr>
          </a:p>
        </xdr:txBody>
      </xdr:sp>
    </xdr:grpSp>
    <xdr:clientData/>
  </xdr:twoCellAnchor>
  <xdr:twoCellAnchor editAs="oneCell">
    <xdr:from>
      <xdr:col>3</xdr:col>
      <xdr:colOff>3689778</xdr:colOff>
      <xdr:row>0</xdr:row>
      <xdr:rowOff>129462</xdr:rowOff>
    </xdr:from>
    <xdr:to>
      <xdr:col>3</xdr:col>
      <xdr:colOff>4605287</xdr:colOff>
      <xdr:row>0</xdr:row>
      <xdr:rowOff>937402</xdr:rowOff>
    </xdr:to>
    <xdr:pic macro="[0]!Effacer_Saisie">
      <xdr:nvPicPr>
        <xdr:cNvPr id="22" name="gomme">
          <a:extLst>
            <a:ext uri="{FF2B5EF4-FFF2-40B4-BE49-F238E27FC236}">
              <a16:creationId xmlns:a16="http://schemas.microsoft.com/office/drawing/2014/main" id="{00000000-0008-0000-0A00-000016000000}"/>
            </a:ext>
          </a:extLst>
        </xdr:cNvPr>
        <xdr:cNvPicPr>
          <a:picLocks noChangeAspect="1"/>
        </xdr:cNvPicPr>
      </xdr:nvPicPr>
      <xdr:blipFill rotWithShape="1">
        <a:blip xmlns:r="http://schemas.openxmlformats.org/officeDocument/2006/relationships" r:embed="rId11"/>
        <a:srcRect l="10760" t="9327" r="9625"/>
        <a:stretch/>
      </xdr:blipFill>
      <xdr:spPr>
        <a:xfrm>
          <a:off x="8729705" y="129462"/>
          <a:ext cx="915509" cy="807940"/>
        </a:xfrm>
        <a:prstGeom prst="rect">
          <a:avLst/>
        </a:prstGeom>
      </xdr:spPr>
    </xdr:pic>
    <xdr:clientData/>
  </xdr:twoCellAnchor>
  <xdr:twoCellAnchor>
    <xdr:from>
      <xdr:col>9</xdr:col>
      <xdr:colOff>19050</xdr:colOff>
      <xdr:row>5</xdr:row>
      <xdr:rowOff>304800</xdr:rowOff>
    </xdr:from>
    <xdr:to>
      <xdr:col>10</xdr:col>
      <xdr:colOff>657225</xdr:colOff>
      <xdr:row>7</xdr:row>
      <xdr:rowOff>28575</xdr:rowOff>
    </xdr:to>
    <xdr:sp macro="" textlink="">
      <xdr:nvSpPr>
        <xdr:cNvPr id="25" name="ZoneTexte 24">
          <a:extLst>
            <a:ext uri="{FF2B5EF4-FFF2-40B4-BE49-F238E27FC236}">
              <a16:creationId xmlns:a16="http://schemas.microsoft.com/office/drawing/2014/main" id="{00000000-0008-0000-0A00-000019000000}"/>
            </a:ext>
          </a:extLst>
        </xdr:cNvPr>
        <xdr:cNvSpPr txBox="1"/>
      </xdr:nvSpPr>
      <xdr:spPr>
        <a:xfrm>
          <a:off x="17221200" y="1400175"/>
          <a:ext cx="14001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latin typeface="Arial" panose="020B0604020202020204" pitchFamily="34" charset="0"/>
              <a:cs typeface="Arial" panose="020B0604020202020204" pitchFamily="34" charset="0"/>
            </a:rPr>
            <a:t>Tableau de Bord</a:t>
          </a:r>
        </a:p>
      </xdr:txBody>
    </xdr:sp>
    <xdr:clientData/>
  </xdr:twoCellAnchor>
  <xdr:twoCellAnchor editAs="absolute">
    <xdr:from>
      <xdr:col>0</xdr:col>
      <xdr:colOff>129466</xdr:colOff>
      <xdr:row>0</xdr:row>
      <xdr:rowOff>120217</xdr:rowOff>
    </xdr:from>
    <xdr:to>
      <xdr:col>3</xdr:col>
      <xdr:colOff>1526851</xdr:colOff>
      <xdr:row>0</xdr:row>
      <xdr:rowOff>663142</xdr:rowOff>
    </xdr:to>
    <xdr:grpSp>
      <xdr:nvGrpSpPr>
        <xdr:cNvPr id="58" name="Groupe 57">
          <a:extLst>
            <a:ext uri="{FF2B5EF4-FFF2-40B4-BE49-F238E27FC236}">
              <a16:creationId xmlns:a16="http://schemas.microsoft.com/office/drawing/2014/main" id="{00000000-0008-0000-0A00-00003A000000}"/>
            </a:ext>
          </a:extLst>
        </xdr:cNvPr>
        <xdr:cNvGrpSpPr/>
      </xdr:nvGrpSpPr>
      <xdr:grpSpPr>
        <a:xfrm>
          <a:off x="129466" y="120217"/>
          <a:ext cx="6578985" cy="542925"/>
          <a:chOff x="9518705" y="3844816"/>
          <a:chExt cx="6437312" cy="542925"/>
        </a:xfrm>
      </xdr:grpSpPr>
      <xdr:pic>
        <xdr:nvPicPr>
          <xdr:cNvPr id="59" name="Graphique 58" descr="Serveur avec un remplissage uni">
            <a:hlinkClick xmlns:r="http://schemas.openxmlformats.org/officeDocument/2006/relationships" r:id="rId12" tooltip="Actifs Support"/>
            <a:extLst>
              <a:ext uri="{FF2B5EF4-FFF2-40B4-BE49-F238E27FC236}">
                <a16:creationId xmlns:a16="http://schemas.microsoft.com/office/drawing/2014/main" id="{00000000-0008-0000-0A00-00003B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703813" y="3892280"/>
            <a:ext cx="446400" cy="447996"/>
          </a:xfrm>
          <a:prstGeom prst="rect">
            <a:avLst/>
          </a:prstGeom>
        </xdr:spPr>
      </xdr:pic>
      <xdr:pic>
        <xdr:nvPicPr>
          <xdr:cNvPr id="60" name="Graphique 59" descr="Recherche de dossiers avec un remplissage uni">
            <a:hlinkClick xmlns:r="http://schemas.openxmlformats.org/officeDocument/2006/relationships" r:id="rId15" tooltip="Actifs Primaires"/>
            <a:extLst>
              <a:ext uri="{FF2B5EF4-FFF2-40B4-BE49-F238E27FC236}">
                <a16:creationId xmlns:a16="http://schemas.microsoft.com/office/drawing/2014/main" id="{00000000-0008-0000-0A00-00003C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0149359" y="3893078"/>
            <a:ext cx="446400" cy="446400"/>
          </a:xfrm>
          <a:prstGeom prst="rect">
            <a:avLst/>
          </a:prstGeom>
        </xdr:spPr>
      </xdr:pic>
      <xdr:pic>
        <xdr:nvPicPr>
          <xdr:cNvPr id="61" name="Graphique 60" descr="Accident avec un remplissage uni">
            <a:hlinkClick xmlns:r="http://schemas.openxmlformats.org/officeDocument/2006/relationships" r:id="rId18" tooltip="Dommages"/>
            <a:extLst>
              <a:ext uri="{FF2B5EF4-FFF2-40B4-BE49-F238E27FC236}">
                <a16:creationId xmlns:a16="http://schemas.microsoft.com/office/drawing/2014/main" id="{00000000-0008-0000-0A00-00003D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1258267" y="3893078"/>
            <a:ext cx="446400" cy="446400"/>
          </a:xfrm>
          <a:prstGeom prst="rect">
            <a:avLst/>
          </a:prstGeom>
        </xdr:spPr>
      </xdr:pic>
      <xdr:pic>
        <xdr:nvPicPr>
          <xdr:cNvPr id="62" name="Graphique 61" descr="Dé avec un remplissage uni">
            <a:hlinkClick xmlns:r="http://schemas.openxmlformats.org/officeDocument/2006/relationships" r:id="rId21" tooltip="Evénements déclencheurs"/>
            <a:extLst>
              <a:ext uri="{FF2B5EF4-FFF2-40B4-BE49-F238E27FC236}">
                <a16:creationId xmlns:a16="http://schemas.microsoft.com/office/drawing/2014/main" id="{00000000-0008-0000-0A00-00003E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rcRect/>
          <a:stretch/>
        </xdr:blipFill>
        <xdr:spPr>
          <a:xfrm>
            <a:off x="11812722" y="3893078"/>
            <a:ext cx="446400" cy="446400"/>
          </a:xfrm>
          <a:prstGeom prst="rect">
            <a:avLst/>
          </a:prstGeom>
        </xdr:spPr>
      </xdr:pic>
      <xdr:pic>
        <xdr:nvPicPr>
          <xdr:cNvPr id="63" name="Graphique 62" descr="Logement avec un remplissage uni">
            <a:hlinkClick xmlns:r="http://schemas.openxmlformats.org/officeDocument/2006/relationships" r:id="rId24" tooltip="Accueil"/>
            <a:extLst>
              <a:ext uri="{FF2B5EF4-FFF2-40B4-BE49-F238E27FC236}">
                <a16:creationId xmlns:a16="http://schemas.microsoft.com/office/drawing/2014/main" id="{00000000-0008-0000-0A00-00003F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9518705" y="3893078"/>
            <a:ext cx="446400" cy="446400"/>
          </a:xfrm>
          <a:prstGeom prst="rect">
            <a:avLst/>
          </a:prstGeom>
          <a:effectLst>
            <a:outerShdw blurRad="50800" dist="38100" dir="2700000" algn="tl" rotWithShape="0">
              <a:prstClr val="black">
                <a:alpha val="40000"/>
              </a:prstClr>
            </a:outerShdw>
          </a:effectLst>
        </xdr:spPr>
      </xdr:pic>
      <xdr:grpSp>
        <xdr:nvGrpSpPr>
          <xdr:cNvPr id="64" name="Groupe 63">
            <a:hlinkClick xmlns:r="http://schemas.openxmlformats.org/officeDocument/2006/relationships" r:id="rId27" tooltip="Analyse de Risque"/>
            <a:extLst>
              <a:ext uri="{FF2B5EF4-FFF2-40B4-BE49-F238E27FC236}">
                <a16:creationId xmlns:a16="http://schemas.microsoft.com/office/drawing/2014/main" id="{00000000-0008-0000-0A00-000040000000}"/>
              </a:ext>
            </a:extLst>
          </xdr:cNvPr>
          <xdr:cNvGrpSpPr/>
        </xdr:nvGrpSpPr>
        <xdr:grpSpPr>
          <a:xfrm>
            <a:off x="12661938" y="3911226"/>
            <a:ext cx="428493" cy="410104"/>
            <a:chOff x="5111260" y="103549"/>
            <a:chExt cx="428280" cy="410104"/>
          </a:xfrm>
          <a:solidFill>
            <a:schemeClr val="bg2"/>
          </a:solidFill>
          <a:effectLst>
            <a:outerShdw blurRad="50800" dist="38100" dir="2700000" algn="tl" rotWithShape="0">
              <a:prstClr val="black">
                <a:alpha val="40000"/>
              </a:prstClr>
            </a:outerShdw>
          </a:effectLst>
        </xdr:grpSpPr>
        <xdr:pic>
          <xdr:nvPicPr>
            <xdr:cNvPr id="72" name="Graphique 71" descr="Document avec un remplissage uni">
              <a:extLst>
                <a:ext uri="{FF2B5EF4-FFF2-40B4-BE49-F238E27FC236}">
                  <a16:creationId xmlns:a16="http://schemas.microsoft.com/office/drawing/2014/main" id="{00000000-0008-0000-0A00-000048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5154942" y="103549"/>
              <a:ext cx="384598" cy="410104"/>
            </a:xfrm>
            <a:prstGeom prst="rect">
              <a:avLst/>
            </a:prstGeom>
          </xdr:spPr>
        </xdr:pic>
        <xdr:pic>
          <xdr:nvPicPr>
            <xdr:cNvPr id="73" name="Graphique 72" descr="Coche avec un remplissage uni">
              <a:extLst>
                <a:ext uri="{FF2B5EF4-FFF2-40B4-BE49-F238E27FC236}">
                  <a16:creationId xmlns:a16="http://schemas.microsoft.com/office/drawing/2014/main" id="{00000000-0008-0000-0A00-000049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5125784" y="288962"/>
              <a:ext cx="180273" cy="197722"/>
            </a:xfrm>
            <a:prstGeom prst="rect">
              <a:avLst/>
            </a:prstGeom>
          </xdr:spPr>
        </xdr:pic>
        <xdr:pic>
          <xdr:nvPicPr>
            <xdr:cNvPr id="74" name="Graphique 73" descr="Badge à suivre avec un remplissage uni">
              <a:extLst>
                <a:ext uri="{FF2B5EF4-FFF2-40B4-BE49-F238E27FC236}">
                  <a16:creationId xmlns:a16="http://schemas.microsoft.com/office/drawing/2014/main" id="{00000000-0008-0000-0A00-00004A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5111260" y="145828"/>
              <a:ext cx="180273" cy="194849"/>
            </a:xfrm>
            <a:prstGeom prst="rect">
              <a:avLst/>
            </a:prstGeom>
          </xdr:spPr>
        </xdr:pic>
        <xdr:pic>
          <xdr:nvPicPr>
            <xdr:cNvPr id="75" name="Graphique 74" descr="Crayon avec un remplissage uni">
              <a:extLst>
                <a:ext uri="{FF2B5EF4-FFF2-40B4-BE49-F238E27FC236}">
                  <a16:creationId xmlns:a16="http://schemas.microsoft.com/office/drawing/2014/main" id="{00000000-0008-0000-0A00-00004B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5284434" y="277381"/>
              <a:ext cx="231999" cy="230257"/>
            </a:xfrm>
            <a:prstGeom prst="rect">
              <a:avLst/>
            </a:prstGeom>
          </xdr:spPr>
        </xdr:pic>
      </xdr:grpSp>
      <xdr:pic>
        <xdr:nvPicPr>
          <xdr:cNvPr id="65" name="Graphique 64" descr="Présentation avec liste de vérification avec un remplissage uni">
            <a:hlinkClick xmlns:r="http://schemas.openxmlformats.org/officeDocument/2006/relationships" r:id="rId36" tooltip="Fiches de Risque"/>
            <a:extLst>
              <a:ext uri="{FF2B5EF4-FFF2-40B4-BE49-F238E27FC236}">
                <a16:creationId xmlns:a16="http://schemas.microsoft.com/office/drawing/2014/main" id="{00000000-0008-0000-0A00-000041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 uri="{96DAC541-7B7A-43D3-8B79-37D633B846F1}">
                <asvg:svgBlip xmlns:asvg="http://schemas.microsoft.com/office/drawing/2016/SVG/main" r:embed="rId38"/>
              </a:ext>
            </a:extLst>
          </a:blip>
          <a:srcRect/>
          <a:stretch/>
        </xdr:blipFill>
        <xdr:spPr>
          <a:xfrm>
            <a:off x="13234017" y="3893004"/>
            <a:ext cx="446771" cy="446549"/>
          </a:xfrm>
          <a:prstGeom prst="rect">
            <a:avLst/>
          </a:prstGeom>
          <a:effectLst>
            <a:outerShdw blurRad="50800" dist="38100" dir="2700000" algn="tl" rotWithShape="0">
              <a:prstClr val="black">
                <a:alpha val="40000"/>
              </a:prstClr>
            </a:outerShdw>
          </a:effectLst>
        </xdr:spPr>
      </xdr:pic>
      <xdr:pic>
        <xdr:nvPicPr>
          <xdr:cNvPr id="66" name="Graphique 65" descr="Présentation avec camembert avec un remplissage uni">
            <a:hlinkClick xmlns:r="http://schemas.openxmlformats.org/officeDocument/2006/relationships" r:id="rId39" tooltip="Panorama"/>
            <a:extLst>
              <a:ext uri="{FF2B5EF4-FFF2-40B4-BE49-F238E27FC236}">
                <a16:creationId xmlns:a16="http://schemas.microsoft.com/office/drawing/2014/main" id="{00000000-0008-0000-0A00-00004200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 uri="{96DAC541-7B7A-43D3-8B79-37D633B846F1}">
                <asvg:svgBlip xmlns:asvg="http://schemas.microsoft.com/office/drawing/2016/SVG/main" r:embed="rId41"/>
              </a:ext>
            </a:extLst>
          </a:blip>
          <a:srcRect/>
          <a:stretch/>
        </xdr:blipFill>
        <xdr:spPr>
          <a:xfrm>
            <a:off x="13824374" y="3893004"/>
            <a:ext cx="446771" cy="446549"/>
          </a:xfrm>
          <a:prstGeom prst="rect">
            <a:avLst/>
          </a:prstGeom>
          <a:effectLst>
            <a:outerShdw blurRad="50800" dist="38100" dir="2700000" algn="tl" rotWithShape="0">
              <a:prstClr val="black">
                <a:alpha val="40000"/>
              </a:prstClr>
            </a:outerShdw>
          </a:effectLst>
        </xdr:spPr>
      </xdr:pic>
      <xdr:sp macro="" textlink="">
        <xdr:nvSpPr>
          <xdr:cNvPr id="67" name="Rectangle : coins arrondis 66">
            <a:extLst>
              <a:ext uri="{FF2B5EF4-FFF2-40B4-BE49-F238E27FC236}">
                <a16:creationId xmlns:a16="http://schemas.microsoft.com/office/drawing/2014/main" id="{00000000-0008-0000-0A00-000043000000}"/>
              </a:ext>
            </a:extLst>
          </xdr:cNvPr>
          <xdr:cNvSpPr/>
        </xdr:nvSpPr>
        <xdr:spPr bwMode="auto">
          <a:xfrm>
            <a:off x="10069820" y="3844816"/>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68" name="Rectangle : coins arrondis 67">
            <a:extLst>
              <a:ext uri="{FF2B5EF4-FFF2-40B4-BE49-F238E27FC236}">
                <a16:creationId xmlns:a16="http://schemas.microsoft.com/office/drawing/2014/main" id="{00000000-0008-0000-0A00-000044000000}"/>
              </a:ext>
            </a:extLst>
          </xdr:cNvPr>
          <xdr:cNvSpPr/>
        </xdr:nvSpPr>
        <xdr:spPr bwMode="auto">
          <a:xfrm>
            <a:off x="12508221" y="3844816"/>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69" name="ZoneTexte 68">
            <a:hlinkClick xmlns:r="http://schemas.openxmlformats.org/officeDocument/2006/relationships" r:id="rId42" tooltip="Gravité"/>
            <a:extLst>
              <a:ext uri="{FF2B5EF4-FFF2-40B4-BE49-F238E27FC236}">
                <a16:creationId xmlns:a16="http://schemas.microsoft.com/office/drawing/2014/main" id="{00000000-0008-0000-0A00-000045000000}"/>
              </a:ext>
            </a:extLst>
          </xdr:cNvPr>
          <xdr:cNvSpPr txBox="1"/>
        </xdr:nvSpPr>
        <xdr:spPr>
          <a:xfrm>
            <a:off x="14733067" y="3907369"/>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70" name="ZoneTexte 69">
            <a:hlinkClick xmlns:r="http://schemas.openxmlformats.org/officeDocument/2006/relationships" r:id="rId43" tooltip="Grilles de décision"/>
            <a:extLst>
              <a:ext uri="{FF2B5EF4-FFF2-40B4-BE49-F238E27FC236}">
                <a16:creationId xmlns:a16="http://schemas.microsoft.com/office/drawing/2014/main" id="{00000000-0008-0000-0A00-000046000000}"/>
              </a:ext>
            </a:extLst>
          </xdr:cNvPr>
          <xdr:cNvSpPr txBox="1"/>
        </xdr:nvSpPr>
        <xdr:spPr>
          <a:xfrm>
            <a:off x="15338068" y="3907478"/>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71" name="Rectangle : coins arrondis 70">
            <a:extLst>
              <a:ext uri="{FF2B5EF4-FFF2-40B4-BE49-F238E27FC236}">
                <a16:creationId xmlns:a16="http://schemas.microsoft.com/office/drawing/2014/main" id="{00000000-0008-0000-0A00-000047000000}"/>
              </a:ext>
            </a:extLst>
          </xdr:cNvPr>
          <xdr:cNvSpPr/>
        </xdr:nvSpPr>
        <xdr:spPr bwMode="auto">
          <a:xfrm>
            <a:off x="14584014" y="3844816"/>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twoCellAnchor>
    <xdr:from>
      <xdr:col>5</xdr:col>
      <xdr:colOff>1479612</xdr:colOff>
      <xdr:row>0</xdr:row>
      <xdr:rowOff>140471</xdr:rowOff>
    </xdr:from>
    <xdr:to>
      <xdr:col>6</xdr:col>
      <xdr:colOff>656577</xdr:colOff>
      <xdr:row>0</xdr:row>
      <xdr:rowOff>843287</xdr:rowOff>
    </xdr:to>
    <xdr:grpSp>
      <xdr:nvGrpSpPr>
        <xdr:cNvPr id="13" name="Groupe 12">
          <a:extLst>
            <a:ext uri="{FF2B5EF4-FFF2-40B4-BE49-F238E27FC236}">
              <a16:creationId xmlns:a16="http://schemas.microsoft.com/office/drawing/2014/main" id="{00000000-0008-0000-0A00-00000D000000}"/>
            </a:ext>
          </a:extLst>
        </xdr:cNvPr>
        <xdr:cNvGrpSpPr/>
      </xdr:nvGrpSpPr>
      <xdr:grpSpPr>
        <a:xfrm>
          <a:off x="12597192" y="140471"/>
          <a:ext cx="2156385" cy="702816"/>
          <a:chOff x="11023108" y="157209"/>
          <a:chExt cx="2071455" cy="702816"/>
        </a:xfrm>
      </xdr:grpSpPr>
      <xdr:sp macro="[0]!Abandon" textlink="">
        <xdr:nvSpPr>
          <xdr:cNvPr id="77" name="Rectangle : coins arrondis 76">
            <a:extLst>
              <a:ext uri="{FF2B5EF4-FFF2-40B4-BE49-F238E27FC236}">
                <a16:creationId xmlns:a16="http://schemas.microsoft.com/office/drawing/2014/main" id="{00000000-0008-0000-0A00-00004D000000}"/>
              </a:ext>
            </a:extLst>
          </xdr:cNvPr>
          <xdr:cNvSpPr/>
        </xdr:nvSpPr>
        <xdr:spPr bwMode="auto">
          <a:xfrm>
            <a:off x="11023108" y="157209"/>
            <a:ext cx="2071455" cy="702816"/>
          </a:xfrm>
          <a:prstGeom prst="roundRect">
            <a:avLst>
              <a:gd name="adj" fmla="val 50000"/>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wrap="square" lIns="18288" tIns="0" rIns="108000" bIns="0" rtlCol="0" anchor="ctr" upright="1"/>
          <a:lstStyle/>
          <a:p>
            <a:pPr algn="r"/>
            <a:r>
              <a:rPr lang="fr-FR" sz="1600"/>
              <a:t>Abandonner</a:t>
            </a:r>
          </a:p>
          <a:p>
            <a:pPr algn="r"/>
            <a:r>
              <a:rPr lang="fr-FR" sz="1600"/>
              <a:t>la</a:t>
            </a:r>
            <a:r>
              <a:rPr lang="fr-FR" sz="1600" baseline="0"/>
              <a:t> mise à jour</a:t>
            </a:r>
            <a:endParaRPr lang="fr-FR" sz="1600"/>
          </a:p>
        </xdr:txBody>
      </xdr:sp>
      <xdr:pic macro="[0]!Abandon">
        <xdr:nvPicPr>
          <xdr:cNvPr id="78" name="Graphique 77" descr="Fermer avec un remplissage uni">
            <a:extLst>
              <a:ext uri="{FF2B5EF4-FFF2-40B4-BE49-F238E27FC236}">
                <a16:creationId xmlns:a16="http://schemas.microsoft.com/office/drawing/2014/main" id="{00000000-0008-0000-0A00-00004E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 uri="{96DAC541-7B7A-43D3-8B79-37D633B846F1}">
                <asvg:svgBlip xmlns:asvg="http://schemas.microsoft.com/office/drawing/2016/SVG/main" r:embed="rId45"/>
              </a:ext>
            </a:extLst>
          </a:blip>
          <a:srcRect/>
          <a:stretch/>
        </xdr:blipFill>
        <xdr:spPr>
          <a:xfrm>
            <a:off x="11221007" y="317811"/>
            <a:ext cx="426265" cy="39953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219076</xdr:colOff>
      <xdr:row>4</xdr:row>
      <xdr:rowOff>9525</xdr:rowOff>
    </xdr:from>
    <xdr:to>
      <xdr:col>4</xdr:col>
      <xdr:colOff>295275</xdr:colOff>
      <xdr:row>29</xdr:row>
      <xdr:rowOff>133350</xdr:rowOff>
    </xdr:to>
    <xdr:sp macro="" textlink="">
      <xdr:nvSpPr>
        <xdr:cNvPr id="3" name="Rectangle : coins arrondis 2">
          <a:extLst>
            <a:ext uri="{FF2B5EF4-FFF2-40B4-BE49-F238E27FC236}">
              <a16:creationId xmlns:a16="http://schemas.microsoft.com/office/drawing/2014/main" id="{00000000-0008-0000-0B00-000003000000}"/>
            </a:ext>
          </a:extLst>
        </xdr:cNvPr>
        <xdr:cNvSpPr/>
      </xdr:nvSpPr>
      <xdr:spPr bwMode="auto">
        <a:xfrm>
          <a:off x="219076" y="923925"/>
          <a:ext cx="10220324" cy="70580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0</xdr:col>
      <xdr:colOff>228602</xdr:colOff>
      <xdr:row>33</xdr:row>
      <xdr:rowOff>76201</xdr:rowOff>
    </xdr:from>
    <xdr:to>
      <xdr:col>4</xdr:col>
      <xdr:colOff>247650</xdr:colOff>
      <xdr:row>55</xdr:row>
      <xdr:rowOff>142876</xdr:rowOff>
    </xdr:to>
    <xdr:sp macro="" textlink="">
      <xdr:nvSpPr>
        <xdr:cNvPr id="4" name="Rectangle : coins arrondis 3">
          <a:extLst>
            <a:ext uri="{FF2B5EF4-FFF2-40B4-BE49-F238E27FC236}">
              <a16:creationId xmlns:a16="http://schemas.microsoft.com/office/drawing/2014/main" id="{00000000-0008-0000-0B00-000004000000}"/>
            </a:ext>
          </a:extLst>
        </xdr:cNvPr>
        <xdr:cNvSpPr/>
      </xdr:nvSpPr>
      <xdr:spPr bwMode="auto">
        <a:xfrm>
          <a:off x="228602" y="8943976"/>
          <a:ext cx="10163173" cy="8696325"/>
        </a:xfrm>
        <a:prstGeom prst="roundRect">
          <a:avLst>
            <a:gd name="adj" fmla="val 3293"/>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0</xdr:col>
      <xdr:colOff>228602</xdr:colOff>
      <xdr:row>58</xdr:row>
      <xdr:rowOff>85724</xdr:rowOff>
    </xdr:from>
    <xdr:to>
      <xdr:col>4</xdr:col>
      <xdr:colOff>238125</xdr:colOff>
      <xdr:row>81</xdr:row>
      <xdr:rowOff>156882</xdr:rowOff>
    </xdr:to>
    <xdr:sp macro="" textlink="">
      <xdr:nvSpPr>
        <xdr:cNvPr id="5" name="Rectangle : coins arrondis 4">
          <a:extLst>
            <a:ext uri="{FF2B5EF4-FFF2-40B4-BE49-F238E27FC236}">
              <a16:creationId xmlns:a16="http://schemas.microsoft.com/office/drawing/2014/main" id="{00000000-0008-0000-0B00-000005000000}"/>
            </a:ext>
          </a:extLst>
        </xdr:cNvPr>
        <xdr:cNvSpPr/>
      </xdr:nvSpPr>
      <xdr:spPr bwMode="auto">
        <a:xfrm>
          <a:off x="228602" y="18135599"/>
          <a:ext cx="10153648" cy="9196108"/>
        </a:xfrm>
        <a:prstGeom prst="roundRect">
          <a:avLst>
            <a:gd name="adj" fmla="val 3184"/>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0</xdr:col>
      <xdr:colOff>228602</xdr:colOff>
      <xdr:row>82</xdr:row>
      <xdr:rowOff>145677</xdr:rowOff>
    </xdr:from>
    <xdr:to>
      <xdr:col>4</xdr:col>
      <xdr:colOff>238125</xdr:colOff>
      <xdr:row>85</xdr:row>
      <xdr:rowOff>145676</xdr:rowOff>
    </xdr:to>
    <xdr:sp macro="" textlink="">
      <xdr:nvSpPr>
        <xdr:cNvPr id="6" name="Rectangle : coins arrondis 5">
          <a:extLst>
            <a:ext uri="{FF2B5EF4-FFF2-40B4-BE49-F238E27FC236}">
              <a16:creationId xmlns:a16="http://schemas.microsoft.com/office/drawing/2014/main" id="{00000000-0008-0000-0B00-000006000000}"/>
            </a:ext>
          </a:extLst>
        </xdr:cNvPr>
        <xdr:cNvSpPr/>
      </xdr:nvSpPr>
      <xdr:spPr bwMode="auto">
        <a:xfrm>
          <a:off x="228602" y="27587202"/>
          <a:ext cx="10153648" cy="1285874"/>
        </a:xfrm>
        <a:prstGeom prst="roundRect">
          <a:avLst>
            <a:gd name="adj" fmla="val 17877"/>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twoCellAnchor>
    <xdr:from>
      <xdr:col>7</xdr:col>
      <xdr:colOff>0</xdr:colOff>
      <xdr:row>2</xdr:row>
      <xdr:rowOff>114299</xdr:rowOff>
    </xdr:from>
    <xdr:to>
      <xdr:col>7</xdr:col>
      <xdr:colOff>0</xdr:colOff>
      <xdr:row>6</xdr:row>
      <xdr:rowOff>114299</xdr:rowOff>
    </xdr:to>
    <xdr:grpSp>
      <xdr:nvGrpSpPr>
        <xdr:cNvPr id="10" name="Groupe 9">
          <a:extLst>
            <a:ext uri="{FF2B5EF4-FFF2-40B4-BE49-F238E27FC236}">
              <a16:creationId xmlns:a16="http://schemas.microsoft.com/office/drawing/2014/main" id="{00000000-0008-0000-0B00-00000A000000}"/>
            </a:ext>
          </a:extLst>
        </xdr:cNvPr>
        <xdr:cNvGrpSpPr/>
      </xdr:nvGrpSpPr>
      <xdr:grpSpPr>
        <a:xfrm>
          <a:off x="14112240" y="1318259"/>
          <a:ext cx="0" cy="1158240"/>
          <a:chOff x="11420475" y="1304925"/>
          <a:chExt cx="914400" cy="914400"/>
        </a:xfrm>
      </xdr:grpSpPr>
      <xdr:pic>
        <xdr:nvPicPr>
          <xdr:cNvPr id="11" name="Graphique 10" descr="Écran avec un remplissage uni">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420475" y="1304925"/>
            <a:ext cx="914400" cy="914400"/>
          </a:xfrm>
          <a:prstGeom prst="rect">
            <a:avLst/>
          </a:prstGeom>
        </xdr:spPr>
      </xdr:pic>
      <xdr:pic>
        <xdr:nvPicPr>
          <xdr:cNvPr id="12" name="Graphique 11" descr="Graphique à barres avec un remplissage uni">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553825" y="1504950"/>
            <a:ext cx="381000" cy="381000"/>
          </a:xfrm>
          <a:prstGeom prst="rect">
            <a:avLst/>
          </a:prstGeom>
        </xdr:spPr>
      </xdr:pic>
      <xdr:pic>
        <xdr:nvPicPr>
          <xdr:cNvPr id="13" name="Graphique 12" descr="Graphique en secteurs avec un remplissage uni">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865750" y="1528724"/>
            <a:ext cx="354825" cy="354825"/>
          </a:xfrm>
          <a:prstGeom prst="rect">
            <a:avLst/>
          </a:prstGeom>
        </xdr:spPr>
      </xdr:pic>
    </xdr:grpSp>
    <xdr:clientData/>
  </xdr:twoCellAnchor>
  <xdr:twoCellAnchor>
    <xdr:from>
      <xdr:col>9</xdr:col>
      <xdr:colOff>19050</xdr:colOff>
      <xdr:row>2</xdr:row>
      <xdr:rowOff>9525</xdr:rowOff>
    </xdr:from>
    <xdr:to>
      <xdr:col>10</xdr:col>
      <xdr:colOff>657225</xdr:colOff>
      <xdr:row>2</xdr:row>
      <xdr:rowOff>295275</xdr:rowOff>
    </xdr:to>
    <xdr:sp macro="" textlink="">
      <xdr:nvSpPr>
        <xdr:cNvPr id="14" name="ZoneTexte 13">
          <a:extLst>
            <a:ext uri="{FF2B5EF4-FFF2-40B4-BE49-F238E27FC236}">
              <a16:creationId xmlns:a16="http://schemas.microsoft.com/office/drawing/2014/main" id="{00000000-0008-0000-0B00-00000E000000}"/>
            </a:ext>
          </a:extLst>
        </xdr:cNvPr>
        <xdr:cNvSpPr txBox="1"/>
      </xdr:nvSpPr>
      <xdr:spPr>
        <a:xfrm>
          <a:off x="14306550" y="314325"/>
          <a:ext cx="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latin typeface="Arial" panose="020B0604020202020204" pitchFamily="34" charset="0"/>
              <a:cs typeface="Arial" panose="020B0604020202020204" pitchFamily="34" charset="0"/>
            </a:rPr>
            <a:t>Tableau de Bord</a:t>
          </a:r>
        </a:p>
      </xdr:txBody>
    </xdr:sp>
    <xdr:clientData/>
  </xdr:twoCellAnchor>
  <xdr:twoCellAnchor>
    <xdr:from>
      <xdr:col>7</xdr:col>
      <xdr:colOff>0</xdr:colOff>
      <xdr:row>7</xdr:row>
      <xdr:rowOff>19050</xdr:rowOff>
    </xdr:from>
    <xdr:to>
      <xdr:col>7</xdr:col>
      <xdr:colOff>0</xdr:colOff>
      <xdr:row>10</xdr:row>
      <xdr:rowOff>152400</xdr:rowOff>
    </xdr:to>
    <xdr:grpSp>
      <xdr:nvGrpSpPr>
        <xdr:cNvPr id="15" name="Groupe 14">
          <a:extLst>
            <a:ext uri="{FF2B5EF4-FFF2-40B4-BE49-F238E27FC236}">
              <a16:creationId xmlns:a16="http://schemas.microsoft.com/office/drawing/2014/main" id="{00000000-0008-0000-0B00-00000F000000}"/>
            </a:ext>
          </a:extLst>
        </xdr:cNvPr>
        <xdr:cNvGrpSpPr/>
      </xdr:nvGrpSpPr>
      <xdr:grpSpPr>
        <a:xfrm>
          <a:off x="14112240" y="2533650"/>
          <a:ext cx="0" cy="1047750"/>
          <a:chOff x="17268825" y="1676400"/>
          <a:chExt cx="1400175" cy="1076325"/>
        </a:xfrm>
      </xdr:grpSpPr>
      <xdr:pic>
        <xdr:nvPicPr>
          <xdr:cNvPr id="16" name="Graphique 15" descr="Gomme avec un remplissage uni">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7511712" y="1676400"/>
            <a:ext cx="762000" cy="914400"/>
          </a:xfrm>
          <a:prstGeom prst="rect">
            <a:avLst/>
          </a:prstGeom>
        </xdr:spPr>
      </xdr:pic>
      <xdr:sp macro="" textlink="">
        <xdr:nvSpPr>
          <xdr:cNvPr id="17" name="ZoneTexte 16">
            <a:extLst>
              <a:ext uri="{FF2B5EF4-FFF2-40B4-BE49-F238E27FC236}">
                <a16:creationId xmlns:a16="http://schemas.microsoft.com/office/drawing/2014/main" id="{00000000-0008-0000-0B00-000011000000}"/>
              </a:ext>
            </a:extLst>
          </xdr:cNvPr>
          <xdr:cNvSpPr txBox="1"/>
        </xdr:nvSpPr>
        <xdr:spPr>
          <a:xfrm>
            <a:off x="17268825" y="2466975"/>
            <a:ext cx="14001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100" b="1">
                <a:latin typeface="Arial" panose="020B0604020202020204" pitchFamily="34" charset="0"/>
                <a:cs typeface="Arial" panose="020B0604020202020204" pitchFamily="34" charset="0"/>
              </a:rPr>
              <a:t>Effacer</a:t>
            </a:r>
            <a:r>
              <a:rPr lang="fr-FR" sz="1100" b="1" baseline="0">
                <a:latin typeface="Arial" panose="020B0604020202020204" pitchFamily="34" charset="0"/>
                <a:cs typeface="Arial" panose="020B0604020202020204" pitchFamily="34" charset="0"/>
              </a:rPr>
              <a:t> la saisie</a:t>
            </a:r>
            <a:endParaRPr lang="fr-FR" sz="1100" b="1">
              <a:latin typeface="Arial" panose="020B0604020202020204" pitchFamily="34" charset="0"/>
              <a:cs typeface="Arial" panose="020B0604020202020204" pitchFamily="34" charset="0"/>
            </a:endParaRPr>
          </a:p>
        </xdr:txBody>
      </xdr:sp>
    </xdr:grpSp>
    <xdr:clientData/>
  </xdr:twoCellAnchor>
  <xdr:twoCellAnchor>
    <xdr:from>
      <xdr:col>9</xdr:col>
      <xdr:colOff>19050</xdr:colOff>
      <xdr:row>5</xdr:row>
      <xdr:rowOff>304800</xdr:rowOff>
    </xdr:from>
    <xdr:to>
      <xdr:col>10</xdr:col>
      <xdr:colOff>657225</xdr:colOff>
      <xdr:row>7</xdr:row>
      <xdr:rowOff>28575</xdr:rowOff>
    </xdr:to>
    <xdr:sp macro="" textlink="">
      <xdr:nvSpPr>
        <xdr:cNvPr id="19" name="ZoneTexte 18">
          <a:extLst>
            <a:ext uri="{FF2B5EF4-FFF2-40B4-BE49-F238E27FC236}">
              <a16:creationId xmlns:a16="http://schemas.microsoft.com/office/drawing/2014/main" id="{00000000-0008-0000-0B00-000013000000}"/>
            </a:ext>
          </a:extLst>
        </xdr:cNvPr>
        <xdr:cNvSpPr txBox="1"/>
      </xdr:nvSpPr>
      <xdr:spPr>
        <a:xfrm>
          <a:off x="14306550" y="1400175"/>
          <a:ext cx="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b="1">
              <a:latin typeface="Arial" panose="020B0604020202020204" pitchFamily="34" charset="0"/>
              <a:cs typeface="Arial" panose="020B0604020202020204" pitchFamily="34" charset="0"/>
            </a:rPr>
            <a:t>Tableau de Bord</a:t>
          </a:r>
        </a:p>
      </xdr:txBody>
    </xdr:sp>
    <xdr:clientData/>
  </xdr:twoCellAnchor>
  <xdr:twoCellAnchor editAs="absolute">
    <xdr:from>
      <xdr:col>0</xdr:col>
      <xdr:colOff>66675</xdr:colOff>
      <xdr:row>0</xdr:row>
      <xdr:rowOff>57150</xdr:rowOff>
    </xdr:from>
    <xdr:to>
      <xdr:col>3</xdr:col>
      <xdr:colOff>1458676</xdr:colOff>
      <xdr:row>0</xdr:row>
      <xdr:rowOff>600075</xdr:rowOff>
    </xdr:to>
    <xdr:grpSp>
      <xdr:nvGrpSpPr>
        <xdr:cNvPr id="31" name="Groupe 30">
          <a:extLst>
            <a:ext uri="{FF2B5EF4-FFF2-40B4-BE49-F238E27FC236}">
              <a16:creationId xmlns:a16="http://schemas.microsoft.com/office/drawing/2014/main" id="{00000000-0008-0000-0B00-00001F000000}"/>
            </a:ext>
          </a:extLst>
        </xdr:cNvPr>
        <xdr:cNvGrpSpPr/>
      </xdr:nvGrpSpPr>
      <xdr:grpSpPr>
        <a:xfrm>
          <a:off x="66675" y="57150"/>
          <a:ext cx="6573601" cy="542925"/>
          <a:chOff x="9518705" y="3844816"/>
          <a:chExt cx="6437312" cy="542925"/>
        </a:xfrm>
      </xdr:grpSpPr>
      <xdr:pic>
        <xdr:nvPicPr>
          <xdr:cNvPr id="32" name="Graphique 31" descr="Serveur avec un remplissage uni">
            <a:hlinkClick xmlns:r="http://schemas.openxmlformats.org/officeDocument/2006/relationships" r:id="rId9" tooltip="Actifs Support"/>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0703813" y="3892280"/>
            <a:ext cx="446400" cy="447996"/>
          </a:xfrm>
          <a:prstGeom prst="rect">
            <a:avLst/>
          </a:prstGeom>
        </xdr:spPr>
      </xdr:pic>
      <xdr:pic>
        <xdr:nvPicPr>
          <xdr:cNvPr id="33" name="Graphique 32" descr="Recherche de dossiers avec un remplissage uni">
            <a:hlinkClick xmlns:r="http://schemas.openxmlformats.org/officeDocument/2006/relationships" r:id="rId12" tooltip="Actifs Primaires"/>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0149359" y="3893078"/>
            <a:ext cx="446400" cy="446400"/>
          </a:xfrm>
          <a:prstGeom prst="rect">
            <a:avLst/>
          </a:prstGeom>
        </xdr:spPr>
      </xdr:pic>
      <xdr:pic>
        <xdr:nvPicPr>
          <xdr:cNvPr id="34" name="Graphique 33" descr="Accident avec un remplissage uni">
            <a:hlinkClick xmlns:r="http://schemas.openxmlformats.org/officeDocument/2006/relationships" r:id="rId15" tooltip="Dommages"/>
            <a:extLst>
              <a:ext uri="{FF2B5EF4-FFF2-40B4-BE49-F238E27FC236}">
                <a16:creationId xmlns:a16="http://schemas.microsoft.com/office/drawing/2014/main" id="{00000000-0008-0000-0B00-000022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1258267" y="3893078"/>
            <a:ext cx="446400" cy="446400"/>
          </a:xfrm>
          <a:prstGeom prst="rect">
            <a:avLst/>
          </a:prstGeom>
        </xdr:spPr>
      </xdr:pic>
      <xdr:pic>
        <xdr:nvPicPr>
          <xdr:cNvPr id="35" name="Graphique 34" descr="Dé avec un remplissage uni">
            <a:hlinkClick xmlns:r="http://schemas.openxmlformats.org/officeDocument/2006/relationships" r:id="rId18" tooltip="Evénements déclencheurs"/>
            <a:extLst>
              <a:ext uri="{FF2B5EF4-FFF2-40B4-BE49-F238E27FC236}">
                <a16:creationId xmlns:a16="http://schemas.microsoft.com/office/drawing/2014/main" id="{00000000-0008-0000-0B00-00002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1812722" y="3893078"/>
            <a:ext cx="446400" cy="446400"/>
          </a:xfrm>
          <a:prstGeom prst="rect">
            <a:avLst/>
          </a:prstGeom>
        </xdr:spPr>
      </xdr:pic>
      <xdr:pic>
        <xdr:nvPicPr>
          <xdr:cNvPr id="36" name="Graphique 35" descr="Logement avec un remplissage uni">
            <a:hlinkClick xmlns:r="http://schemas.openxmlformats.org/officeDocument/2006/relationships" r:id="rId21" tooltip="Accueil"/>
            <a:extLst>
              <a:ext uri="{FF2B5EF4-FFF2-40B4-BE49-F238E27FC236}">
                <a16:creationId xmlns:a16="http://schemas.microsoft.com/office/drawing/2014/main" id="{00000000-0008-0000-0B00-000024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9518705" y="3893078"/>
            <a:ext cx="446400" cy="446400"/>
          </a:xfrm>
          <a:prstGeom prst="rect">
            <a:avLst/>
          </a:prstGeom>
          <a:effectLst>
            <a:outerShdw blurRad="50800" dist="38100" dir="2700000" algn="tl" rotWithShape="0">
              <a:prstClr val="black">
                <a:alpha val="40000"/>
              </a:prstClr>
            </a:outerShdw>
          </a:effectLst>
        </xdr:spPr>
      </xdr:pic>
      <xdr:grpSp>
        <xdr:nvGrpSpPr>
          <xdr:cNvPr id="37" name="Groupe 36">
            <a:hlinkClick xmlns:r="http://schemas.openxmlformats.org/officeDocument/2006/relationships" r:id="rId24" tooltip="Analyse de Risque"/>
            <a:extLst>
              <a:ext uri="{FF2B5EF4-FFF2-40B4-BE49-F238E27FC236}">
                <a16:creationId xmlns:a16="http://schemas.microsoft.com/office/drawing/2014/main" id="{00000000-0008-0000-0B00-000025000000}"/>
              </a:ext>
            </a:extLst>
          </xdr:cNvPr>
          <xdr:cNvGrpSpPr/>
        </xdr:nvGrpSpPr>
        <xdr:grpSpPr>
          <a:xfrm>
            <a:off x="12661938" y="3911226"/>
            <a:ext cx="428493" cy="410104"/>
            <a:chOff x="5111260" y="103549"/>
            <a:chExt cx="428280" cy="410104"/>
          </a:xfrm>
          <a:solidFill>
            <a:schemeClr val="bg2"/>
          </a:solidFill>
          <a:effectLst>
            <a:outerShdw blurRad="50800" dist="38100" dir="2700000" algn="tl" rotWithShape="0">
              <a:prstClr val="black">
                <a:alpha val="40000"/>
              </a:prstClr>
            </a:outerShdw>
          </a:effectLst>
        </xdr:grpSpPr>
        <xdr:pic>
          <xdr:nvPicPr>
            <xdr:cNvPr id="45" name="Graphique 44" descr="Document avec un remplissage uni">
              <a:extLst>
                <a:ext uri="{FF2B5EF4-FFF2-40B4-BE49-F238E27FC236}">
                  <a16:creationId xmlns:a16="http://schemas.microsoft.com/office/drawing/2014/main" id="{00000000-0008-0000-0B00-00002D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154942" y="103549"/>
              <a:ext cx="384598" cy="410104"/>
            </a:xfrm>
            <a:prstGeom prst="rect">
              <a:avLst/>
            </a:prstGeom>
          </xdr:spPr>
        </xdr:pic>
        <xdr:pic>
          <xdr:nvPicPr>
            <xdr:cNvPr id="46" name="Graphique 45" descr="Coche avec un remplissage uni">
              <a:extLst>
                <a:ext uri="{FF2B5EF4-FFF2-40B4-BE49-F238E27FC236}">
                  <a16:creationId xmlns:a16="http://schemas.microsoft.com/office/drawing/2014/main" id="{00000000-0008-0000-0B00-00002E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5125784" y="288962"/>
              <a:ext cx="180273" cy="197722"/>
            </a:xfrm>
            <a:prstGeom prst="rect">
              <a:avLst/>
            </a:prstGeom>
          </xdr:spPr>
        </xdr:pic>
        <xdr:pic>
          <xdr:nvPicPr>
            <xdr:cNvPr id="47" name="Graphique 46" descr="Badge à suivre avec un remplissage uni">
              <a:extLst>
                <a:ext uri="{FF2B5EF4-FFF2-40B4-BE49-F238E27FC236}">
                  <a16:creationId xmlns:a16="http://schemas.microsoft.com/office/drawing/2014/main" id="{00000000-0008-0000-0B00-00002F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5111260" y="145828"/>
              <a:ext cx="180273" cy="194849"/>
            </a:xfrm>
            <a:prstGeom prst="rect">
              <a:avLst/>
            </a:prstGeom>
          </xdr:spPr>
        </xdr:pic>
        <xdr:pic>
          <xdr:nvPicPr>
            <xdr:cNvPr id="48" name="Graphique 47" descr="Crayon avec un remplissage uni">
              <a:extLst>
                <a:ext uri="{FF2B5EF4-FFF2-40B4-BE49-F238E27FC236}">
                  <a16:creationId xmlns:a16="http://schemas.microsoft.com/office/drawing/2014/main" id="{00000000-0008-0000-0B00-00003000000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5284434" y="277381"/>
              <a:ext cx="231999" cy="230257"/>
            </a:xfrm>
            <a:prstGeom prst="rect">
              <a:avLst/>
            </a:prstGeom>
          </xdr:spPr>
        </xdr:pic>
      </xdr:grpSp>
      <xdr:pic>
        <xdr:nvPicPr>
          <xdr:cNvPr id="38" name="Graphique 37" descr="Présentation avec liste de vérification avec un remplissage uni">
            <a:hlinkClick xmlns:r="http://schemas.openxmlformats.org/officeDocument/2006/relationships" r:id="rId33" tooltip="Fiches de Risque"/>
            <a:extLst>
              <a:ext uri="{FF2B5EF4-FFF2-40B4-BE49-F238E27FC236}">
                <a16:creationId xmlns:a16="http://schemas.microsoft.com/office/drawing/2014/main" id="{00000000-0008-0000-0B00-000026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 uri="{96DAC541-7B7A-43D3-8B79-37D633B846F1}">
                <asvg:svgBlip xmlns:asvg="http://schemas.microsoft.com/office/drawing/2016/SVG/main" r:embed="rId35"/>
              </a:ext>
            </a:extLst>
          </a:blip>
          <a:srcRect/>
          <a:stretch/>
        </xdr:blipFill>
        <xdr:spPr>
          <a:xfrm>
            <a:off x="13234017" y="3893004"/>
            <a:ext cx="446771" cy="446549"/>
          </a:xfrm>
          <a:prstGeom prst="rect">
            <a:avLst/>
          </a:prstGeom>
          <a:effectLst>
            <a:outerShdw blurRad="50800" dist="38100" dir="2700000" algn="tl" rotWithShape="0">
              <a:prstClr val="black">
                <a:alpha val="40000"/>
              </a:prstClr>
            </a:outerShdw>
          </a:effectLst>
        </xdr:spPr>
      </xdr:pic>
      <xdr:pic>
        <xdr:nvPicPr>
          <xdr:cNvPr id="39" name="Graphique 38" descr="Présentation avec camembert avec un remplissage uni">
            <a:hlinkClick xmlns:r="http://schemas.openxmlformats.org/officeDocument/2006/relationships" r:id="rId36" tooltip="Panorama"/>
            <a:extLst>
              <a:ext uri="{FF2B5EF4-FFF2-40B4-BE49-F238E27FC236}">
                <a16:creationId xmlns:a16="http://schemas.microsoft.com/office/drawing/2014/main" id="{00000000-0008-0000-0B00-000027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 uri="{96DAC541-7B7A-43D3-8B79-37D633B846F1}">
                <asvg:svgBlip xmlns:asvg="http://schemas.microsoft.com/office/drawing/2016/SVG/main" r:embed="rId38"/>
              </a:ext>
            </a:extLst>
          </a:blip>
          <a:srcRect/>
          <a:stretch/>
        </xdr:blipFill>
        <xdr:spPr>
          <a:xfrm>
            <a:off x="13824374" y="3893004"/>
            <a:ext cx="446771" cy="446549"/>
          </a:xfrm>
          <a:prstGeom prst="rect">
            <a:avLst/>
          </a:prstGeom>
          <a:effectLst>
            <a:outerShdw blurRad="50800" dist="38100" dir="2700000" algn="tl" rotWithShape="0">
              <a:prstClr val="black">
                <a:alpha val="40000"/>
              </a:prstClr>
            </a:outerShdw>
          </a:effectLst>
        </xdr:spPr>
      </xdr:pic>
      <xdr:sp macro="" textlink="">
        <xdr:nvSpPr>
          <xdr:cNvPr id="40" name="Rectangle : coins arrondis 39">
            <a:extLst>
              <a:ext uri="{FF2B5EF4-FFF2-40B4-BE49-F238E27FC236}">
                <a16:creationId xmlns:a16="http://schemas.microsoft.com/office/drawing/2014/main" id="{00000000-0008-0000-0B00-000028000000}"/>
              </a:ext>
            </a:extLst>
          </xdr:cNvPr>
          <xdr:cNvSpPr/>
        </xdr:nvSpPr>
        <xdr:spPr bwMode="auto">
          <a:xfrm>
            <a:off x="10069820" y="3844816"/>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41" name="Rectangle : coins arrondis 40">
            <a:extLst>
              <a:ext uri="{FF2B5EF4-FFF2-40B4-BE49-F238E27FC236}">
                <a16:creationId xmlns:a16="http://schemas.microsoft.com/office/drawing/2014/main" id="{00000000-0008-0000-0B00-000029000000}"/>
              </a:ext>
            </a:extLst>
          </xdr:cNvPr>
          <xdr:cNvSpPr/>
        </xdr:nvSpPr>
        <xdr:spPr bwMode="auto">
          <a:xfrm>
            <a:off x="12508221" y="3844816"/>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42" name="ZoneTexte 41">
            <a:hlinkClick xmlns:r="http://schemas.openxmlformats.org/officeDocument/2006/relationships" r:id="rId39" tooltip="Gravité"/>
            <a:extLst>
              <a:ext uri="{FF2B5EF4-FFF2-40B4-BE49-F238E27FC236}">
                <a16:creationId xmlns:a16="http://schemas.microsoft.com/office/drawing/2014/main" id="{00000000-0008-0000-0B00-00002A000000}"/>
              </a:ext>
            </a:extLst>
          </xdr:cNvPr>
          <xdr:cNvSpPr txBox="1"/>
        </xdr:nvSpPr>
        <xdr:spPr>
          <a:xfrm>
            <a:off x="14733067" y="3907369"/>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43" name="ZoneTexte 42">
            <a:hlinkClick xmlns:r="http://schemas.openxmlformats.org/officeDocument/2006/relationships" r:id="rId40" tooltip="Grilles de décision"/>
            <a:extLst>
              <a:ext uri="{FF2B5EF4-FFF2-40B4-BE49-F238E27FC236}">
                <a16:creationId xmlns:a16="http://schemas.microsoft.com/office/drawing/2014/main" id="{00000000-0008-0000-0B00-00002B000000}"/>
              </a:ext>
            </a:extLst>
          </xdr:cNvPr>
          <xdr:cNvSpPr txBox="1"/>
        </xdr:nvSpPr>
        <xdr:spPr>
          <a:xfrm>
            <a:off x="15338068" y="3907478"/>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44" name="Rectangle : coins arrondis 43">
            <a:extLst>
              <a:ext uri="{FF2B5EF4-FFF2-40B4-BE49-F238E27FC236}">
                <a16:creationId xmlns:a16="http://schemas.microsoft.com/office/drawing/2014/main" id="{00000000-0008-0000-0B00-00002C000000}"/>
              </a:ext>
            </a:extLst>
          </xdr:cNvPr>
          <xdr:cNvSpPr/>
        </xdr:nvSpPr>
        <xdr:spPr bwMode="auto">
          <a:xfrm>
            <a:off x="14584014" y="3844816"/>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twoCellAnchor>
    <xdr:from>
      <xdr:col>0</xdr:col>
      <xdr:colOff>219076</xdr:colOff>
      <xdr:row>4</xdr:row>
      <xdr:rowOff>9525</xdr:rowOff>
    </xdr:from>
    <xdr:to>
      <xdr:col>4</xdr:col>
      <xdr:colOff>295275</xdr:colOff>
      <xdr:row>29</xdr:row>
      <xdr:rowOff>133350</xdr:rowOff>
    </xdr:to>
    <xdr:sp macro="" textlink="">
      <xdr:nvSpPr>
        <xdr:cNvPr id="49" name="Rectangle : coins arrondis 48">
          <a:extLst>
            <a:ext uri="{FF2B5EF4-FFF2-40B4-BE49-F238E27FC236}">
              <a16:creationId xmlns:a16="http://schemas.microsoft.com/office/drawing/2014/main" id="{00000000-0008-0000-0B00-000031000000}"/>
            </a:ext>
          </a:extLst>
        </xdr:cNvPr>
        <xdr:cNvSpPr/>
      </xdr:nvSpPr>
      <xdr:spPr bwMode="auto">
        <a:xfrm>
          <a:off x="219076" y="1962150"/>
          <a:ext cx="10220324" cy="65627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18</xdr:col>
      <xdr:colOff>1</xdr:colOff>
      <xdr:row>2</xdr:row>
      <xdr:rowOff>139446</xdr:rowOff>
    </xdr:from>
    <xdr:to>
      <xdr:col>21</xdr:col>
      <xdr:colOff>1731065</xdr:colOff>
      <xdr:row>2</xdr:row>
      <xdr:rowOff>646042</xdr:rowOff>
    </xdr:to>
    <xdr:grpSp>
      <xdr:nvGrpSpPr>
        <xdr:cNvPr id="20" name="Groupe 19">
          <a:extLst>
            <a:ext uri="{FF2B5EF4-FFF2-40B4-BE49-F238E27FC236}">
              <a16:creationId xmlns:a16="http://schemas.microsoft.com/office/drawing/2014/main" id="{00000000-0008-0000-0C00-000014000000}"/>
            </a:ext>
          </a:extLst>
        </xdr:cNvPr>
        <xdr:cNvGrpSpPr/>
      </xdr:nvGrpSpPr>
      <xdr:grpSpPr>
        <a:xfrm>
          <a:off x="6332221" y="1183386"/>
          <a:ext cx="5426764" cy="506596"/>
          <a:chOff x="6419850" y="1401824"/>
          <a:chExt cx="5311984" cy="502582"/>
        </a:xfrm>
      </xdr:grpSpPr>
      <xdr:sp macro="" textlink="">
        <xdr:nvSpPr>
          <xdr:cNvPr id="21" name="ZoneTexte 20">
            <a:extLst>
              <a:ext uri="{FF2B5EF4-FFF2-40B4-BE49-F238E27FC236}">
                <a16:creationId xmlns:a16="http://schemas.microsoft.com/office/drawing/2014/main" id="{00000000-0008-0000-0C00-000015000000}"/>
              </a:ext>
            </a:extLst>
          </xdr:cNvPr>
          <xdr:cNvSpPr txBox="1"/>
        </xdr:nvSpPr>
        <xdr:spPr>
          <a:xfrm>
            <a:off x="6419850" y="1409700"/>
            <a:ext cx="5311984" cy="494706"/>
          </a:xfrm>
          <a:prstGeom prst="roundRect">
            <a:avLst/>
          </a:prstGeom>
          <a:solidFill>
            <a:schemeClr val="tx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lvl="1"/>
            <a:r>
              <a:rPr lang="fr-FR" sz="1000">
                <a:solidFill>
                  <a:schemeClr val="bg1"/>
                </a:solidFill>
              </a:rPr>
              <a:t>Double-cliquer sur 🖉 ou </a:t>
            </a:r>
            <a:r>
              <a:rPr lang="fr-FR" sz="1000">
                <a:solidFill>
                  <a:schemeClr val="bg1"/>
                </a:solidFill>
                <a:latin typeface="Arial" panose="020B0604020202020204" pitchFamily="34" charset="0"/>
                <a:cs typeface="Arial" panose="020B0604020202020204" pitchFamily="34" charset="0"/>
              </a:rPr>
              <a:t>🔍</a:t>
            </a:r>
            <a:r>
              <a:rPr lang="fr-FR" sz="1000">
                <a:solidFill>
                  <a:schemeClr val="bg1"/>
                </a:solidFill>
              </a:rPr>
              <a:t> pour accéder à la fiche en modification ou en lecture seule</a:t>
            </a:r>
          </a:p>
          <a:p>
            <a:pPr lvl="1"/>
            <a:r>
              <a:rPr lang="fr-FR" sz="1000">
                <a:solidFill>
                  <a:schemeClr val="bg1"/>
                </a:solidFill>
                <a:latin typeface="+mn-lt"/>
                <a:ea typeface="+mn-ea"/>
                <a:cs typeface="+mn-cs"/>
              </a:rPr>
              <a:t>Double-cliquer  sur </a:t>
            </a:r>
            <a:r>
              <a:rPr lang="fr-FR" sz="1000">
                <a:solidFill>
                  <a:schemeClr val="bg1"/>
                </a:solidFill>
              </a:rPr>
              <a:t>🗑 pour supprimer la fiche</a:t>
            </a:r>
          </a:p>
        </xdr:txBody>
      </xdr:sp>
      <xdr:pic>
        <xdr:nvPicPr>
          <xdr:cNvPr id="22" name="Graphique 21" descr="Informations avec un remplissage uni">
            <a:extLst>
              <a:ext uri="{FF2B5EF4-FFF2-40B4-BE49-F238E27FC236}">
                <a16:creationId xmlns:a16="http://schemas.microsoft.com/office/drawing/2014/main" id="{00000000-0008-0000-0C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69594" y="1401824"/>
            <a:ext cx="446942" cy="452804"/>
          </a:xfrm>
          <a:prstGeom prst="rect">
            <a:avLst/>
          </a:prstGeom>
        </xdr:spPr>
      </xdr:pic>
    </xdr:grpSp>
    <xdr:clientData/>
  </xdr:twoCellAnchor>
  <xdr:twoCellAnchor>
    <xdr:from>
      <xdr:col>16</xdr:col>
      <xdr:colOff>265044</xdr:colOff>
      <xdr:row>2</xdr:row>
      <xdr:rowOff>351693</xdr:rowOff>
    </xdr:from>
    <xdr:to>
      <xdr:col>17</xdr:col>
      <xdr:colOff>348258</xdr:colOff>
      <xdr:row>3</xdr:row>
      <xdr:rowOff>282779</xdr:rowOff>
    </xdr:to>
    <xdr:sp macro="" textlink="">
      <xdr:nvSpPr>
        <xdr:cNvPr id="28" name="Flèche : virage 27">
          <a:extLst>
            <a:ext uri="{FF2B5EF4-FFF2-40B4-BE49-F238E27FC236}">
              <a16:creationId xmlns:a16="http://schemas.microsoft.com/office/drawing/2014/main" id="{00000000-0008-0000-0C00-00001C000000}"/>
            </a:ext>
          </a:extLst>
        </xdr:cNvPr>
        <xdr:cNvSpPr/>
      </xdr:nvSpPr>
      <xdr:spPr bwMode="auto">
        <a:xfrm rot="5400000" flipV="1">
          <a:off x="5422328" y="1143870"/>
          <a:ext cx="759029" cy="434906"/>
        </a:xfrm>
        <a:prstGeom prst="bentArrow">
          <a:avLst>
            <a:gd name="adj1" fmla="val 11804"/>
            <a:gd name="adj2" fmla="val 25000"/>
            <a:gd name="adj3" fmla="val 25000"/>
            <a:gd name="adj4" fmla="val 43750"/>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fr-FR" sz="1100"/>
        </a:p>
      </xdr:txBody>
    </xdr:sp>
    <xdr:clientData/>
  </xdr:twoCellAnchor>
  <xdr:twoCellAnchor editAs="oneCell">
    <xdr:from>
      <xdr:col>6</xdr:col>
      <xdr:colOff>102254</xdr:colOff>
      <xdr:row>2</xdr:row>
      <xdr:rowOff>210350</xdr:rowOff>
    </xdr:from>
    <xdr:to>
      <xdr:col>6</xdr:col>
      <xdr:colOff>1007218</xdr:colOff>
      <xdr:row>3</xdr:row>
      <xdr:rowOff>222810</xdr:rowOff>
    </xdr:to>
    <xdr:grpSp>
      <xdr:nvGrpSpPr>
        <xdr:cNvPr id="11" name="Groupe 10">
          <a:hlinkClick xmlns:r="http://schemas.openxmlformats.org/officeDocument/2006/relationships" r:id="rId3" tooltip="Analyse de Risque"/>
          <a:extLst>
            <a:ext uri="{FF2B5EF4-FFF2-40B4-BE49-F238E27FC236}">
              <a16:creationId xmlns:a16="http://schemas.microsoft.com/office/drawing/2014/main" id="{00000000-0008-0000-0C00-00000B000000}"/>
            </a:ext>
          </a:extLst>
        </xdr:cNvPr>
        <xdr:cNvGrpSpPr/>
      </xdr:nvGrpSpPr>
      <xdr:grpSpPr>
        <a:xfrm>
          <a:off x="330854" y="1254290"/>
          <a:ext cx="904964" cy="835420"/>
          <a:chOff x="6158964" y="4220398"/>
          <a:chExt cx="598477" cy="560170"/>
        </a:xfrm>
      </xdr:grpSpPr>
      <xdr:grpSp>
        <xdr:nvGrpSpPr>
          <xdr:cNvPr id="30" name="Groupe 29">
            <a:hlinkClick xmlns:r="http://schemas.openxmlformats.org/officeDocument/2006/relationships" r:id="rId4"/>
            <a:extLst>
              <a:ext uri="{FF2B5EF4-FFF2-40B4-BE49-F238E27FC236}">
                <a16:creationId xmlns:a16="http://schemas.microsoft.com/office/drawing/2014/main" id="{00000000-0008-0000-0C00-00001E000000}"/>
              </a:ext>
            </a:extLst>
          </xdr:cNvPr>
          <xdr:cNvGrpSpPr/>
        </xdr:nvGrpSpPr>
        <xdr:grpSpPr>
          <a:xfrm>
            <a:off x="6158964" y="4220398"/>
            <a:ext cx="598477" cy="560170"/>
            <a:chOff x="6122647" y="5820400"/>
            <a:chExt cx="598477" cy="509770"/>
          </a:xfrm>
        </xdr:grpSpPr>
        <xdr:sp macro="" textlink="">
          <xdr:nvSpPr>
            <xdr:cNvPr id="31" name="Rectangle 30">
              <a:extLst>
                <a:ext uri="{FF2B5EF4-FFF2-40B4-BE49-F238E27FC236}">
                  <a16:creationId xmlns:a16="http://schemas.microsoft.com/office/drawing/2014/main" id="{00000000-0008-0000-0C00-00001F000000}"/>
                </a:ext>
              </a:extLst>
            </xdr:cNvPr>
            <xdr:cNvSpPr/>
          </xdr:nvSpPr>
          <xdr:spPr bwMode="auto">
            <a:xfrm>
              <a:off x="6122647" y="5820400"/>
              <a:ext cx="560615" cy="509770"/>
            </a:xfrm>
            <a:prstGeom prst="rect">
              <a:avLst/>
            </a:prstGeom>
            <a:ln>
              <a:noFill/>
              <a:headEnd type="none" w="med" len="med"/>
              <a:tailEnd type="none" w="med" len="med"/>
            </a:ln>
            <a:scene3d>
              <a:camera prst="orthographicFront"/>
              <a:lightRig rig="balanced" dir="t"/>
            </a:scene3d>
            <a:sp3d extrusionH="76200" prstMaterial="dkEdge">
              <a:bevelT/>
              <a:extrusionClr>
                <a:schemeClr val="bg1"/>
              </a:extrusionClr>
            </a:sp3d>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l"/>
              <a:endParaRPr lang="fr-FR" sz="1100"/>
            </a:p>
          </xdr:txBody>
        </xdr:sp>
        <xdr:pic>
          <xdr:nvPicPr>
            <xdr:cNvPr id="32" name="Graphique 31" descr="Document avec un remplissage uni">
              <a:extLst>
                <a:ext uri="{FF2B5EF4-FFF2-40B4-BE49-F238E27FC236}">
                  <a16:creationId xmlns:a16="http://schemas.microsoft.com/office/drawing/2014/main" id="{00000000-0008-0000-0C00-00002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207602" y="5824377"/>
              <a:ext cx="513522" cy="500835"/>
            </a:xfrm>
            <a:prstGeom prst="rect">
              <a:avLst/>
            </a:prstGeom>
          </xdr:spPr>
        </xdr:pic>
        <xdr:pic>
          <xdr:nvPicPr>
            <xdr:cNvPr id="33" name="Graphique 32" descr="Coche avec un remplissage uni">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6168669" y="6050811"/>
              <a:ext cx="240704" cy="241466"/>
            </a:xfrm>
            <a:prstGeom prst="rect">
              <a:avLst/>
            </a:prstGeom>
          </xdr:spPr>
        </xdr:pic>
        <xdr:pic>
          <xdr:nvPicPr>
            <xdr:cNvPr id="34" name="Graphique 33" descr="Badge à suivre avec un remplissage uni">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149277" y="5876010"/>
              <a:ext cx="240704" cy="237958"/>
            </a:xfrm>
            <a:prstGeom prst="rect">
              <a:avLst/>
            </a:prstGeom>
          </xdr:spPr>
        </xdr:pic>
      </xdr:grpSp>
      <xdr:pic>
        <xdr:nvPicPr>
          <xdr:cNvPr id="29" name="Graphique 28" descr="Crayon avec un remplissage uni">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416819" y="4458048"/>
            <a:ext cx="309769" cy="309001"/>
          </a:xfrm>
          <a:prstGeom prst="rect">
            <a:avLst/>
          </a:prstGeom>
        </xdr:spPr>
      </xdr:pic>
    </xdr:grpSp>
    <xdr:clientData/>
  </xdr:twoCellAnchor>
  <xdr:twoCellAnchor>
    <xdr:from>
      <xdr:col>18</xdr:col>
      <xdr:colOff>685865</xdr:colOff>
      <xdr:row>0</xdr:row>
      <xdr:rowOff>140804</xdr:rowOff>
    </xdr:from>
    <xdr:to>
      <xdr:col>19</xdr:col>
      <xdr:colOff>1704307</xdr:colOff>
      <xdr:row>0</xdr:row>
      <xdr:rowOff>538369</xdr:rowOff>
    </xdr:to>
    <xdr:sp macro="[0]!Renum.Renum" textlink="">
      <xdr:nvSpPr>
        <xdr:cNvPr id="7" name="ZoneTexte 6">
          <a:extLst>
            <a:ext uri="{FF2B5EF4-FFF2-40B4-BE49-F238E27FC236}">
              <a16:creationId xmlns:a16="http://schemas.microsoft.com/office/drawing/2014/main" id="{00000000-0008-0000-0C00-000007000000}"/>
            </a:ext>
          </a:extLst>
        </xdr:cNvPr>
        <xdr:cNvSpPr txBox="1"/>
      </xdr:nvSpPr>
      <xdr:spPr>
        <a:xfrm>
          <a:off x="6806713" y="140804"/>
          <a:ext cx="1780442" cy="397565"/>
        </a:xfrm>
        <a:prstGeom prst="roundRect">
          <a:avLst>
            <a:gd name="adj" fmla="val 50000"/>
          </a:avLst>
        </a:prstGeom>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algn="ctr"/>
          <a:r>
            <a:rPr lang="fr-FR" sz="1100" b="1"/>
            <a:t>Renuméroter</a:t>
          </a:r>
          <a:r>
            <a:rPr lang="fr-FR" sz="1100" b="1" baseline="0"/>
            <a:t> les Fiches</a:t>
          </a:r>
          <a:endParaRPr lang="fr-FR" sz="1100" b="1"/>
        </a:p>
      </xdr:txBody>
    </xdr:sp>
    <xdr:clientData/>
  </xdr:twoCellAnchor>
  <xdr:twoCellAnchor>
    <xdr:from>
      <xdr:col>4</xdr:col>
      <xdr:colOff>16566</xdr:colOff>
      <xdr:row>3</xdr:row>
      <xdr:rowOff>184701</xdr:rowOff>
    </xdr:from>
    <xdr:to>
      <xdr:col>7</xdr:col>
      <xdr:colOff>91109</xdr:colOff>
      <xdr:row>4</xdr:row>
      <xdr:rowOff>30644</xdr:rowOff>
    </xdr:to>
    <xdr:sp macro="" textlink="">
      <xdr:nvSpPr>
        <xdr:cNvPr id="9" name="ZoneTexte 8">
          <a:extLst>
            <a:ext uri="{FF2B5EF4-FFF2-40B4-BE49-F238E27FC236}">
              <a16:creationId xmlns:a16="http://schemas.microsoft.com/office/drawing/2014/main" id="{00000000-0008-0000-0C00-000009000000}"/>
            </a:ext>
          </a:extLst>
        </xdr:cNvPr>
        <xdr:cNvSpPr txBox="1"/>
      </xdr:nvSpPr>
      <xdr:spPr>
        <a:xfrm>
          <a:off x="168966" y="1813476"/>
          <a:ext cx="1208018" cy="2745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ysClr val="windowText" lastClr="000000"/>
              </a:solidFill>
            </a:rPr>
            <a:t>Analyse de risque</a:t>
          </a:r>
        </a:p>
      </xdr:txBody>
    </xdr:sp>
    <xdr:clientData/>
  </xdr:twoCellAnchor>
  <xdr:twoCellAnchor>
    <xdr:from>
      <xdr:col>4</xdr:col>
      <xdr:colOff>16566</xdr:colOff>
      <xdr:row>1</xdr:row>
      <xdr:rowOff>271254</xdr:rowOff>
    </xdr:from>
    <xdr:to>
      <xdr:col>7</xdr:col>
      <xdr:colOff>91109</xdr:colOff>
      <xdr:row>2</xdr:row>
      <xdr:rowOff>223629</xdr:rowOff>
    </xdr:to>
    <xdr:sp macro="" textlink="">
      <xdr:nvSpPr>
        <xdr:cNvPr id="35" name="ZoneTexte 34">
          <a:extLst>
            <a:ext uri="{FF2B5EF4-FFF2-40B4-BE49-F238E27FC236}">
              <a16:creationId xmlns:a16="http://schemas.microsoft.com/office/drawing/2014/main" id="{00000000-0008-0000-0C00-000023000000}"/>
            </a:ext>
          </a:extLst>
        </xdr:cNvPr>
        <xdr:cNvSpPr txBox="1"/>
      </xdr:nvSpPr>
      <xdr:spPr>
        <a:xfrm>
          <a:off x="168966" y="861804"/>
          <a:ext cx="1208018"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solidFill>
                <a:sysClr val="windowText" lastClr="000000"/>
              </a:solidFill>
            </a:rPr>
            <a:t>Aller vers</a:t>
          </a:r>
        </a:p>
      </xdr:txBody>
    </xdr:sp>
    <xdr:clientData/>
  </xdr:twoCellAnchor>
  <xdr:twoCellAnchor>
    <xdr:from>
      <xdr:col>19</xdr:col>
      <xdr:colOff>2049946</xdr:colOff>
      <xdr:row>0</xdr:row>
      <xdr:rowOff>140804</xdr:rowOff>
    </xdr:from>
    <xdr:to>
      <xdr:col>21</xdr:col>
      <xdr:colOff>524990</xdr:colOff>
      <xdr:row>0</xdr:row>
      <xdr:rowOff>538369</xdr:rowOff>
    </xdr:to>
    <xdr:grpSp>
      <xdr:nvGrpSpPr>
        <xdr:cNvPr id="15" name="Groupe 14">
          <a:extLst>
            <a:ext uri="{FF2B5EF4-FFF2-40B4-BE49-F238E27FC236}">
              <a16:creationId xmlns:a16="http://schemas.microsoft.com/office/drawing/2014/main" id="{00000000-0008-0000-0C00-00000F000000}"/>
            </a:ext>
          </a:extLst>
        </xdr:cNvPr>
        <xdr:cNvGrpSpPr/>
      </xdr:nvGrpSpPr>
      <xdr:grpSpPr>
        <a:xfrm>
          <a:off x="9167026" y="140804"/>
          <a:ext cx="1385884" cy="397565"/>
          <a:chOff x="9086314" y="115957"/>
          <a:chExt cx="1304354" cy="397565"/>
        </a:xfrm>
      </xdr:grpSpPr>
      <xdr:sp macro="[0]!PreReinit" textlink="">
        <xdr:nvSpPr>
          <xdr:cNvPr id="36" name="ZoneTexte 35">
            <a:extLst>
              <a:ext uri="{FF2B5EF4-FFF2-40B4-BE49-F238E27FC236}">
                <a16:creationId xmlns:a16="http://schemas.microsoft.com/office/drawing/2014/main" id="{00000000-0008-0000-0C00-000024000000}"/>
              </a:ext>
            </a:extLst>
          </xdr:cNvPr>
          <xdr:cNvSpPr txBox="1"/>
        </xdr:nvSpPr>
        <xdr:spPr>
          <a:xfrm>
            <a:off x="9086314" y="115957"/>
            <a:ext cx="1304354" cy="397565"/>
          </a:xfrm>
          <a:prstGeom prst="roundRect">
            <a:avLst>
              <a:gd name="adj" fmla="val 50000"/>
            </a:avLst>
          </a:prstGeom>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algn="r"/>
            <a:r>
              <a:rPr lang="fr-FR" sz="1100" b="1"/>
              <a:t>Réinitialiser</a:t>
            </a:r>
          </a:p>
        </xdr:txBody>
      </xdr:sp>
      <xdr:pic macro="[0]!PreReinit">
        <xdr:nvPicPr>
          <xdr:cNvPr id="12" name="Graphique 11" descr="Actualiser avec un remplissage uni">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9215122" y="183710"/>
            <a:ext cx="271385" cy="271632"/>
          </a:xfrm>
          <a:prstGeom prst="rect">
            <a:avLst/>
          </a:prstGeom>
          <a:effectLst>
            <a:outerShdw blurRad="50800" dist="38100" dir="2700000" algn="tl" rotWithShape="0">
              <a:schemeClr val="bg1">
                <a:alpha val="40000"/>
              </a:schemeClr>
            </a:outerShdw>
          </a:effectLst>
        </xdr:spPr>
      </xdr:pic>
    </xdr:grpSp>
    <xdr:clientData/>
  </xdr:twoCellAnchor>
  <xdr:twoCellAnchor editAs="absolute">
    <xdr:from>
      <xdr:col>3</xdr:col>
      <xdr:colOff>17809</xdr:colOff>
      <xdr:row>0</xdr:row>
      <xdr:rowOff>124653</xdr:rowOff>
    </xdr:from>
    <xdr:to>
      <xdr:col>18</xdr:col>
      <xdr:colOff>353323</xdr:colOff>
      <xdr:row>0</xdr:row>
      <xdr:rowOff>665607</xdr:rowOff>
    </xdr:to>
    <xdr:grpSp>
      <xdr:nvGrpSpPr>
        <xdr:cNvPr id="37" name="Groupe 36">
          <a:extLst>
            <a:ext uri="{FF2B5EF4-FFF2-40B4-BE49-F238E27FC236}">
              <a16:creationId xmlns:a16="http://schemas.microsoft.com/office/drawing/2014/main" id="{00000000-0008-0000-0C00-000025000000}"/>
            </a:ext>
          </a:extLst>
        </xdr:cNvPr>
        <xdr:cNvGrpSpPr/>
      </xdr:nvGrpSpPr>
      <xdr:grpSpPr>
        <a:xfrm>
          <a:off x="132109" y="124653"/>
          <a:ext cx="6553434" cy="540954"/>
          <a:chOff x="9518705" y="4541126"/>
          <a:chExt cx="6437312" cy="542925"/>
        </a:xfrm>
      </xdr:grpSpPr>
      <xdr:pic>
        <xdr:nvPicPr>
          <xdr:cNvPr id="38" name="Graphique 37" descr="Serveur avec un remplissage uni">
            <a:hlinkClick xmlns:r="http://schemas.openxmlformats.org/officeDocument/2006/relationships" r:id="rId15" tooltip="Actifs Support"/>
            <a:extLst>
              <a:ext uri="{FF2B5EF4-FFF2-40B4-BE49-F238E27FC236}">
                <a16:creationId xmlns:a16="http://schemas.microsoft.com/office/drawing/2014/main" id="{00000000-0008-0000-0C00-000026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10703813" y="4588590"/>
            <a:ext cx="446400" cy="447996"/>
          </a:xfrm>
          <a:prstGeom prst="rect">
            <a:avLst/>
          </a:prstGeom>
        </xdr:spPr>
      </xdr:pic>
      <xdr:pic>
        <xdr:nvPicPr>
          <xdr:cNvPr id="39" name="Graphique 38" descr="Recherche de dossiers avec un remplissage uni">
            <a:hlinkClick xmlns:r="http://schemas.openxmlformats.org/officeDocument/2006/relationships" r:id="rId18" tooltip="Actifs Primaires"/>
            <a:extLst>
              <a:ext uri="{FF2B5EF4-FFF2-40B4-BE49-F238E27FC236}">
                <a16:creationId xmlns:a16="http://schemas.microsoft.com/office/drawing/2014/main" id="{00000000-0008-0000-0C00-000027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0149359" y="4589388"/>
            <a:ext cx="446400" cy="446400"/>
          </a:xfrm>
          <a:prstGeom prst="rect">
            <a:avLst/>
          </a:prstGeom>
        </xdr:spPr>
      </xdr:pic>
      <xdr:pic>
        <xdr:nvPicPr>
          <xdr:cNvPr id="40" name="Graphique 39" descr="Accident avec un remplissage uni">
            <a:hlinkClick xmlns:r="http://schemas.openxmlformats.org/officeDocument/2006/relationships" r:id="rId21" tooltip="Dommages"/>
            <a:extLst>
              <a:ext uri="{FF2B5EF4-FFF2-40B4-BE49-F238E27FC236}">
                <a16:creationId xmlns:a16="http://schemas.microsoft.com/office/drawing/2014/main" id="{00000000-0008-0000-0C00-000028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rcRect/>
          <a:stretch/>
        </xdr:blipFill>
        <xdr:spPr>
          <a:xfrm>
            <a:off x="11258267" y="4589388"/>
            <a:ext cx="446400" cy="446400"/>
          </a:xfrm>
          <a:prstGeom prst="rect">
            <a:avLst/>
          </a:prstGeom>
        </xdr:spPr>
      </xdr:pic>
      <xdr:pic>
        <xdr:nvPicPr>
          <xdr:cNvPr id="41" name="Graphique 40" descr="Dé avec un remplissage uni">
            <a:hlinkClick xmlns:r="http://schemas.openxmlformats.org/officeDocument/2006/relationships" r:id="rId24" tooltip="Evénements déclencheurs"/>
            <a:extLst>
              <a:ext uri="{FF2B5EF4-FFF2-40B4-BE49-F238E27FC236}">
                <a16:creationId xmlns:a16="http://schemas.microsoft.com/office/drawing/2014/main" id="{00000000-0008-0000-0C00-000029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a:off x="11812722" y="4589388"/>
            <a:ext cx="446400" cy="446400"/>
          </a:xfrm>
          <a:prstGeom prst="rect">
            <a:avLst/>
          </a:prstGeom>
        </xdr:spPr>
      </xdr:pic>
      <xdr:pic>
        <xdr:nvPicPr>
          <xdr:cNvPr id="42" name="Graphique 41" descr="Logement avec un remplissage uni">
            <a:hlinkClick xmlns:r="http://schemas.openxmlformats.org/officeDocument/2006/relationships" r:id="rId27" tooltip="Accueil"/>
            <a:extLst>
              <a:ext uri="{FF2B5EF4-FFF2-40B4-BE49-F238E27FC236}">
                <a16:creationId xmlns:a16="http://schemas.microsoft.com/office/drawing/2014/main" id="{00000000-0008-0000-0C00-00002A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9518705" y="4589388"/>
            <a:ext cx="446400" cy="446400"/>
          </a:xfrm>
          <a:prstGeom prst="rect">
            <a:avLst/>
          </a:prstGeom>
          <a:effectLst>
            <a:outerShdw blurRad="50800" dist="38100" dir="2700000" algn="tl" rotWithShape="0">
              <a:prstClr val="black">
                <a:alpha val="40000"/>
              </a:prstClr>
            </a:outerShdw>
          </a:effectLst>
        </xdr:spPr>
      </xdr:pic>
      <xdr:grpSp>
        <xdr:nvGrpSpPr>
          <xdr:cNvPr id="51" name="Groupe 50">
            <a:hlinkClick xmlns:r="http://schemas.openxmlformats.org/officeDocument/2006/relationships" r:id="rId4" tooltip="Analyse de Risque"/>
            <a:extLst>
              <a:ext uri="{FF2B5EF4-FFF2-40B4-BE49-F238E27FC236}">
                <a16:creationId xmlns:a16="http://schemas.microsoft.com/office/drawing/2014/main" id="{00000000-0008-0000-0C00-000033000000}"/>
              </a:ext>
            </a:extLst>
          </xdr:cNvPr>
          <xdr:cNvGrpSpPr/>
        </xdr:nvGrpSpPr>
        <xdr:grpSpPr>
          <a:xfrm>
            <a:off x="12661938" y="4607536"/>
            <a:ext cx="428493" cy="410104"/>
            <a:chOff x="5111260" y="103549"/>
            <a:chExt cx="428280" cy="410104"/>
          </a:xfrm>
          <a:effectLst>
            <a:outerShdw blurRad="50800" dist="38100" dir="2700000" algn="tl" rotWithShape="0">
              <a:prstClr val="black">
                <a:alpha val="40000"/>
              </a:prstClr>
            </a:outerShdw>
          </a:effectLst>
        </xdr:grpSpPr>
        <xdr:pic>
          <xdr:nvPicPr>
            <xdr:cNvPr id="59" name="Graphique 58" descr="Document avec un remplissage uni">
              <a:extLst>
                <a:ext uri="{FF2B5EF4-FFF2-40B4-BE49-F238E27FC236}">
                  <a16:creationId xmlns:a16="http://schemas.microsoft.com/office/drawing/2014/main" id="{00000000-0008-0000-0C00-00003B000000}"/>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5154942" y="103549"/>
              <a:ext cx="384598" cy="410104"/>
            </a:xfrm>
            <a:prstGeom prst="rect">
              <a:avLst/>
            </a:prstGeom>
          </xdr:spPr>
        </xdr:pic>
        <xdr:pic>
          <xdr:nvPicPr>
            <xdr:cNvPr id="61" name="Graphique 60" descr="Coche avec un remplissage uni">
              <a:extLst>
                <a:ext uri="{FF2B5EF4-FFF2-40B4-BE49-F238E27FC236}">
                  <a16:creationId xmlns:a16="http://schemas.microsoft.com/office/drawing/2014/main" id="{00000000-0008-0000-0C00-00003D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5125784" y="288962"/>
              <a:ext cx="180273" cy="197722"/>
            </a:xfrm>
            <a:prstGeom prst="rect">
              <a:avLst/>
            </a:prstGeom>
          </xdr:spPr>
        </xdr:pic>
        <xdr:pic>
          <xdr:nvPicPr>
            <xdr:cNvPr id="62" name="Graphique 61" descr="Badge à suivre avec un remplissage uni">
              <a:extLst>
                <a:ext uri="{FF2B5EF4-FFF2-40B4-BE49-F238E27FC236}">
                  <a16:creationId xmlns:a16="http://schemas.microsoft.com/office/drawing/2014/main" id="{00000000-0008-0000-0C00-00003E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5111260" y="145828"/>
              <a:ext cx="180273" cy="194849"/>
            </a:xfrm>
            <a:prstGeom prst="rect">
              <a:avLst/>
            </a:prstGeom>
          </xdr:spPr>
        </xdr:pic>
        <xdr:pic>
          <xdr:nvPicPr>
            <xdr:cNvPr id="63" name="Graphique 62" descr="Crayon avec un remplissage uni">
              <a:extLst>
                <a:ext uri="{FF2B5EF4-FFF2-40B4-BE49-F238E27FC236}">
                  <a16:creationId xmlns:a16="http://schemas.microsoft.com/office/drawing/2014/main" id="{00000000-0008-0000-0C00-00003F000000}"/>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5284434" y="277381"/>
              <a:ext cx="231999" cy="230257"/>
            </a:xfrm>
            <a:prstGeom prst="rect">
              <a:avLst/>
            </a:prstGeom>
          </xdr:spPr>
        </xdr:pic>
      </xdr:grpSp>
      <xdr:pic>
        <xdr:nvPicPr>
          <xdr:cNvPr id="52" name="Graphique 51" descr="Présentation avec liste de vérification avec un remplissage uni">
            <a:hlinkClick xmlns:r="http://schemas.openxmlformats.org/officeDocument/2006/relationships" r:id="rId38" tooltip="Fiches de Risque"/>
            <a:extLst>
              <a:ext uri="{FF2B5EF4-FFF2-40B4-BE49-F238E27FC236}">
                <a16:creationId xmlns:a16="http://schemas.microsoft.com/office/drawing/2014/main" id="{00000000-0008-0000-0C00-000034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 uri="{96DAC541-7B7A-43D3-8B79-37D633B846F1}">
                <asvg:svgBlip xmlns:asvg="http://schemas.microsoft.com/office/drawing/2016/SVG/main" r:embed="rId40"/>
              </a:ext>
            </a:extLst>
          </a:blip>
          <a:srcRect/>
          <a:stretch/>
        </xdr:blipFill>
        <xdr:spPr>
          <a:xfrm>
            <a:off x="13234017" y="4589314"/>
            <a:ext cx="446771" cy="446549"/>
          </a:xfrm>
          <a:prstGeom prst="rect">
            <a:avLst/>
          </a:prstGeom>
          <a:effectLst>
            <a:outerShdw blurRad="50800" dist="38100" dir="2700000" algn="tl" rotWithShape="0">
              <a:prstClr val="black">
                <a:alpha val="40000"/>
              </a:prstClr>
            </a:outerShdw>
          </a:effectLst>
        </xdr:spPr>
      </xdr:pic>
      <xdr:pic>
        <xdr:nvPicPr>
          <xdr:cNvPr id="53" name="Graphique 52" descr="Présentation avec camembert avec un remplissage uni">
            <a:hlinkClick xmlns:r="http://schemas.openxmlformats.org/officeDocument/2006/relationships" r:id="rId41" tooltip="Panorama"/>
            <a:extLst>
              <a:ext uri="{FF2B5EF4-FFF2-40B4-BE49-F238E27FC236}">
                <a16:creationId xmlns:a16="http://schemas.microsoft.com/office/drawing/2014/main" id="{00000000-0008-0000-0C00-000035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 uri="{96DAC541-7B7A-43D3-8B79-37D633B846F1}">
                <asvg:svgBlip xmlns:asvg="http://schemas.microsoft.com/office/drawing/2016/SVG/main" r:embed="rId43"/>
              </a:ext>
            </a:extLst>
          </a:blip>
          <a:srcRect/>
          <a:stretch/>
        </xdr:blipFill>
        <xdr:spPr>
          <a:xfrm>
            <a:off x="13824374" y="4589314"/>
            <a:ext cx="446771" cy="446549"/>
          </a:xfrm>
          <a:prstGeom prst="rect">
            <a:avLst/>
          </a:prstGeom>
          <a:effectLst>
            <a:outerShdw blurRad="50800" dist="38100" dir="2700000" algn="tl" rotWithShape="0">
              <a:prstClr val="black">
                <a:alpha val="40000"/>
              </a:prstClr>
            </a:outerShdw>
          </a:effectLst>
        </xdr:spPr>
      </xdr:pic>
      <xdr:sp macro="" textlink="">
        <xdr:nvSpPr>
          <xdr:cNvPr id="54" name="Rectangle : coins arrondis 53">
            <a:extLst>
              <a:ext uri="{FF2B5EF4-FFF2-40B4-BE49-F238E27FC236}">
                <a16:creationId xmlns:a16="http://schemas.microsoft.com/office/drawing/2014/main" id="{00000000-0008-0000-0C00-000036000000}"/>
              </a:ext>
            </a:extLst>
          </xdr:cNvPr>
          <xdr:cNvSpPr/>
        </xdr:nvSpPr>
        <xdr:spPr bwMode="auto">
          <a:xfrm>
            <a:off x="10069820" y="4541126"/>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55" name="Rectangle : coins arrondis 54">
            <a:extLst>
              <a:ext uri="{FF2B5EF4-FFF2-40B4-BE49-F238E27FC236}">
                <a16:creationId xmlns:a16="http://schemas.microsoft.com/office/drawing/2014/main" id="{00000000-0008-0000-0C00-000037000000}"/>
              </a:ext>
            </a:extLst>
          </xdr:cNvPr>
          <xdr:cNvSpPr/>
        </xdr:nvSpPr>
        <xdr:spPr bwMode="auto">
          <a:xfrm>
            <a:off x="12508221" y="4541126"/>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56" name="ZoneTexte 55">
            <a:hlinkClick xmlns:r="http://schemas.openxmlformats.org/officeDocument/2006/relationships" r:id="rId44" tooltip="Gravité"/>
            <a:extLst>
              <a:ext uri="{FF2B5EF4-FFF2-40B4-BE49-F238E27FC236}">
                <a16:creationId xmlns:a16="http://schemas.microsoft.com/office/drawing/2014/main" id="{00000000-0008-0000-0C00-000038000000}"/>
              </a:ext>
            </a:extLst>
          </xdr:cNvPr>
          <xdr:cNvSpPr txBox="1"/>
        </xdr:nvSpPr>
        <xdr:spPr>
          <a:xfrm>
            <a:off x="14733067" y="4603679"/>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57" name="ZoneTexte 56">
            <a:hlinkClick xmlns:r="http://schemas.openxmlformats.org/officeDocument/2006/relationships" r:id="rId45" tooltip="Grilles de décision"/>
            <a:extLst>
              <a:ext uri="{FF2B5EF4-FFF2-40B4-BE49-F238E27FC236}">
                <a16:creationId xmlns:a16="http://schemas.microsoft.com/office/drawing/2014/main" id="{00000000-0008-0000-0C00-000039000000}"/>
              </a:ext>
            </a:extLst>
          </xdr:cNvPr>
          <xdr:cNvSpPr txBox="1"/>
        </xdr:nvSpPr>
        <xdr:spPr>
          <a:xfrm>
            <a:off x="15338068" y="4603788"/>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58" name="Rectangle : coins arrondis 57">
            <a:extLst>
              <a:ext uri="{FF2B5EF4-FFF2-40B4-BE49-F238E27FC236}">
                <a16:creationId xmlns:a16="http://schemas.microsoft.com/office/drawing/2014/main" id="{00000000-0008-0000-0C00-00003A000000}"/>
              </a:ext>
            </a:extLst>
          </xdr:cNvPr>
          <xdr:cNvSpPr/>
        </xdr:nvSpPr>
        <xdr:spPr bwMode="auto">
          <a:xfrm>
            <a:off x="14584014" y="4541126"/>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373380</xdr:colOff>
          <xdr:row>6</xdr:row>
          <xdr:rowOff>114300</xdr:rowOff>
        </xdr:from>
        <xdr:to>
          <xdr:col>14</xdr:col>
          <xdr:colOff>609600</xdr:colOff>
          <xdr:row>6</xdr:row>
          <xdr:rowOff>289560</xdr:rowOff>
        </xdr:to>
        <xdr:sp macro="" textlink="">
          <xdr:nvSpPr>
            <xdr:cNvPr id="425985" name="Check Box 1" hidden="1">
              <a:extLst>
                <a:ext uri="{63B3BB69-23CF-44E3-9099-C40C66FF867C}">
                  <a14:compatExt spid="_x0000_s425985"/>
                </a:ext>
                <a:ext uri="{FF2B5EF4-FFF2-40B4-BE49-F238E27FC236}">
                  <a16:creationId xmlns:a16="http://schemas.microsoft.com/office/drawing/2014/main" id="{00000000-0008-0000-0D00-00000180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365760</xdr:colOff>
          <xdr:row>7</xdr:row>
          <xdr:rowOff>60960</xdr:rowOff>
        </xdr:from>
        <xdr:to>
          <xdr:col>14</xdr:col>
          <xdr:colOff>609600</xdr:colOff>
          <xdr:row>7</xdr:row>
          <xdr:rowOff>373380</xdr:rowOff>
        </xdr:to>
        <xdr:sp macro="" textlink="">
          <xdr:nvSpPr>
            <xdr:cNvPr id="425986" name="Check Box 2" hidden="1">
              <a:extLst>
                <a:ext uri="{63B3BB69-23CF-44E3-9099-C40C66FF867C}">
                  <a14:compatExt spid="_x0000_s425986"/>
                </a:ext>
                <a:ext uri="{FF2B5EF4-FFF2-40B4-BE49-F238E27FC236}">
                  <a16:creationId xmlns:a16="http://schemas.microsoft.com/office/drawing/2014/main" id="{00000000-0008-0000-0D00-00000280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373380</xdr:colOff>
          <xdr:row>8</xdr:row>
          <xdr:rowOff>68580</xdr:rowOff>
        </xdr:from>
        <xdr:to>
          <xdr:col>14</xdr:col>
          <xdr:colOff>571500</xdr:colOff>
          <xdr:row>8</xdr:row>
          <xdr:rowOff>274320</xdr:rowOff>
        </xdr:to>
        <xdr:sp macro="" textlink="">
          <xdr:nvSpPr>
            <xdr:cNvPr id="425987" name="Check Box 3" hidden="1">
              <a:extLst>
                <a:ext uri="{63B3BB69-23CF-44E3-9099-C40C66FF867C}">
                  <a14:compatExt spid="_x0000_s425987"/>
                </a:ext>
                <a:ext uri="{FF2B5EF4-FFF2-40B4-BE49-F238E27FC236}">
                  <a16:creationId xmlns:a16="http://schemas.microsoft.com/office/drawing/2014/main" id="{00000000-0008-0000-0D00-00000380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373380</xdr:colOff>
          <xdr:row>9</xdr:row>
          <xdr:rowOff>99060</xdr:rowOff>
        </xdr:from>
        <xdr:to>
          <xdr:col>14</xdr:col>
          <xdr:colOff>632460</xdr:colOff>
          <xdr:row>9</xdr:row>
          <xdr:rowOff>327660</xdr:rowOff>
        </xdr:to>
        <xdr:sp macro="" textlink="">
          <xdr:nvSpPr>
            <xdr:cNvPr id="425988" name="Check Box 4" hidden="1">
              <a:extLst>
                <a:ext uri="{63B3BB69-23CF-44E3-9099-C40C66FF867C}">
                  <a14:compatExt spid="_x0000_s425988"/>
                </a:ext>
                <a:ext uri="{FF2B5EF4-FFF2-40B4-BE49-F238E27FC236}">
                  <a16:creationId xmlns:a16="http://schemas.microsoft.com/office/drawing/2014/main" id="{00000000-0008-0000-0D00-00000480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381000</xdr:colOff>
          <xdr:row>5</xdr:row>
          <xdr:rowOff>83820</xdr:rowOff>
        </xdr:from>
        <xdr:to>
          <xdr:col>14</xdr:col>
          <xdr:colOff>579120</xdr:colOff>
          <xdr:row>5</xdr:row>
          <xdr:rowOff>297180</xdr:rowOff>
        </xdr:to>
        <xdr:sp macro="" textlink="">
          <xdr:nvSpPr>
            <xdr:cNvPr id="425989" name="Check Box 5" hidden="1">
              <a:extLst>
                <a:ext uri="{63B3BB69-23CF-44E3-9099-C40C66FF867C}">
                  <a14:compatExt spid="_x0000_s425989"/>
                </a:ext>
                <a:ext uri="{FF2B5EF4-FFF2-40B4-BE49-F238E27FC236}">
                  <a16:creationId xmlns:a16="http://schemas.microsoft.com/office/drawing/2014/main" id="{00000000-0008-0000-0D00-00000580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381000</xdr:colOff>
          <xdr:row>4</xdr:row>
          <xdr:rowOff>106680</xdr:rowOff>
        </xdr:from>
        <xdr:to>
          <xdr:col>14</xdr:col>
          <xdr:colOff>563880</xdr:colOff>
          <xdr:row>4</xdr:row>
          <xdr:rowOff>297180</xdr:rowOff>
        </xdr:to>
        <xdr:sp macro="" textlink="">
          <xdr:nvSpPr>
            <xdr:cNvPr id="425990" name="Check Box 6" hidden="1">
              <a:extLst>
                <a:ext uri="{63B3BB69-23CF-44E3-9099-C40C66FF867C}">
                  <a14:compatExt spid="_x0000_s425990"/>
                </a:ext>
                <a:ext uri="{FF2B5EF4-FFF2-40B4-BE49-F238E27FC236}">
                  <a16:creationId xmlns:a16="http://schemas.microsoft.com/office/drawing/2014/main" id="{00000000-0008-0000-0D00-00000680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9</xdr:col>
      <xdr:colOff>238006</xdr:colOff>
      <xdr:row>3</xdr:row>
      <xdr:rowOff>5417</xdr:rowOff>
    </xdr:from>
    <xdr:to>
      <xdr:col>9</xdr:col>
      <xdr:colOff>685822</xdr:colOff>
      <xdr:row>3</xdr:row>
      <xdr:rowOff>458220</xdr:rowOff>
    </xdr:to>
    <xdr:pic>
      <xdr:nvPicPr>
        <xdr:cNvPr id="17" name="Graphique 16" descr="Informations avec un remplissage uni">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314956" y="976967"/>
          <a:ext cx="447816" cy="45280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373380</xdr:colOff>
          <xdr:row>10</xdr:row>
          <xdr:rowOff>99060</xdr:rowOff>
        </xdr:from>
        <xdr:to>
          <xdr:col>14</xdr:col>
          <xdr:colOff>632460</xdr:colOff>
          <xdr:row>10</xdr:row>
          <xdr:rowOff>327660</xdr:rowOff>
        </xdr:to>
        <xdr:sp macro="" textlink="">
          <xdr:nvSpPr>
            <xdr:cNvPr id="425992" name="Check Box 8" hidden="1">
              <a:extLst>
                <a:ext uri="{63B3BB69-23CF-44E3-9099-C40C66FF867C}">
                  <a14:compatExt spid="_x0000_s425992"/>
                </a:ext>
                <a:ext uri="{FF2B5EF4-FFF2-40B4-BE49-F238E27FC236}">
                  <a16:creationId xmlns:a16="http://schemas.microsoft.com/office/drawing/2014/main" id="{00000000-0008-0000-0D00-00000880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absolute">
    <xdr:from>
      <xdr:col>0</xdr:col>
      <xdr:colOff>99392</xdr:colOff>
      <xdr:row>0</xdr:row>
      <xdr:rowOff>99391</xdr:rowOff>
    </xdr:from>
    <xdr:to>
      <xdr:col>9</xdr:col>
      <xdr:colOff>333030</xdr:colOff>
      <xdr:row>0</xdr:row>
      <xdr:rowOff>639032</xdr:rowOff>
    </xdr:to>
    <xdr:grpSp>
      <xdr:nvGrpSpPr>
        <xdr:cNvPr id="20" name="Groupe 19">
          <a:extLst>
            <a:ext uri="{FF2B5EF4-FFF2-40B4-BE49-F238E27FC236}">
              <a16:creationId xmlns:a16="http://schemas.microsoft.com/office/drawing/2014/main" id="{00000000-0008-0000-0D00-000014000000}"/>
            </a:ext>
          </a:extLst>
        </xdr:cNvPr>
        <xdr:cNvGrpSpPr/>
      </xdr:nvGrpSpPr>
      <xdr:grpSpPr>
        <a:xfrm>
          <a:off x="99392" y="99391"/>
          <a:ext cx="6627812" cy="539641"/>
          <a:chOff x="9518705" y="5276850"/>
          <a:chExt cx="6437312" cy="542925"/>
        </a:xfrm>
      </xdr:grpSpPr>
      <xdr:pic>
        <xdr:nvPicPr>
          <xdr:cNvPr id="31" name="Graphique 30" descr="Serveur avec un remplissage uni">
            <a:hlinkClick xmlns:r="http://schemas.openxmlformats.org/officeDocument/2006/relationships" r:id="rId3" tooltip="Actifs Support"/>
            <a:extLst>
              <a:ext uri="{FF2B5EF4-FFF2-40B4-BE49-F238E27FC236}">
                <a16:creationId xmlns:a16="http://schemas.microsoft.com/office/drawing/2014/main" id="{00000000-0008-0000-0D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10703813" y="5324314"/>
            <a:ext cx="446400" cy="447996"/>
          </a:xfrm>
          <a:prstGeom prst="rect">
            <a:avLst/>
          </a:prstGeom>
        </xdr:spPr>
      </xdr:pic>
      <xdr:pic>
        <xdr:nvPicPr>
          <xdr:cNvPr id="32" name="Graphique 31" descr="Recherche de dossiers avec un remplissage uni">
            <a:hlinkClick xmlns:r="http://schemas.openxmlformats.org/officeDocument/2006/relationships" r:id="rId6" tooltip="Actifs Primaires"/>
            <a:extLst>
              <a:ext uri="{FF2B5EF4-FFF2-40B4-BE49-F238E27FC236}">
                <a16:creationId xmlns:a16="http://schemas.microsoft.com/office/drawing/2014/main" id="{00000000-0008-0000-0D00-00002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0149359" y="5325112"/>
            <a:ext cx="446400" cy="446400"/>
          </a:xfrm>
          <a:prstGeom prst="rect">
            <a:avLst/>
          </a:prstGeom>
        </xdr:spPr>
      </xdr:pic>
      <xdr:pic>
        <xdr:nvPicPr>
          <xdr:cNvPr id="33" name="Graphique 32" descr="Accident avec un remplissage uni">
            <a:hlinkClick xmlns:r="http://schemas.openxmlformats.org/officeDocument/2006/relationships" r:id="rId9" tooltip="Dommages"/>
            <a:extLst>
              <a:ext uri="{FF2B5EF4-FFF2-40B4-BE49-F238E27FC236}">
                <a16:creationId xmlns:a16="http://schemas.microsoft.com/office/drawing/2014/main" id="{00000000-0008-0000-0D00-00002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1258267" y="5325112"/>
            <a:ext cx="446400" cy="446400"/>
          </a:xfrm>
          <a:prstGeom prst="rect">
            <a:avLst/>
          </a:prstGeom>
        </xdr:spPr>
      </xdr:pic>
      <xdr:pic>
        <xdr:nvPicPr>
          <xdr:cNvPr id="34" name="Graphique 33" descr="Dé avec un remplissage uni">
            <a:hlinkClick xmlns:r="http://schemas.openxmlformats.org/officeDocument/2006/relationships" r:id="rId12" tooltip="Evénements déclencheurs"/>
            <a:extLst>
              <a:ext uri="{FF2B5EF4-FFF2-40B4-BE49-F238E27FC236}">
                <a16:creationId xmlns:a16="http://schemas.microsoft.com/office/drawing/2014/main" id="{00000000-0008-0000-0D00-000022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1812722" y="5325112"/>
            <a:ext cx="446400" cy="446400"/>
          </a:xfrm>
          <a:prstGeom prst="rect">
            <a:avLst/>
          </a:prstGeom>
        </xdr:spPr>
      </xdr:pic>
      <xdr:pic>
        <xdr:nvPicPr>
          <xdr:cNvPr id="35" name="Graphique 34" descr="Logement avec un remplissage uni">
            <a:hlinkClick xmlns:r="http://schemas.openxmlformats.org/officeDocument/2006/relationships" r:id="rId15" tooltip="Accueil"/>
            <a:extLst>
              <a:ext uri="{FF2B5EF4-FFF2-40B4-BE49-F238E27FC236}">
                <a16:creationId xmlns:a16="http://schemas.microsoft.com/office/drawing/2014/main" id="{00000000-0008-0000-0D00-000023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9518705" y="5325112"/>
            <a:ext cx="446400" cy="446400"/>
          </a:xfrm>
          <a:prstGeom prst="rect">
            <a:avLst/>
          </a:prstGeom>
          <a:effectLst>
            <a:outerShdw blurRad="50800" dist="38100" dir="2700000" algn="tl" rotWithShape="0">
              <a:prstClr val="black">
                <a:alpha val="40000"/>
              </a:prstClr>
            </a:outerShdw>
          </a:effectLst>
        </xdr:spPr>
      </xdr:pic>
      <xdr:grpSp>
        <xdr:nvGrpSpPr>
          <xdr:cNvPr id="36" name="Groupe 35">
            <a:hlinkClick xmlns:r="http://schemas.openxmlformats.org/officeDocument/2006/relationships" r:id="rId18" tooltip="Analyse de Risque"/>
            <a:extLst>
              <a:ext uri="{FF2B5EF4-FFF2-40B4-BE49-F238E27FC236}">
                <a16:creationId xmlns:a16="http://schemas.microsoft.com/office/drawing/2014/main" id="{00000000-0008-0000-0D00-000024000000}"/>
              </a:ext>
            </a:extLst>
          </xdr:cNvPr>
          <xdr:cNvGrpSpPr/>
        </xdr:nvGrpSpPr>
        <xdr:grpSpPr>
          <a:xfrm>
            <a:off x="12661938" y="5343260"/>
            <a:ext cx="428493" cy="410104"/>
            <a:chOff x="5111260" y="103549"/>
            <a:chExt cx="428280" cy="410104"/>
          </a:xfrm>
          <a:effectLst>
            <a:outerShdw blurRad="50800" dist="38100" dir="2700000" algn="tl" rotWithShape="0">
              <a:prstClr val="black">
                <a:alpha val="40000"/>
              </a:prstClr>
            </a:outerShdw>
          </a:effectLst>
        </xdr:grpSpPr>
        <xdr:pic>
          <xdr:nvPicPr>
            <xdr:cNvPr id="44" name="Graphique 43" descr="Document avec un remplissage uni">
              <a:extLst>
                <a:ext uri="{FF2B5EF4-FFF2-40B4-BE49-F238E27FC236}">
                  <a16:creationId xmlns:a16="http://schemas.microsoft.com/office/drawing/2014/main" id="{00000000-0008-0000-0D00-00002C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154942" y="103549"/>
              <a:ext cx="384598" cy="410104"/>
            </a:xfrm>
            <a:prstGeom prst="rect">
              <a:avLst/>
            </a:prstGeom>
          </xdr:spPr>
        </xdr:pic>
        <xdr:pic>
          <xdr:nvPicPr>
            <xdr:cNvPr id="45" name="Graphique 44" descr="Coche avec un remplissage uni">
              <a:extLst>
                <a:ext uri="{FF2B5EF4-FFF2-40B4-BE49-F238E27FC236}">
                  <a16:creationId xmlns:a16="http://schemas.microsoft.com/office/drawing/2014/main" id="{00000000-0008-0000-0D00-00002D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125784" y="288962"/>
              <a:ext cx="180273" cy="197722"/>
            </a:xfrm>
            <a:prstGeom prst="rect">
              <a:avLst/>
            </a:prstGeom>
          </xdr:spPr>
        </xdr:pic>
        <xdr:pic>
          <xdr:nvPicPr>
            <xdr:cNvPr id="46" name="Graphique 45" descr="Badge à suivre avec un remplissage uni">
              <a:extLst>
                <a:ext uri="{FF2B5EF4-FFF2-40B4-BE49-F238E27FC236}">
                  <a16:creationId xmlns:a16="http://schemas.microsoft.com/office/drawing/2014/main" id="{00000000-0008-0000-0D00-00002E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111260" y="145828"/>
              <a:ext cx="180273" cy="194849"/>
            </a:xfrm>
            <a:prstGeom prst="rect">
              <a:avLst/>
            </a:prstGeom>
          </xdr:spPr>
        </xdr:pic>
        <xdr:pic>
          <xdr:nvPicPr>
            <xdr:cNvPr id="47" name="Graphique 46" descr="Crayon avec un remplissage uni">
              <a:extLst>
                <a:ext uri="{FF2B5EF4-FFF2-40B4-BE49-F238E27FC236}">
                  <a16:creationId xmlns:a16="http://schemas.microsoft.com/office/drawing/2014/main" id="{00000000-0008-0000-0D00-00002F000000}"/>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284434" y="277381"/>
              <a:ext cx="231999" cy="230257"/>
            </a:xfrm>
            <a:prstGeom prst="rect">
              <a:avLst/>
            </a:prstGeom>
          </xdr:spPr>
        </xdr:pic>
      </xdr:grpSp>
      <xdr:pic>
        <xdr:nvPicPr>
          <xdr:cNvPr id="37" name="Graphique 36" descr="Présentation avec liste de vérification avec un remplissage uni">
            <a:hlinkClick xmlns:r="http://schemas.openxmlformats.org/officeDocument/2006/relationships" r:id="rId27" tooltip="Fiches de Risque"/>
            <a:extLst>
              <a:ext uri="{FF2B5EF4-FFF2-40B4-BE49-F238E27FC236}">
                <a16:creationId xmlns:a16="http://schemas.microsoft.com/office/drawing/2014/main" id="{00000000-0008-0000-0D00-000025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rcRect/>
          <a:stretch/>
        </xdr:blipFill>
        <xdr:spPr>
          <a:xfrm>
            <a:off x="13234017" y="5325038"/>
            <a:ext cx="446771" cy="446549"/>
          </a:xfrm>
          <a:prstGeom prst="rect">
            <a:avLst/>
          </a:prstGeom>
          <a:effectLst>
            <a:outerShdw blurRad="50800" dist="38100" dir="2700000" algn="tl" rotWithShape="0">
              <a:prstClr val="black">
                <a:alpha val="40000"/>
              </a:prstClr>
            </a:outerShdw>
          </a:effectLst>
        </xdr:spPr>
      </xdr:pic>
      <xdr:pic>
        <xdr:nvPicPr>
          <xdr:cNvPr id="38" name="Graphique 37" descr="Présentation avec camembert avec un remplissage uni">
            <a:hlinkClick xmlns:r="http://schemas.openxmlformats.org/officeDocument/2006/relationships" r:id="rId30" tooltip="Panorama"/>
            <a:extLst>
              <a:ext uri="{FF2B5EF4-FFF2-40B4-BE49-F238E27FC236}">
                <a16:creationId xmlns:a16="http://schemas.microsoft.com/office/drawing/2014/main" id="{00000000-0008-0000-0D00-000026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13824374" y="5325038"/>
            <a:ext cx="446771" cy="446549"/>
          </a:xfrm>
          <a:prstGeom prst="rect">
            <a:avLst/>
          </a:prstGeom>
          <a:effectLst>
            <a:outerShdw blurRad="50800" dist="38100" dir="2700000" algn="tl" rotWithShape="0">
              <a:prstClr val="black">
                <a:alpha val="40000"/>
              </a:prstClr>
            </a:outerShdw>
          </a:effectLst>
        </xdr:spPr>
      </xdr:pic>
      <xdr:sp macro="" textlink="">
        <xdr:nvSpPr>
          <xdr:cNvPr id="39" name="Rectangle : coins arrondis 38">
            <a:extLst>
              <a:ext uri="{FF2B5EF4-FFF2-40B4-BE49-F238E27FC236}">
                <a16:creationId xmlns:a16="http://schemas.microsoft.com/office/drawing/2014/main" id="{00000000-0008-0000-0D00-000027000000}"/>
              </a:ext>
            </a:extLst>
          </xdr:cNvPr>
          <xdr:cNvSpPr/>
        </xdr:nvSpPr>
        <xdr:spPr bwMode="auto">
          <a:xfrm>
            <a:off x="10069820" y="5276850"/>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40" name="Rectangle : coins arrondis 39">
            <a:extLst>
              <a:ext uri="{FF2B5EF4-FFF2-40B4-BE49-F238E27FC236}">
                <a16:creationId xmlns:a16="http://schemas.microsoft.com/office/drawing/2014/main" id="{00000000-0008-0000-0D00-000028000000}"/>
              </a:ext>
            </a:extLst>
          </xdr:cNvPr>
          <xdr:cNvSpPr/>
        </xdr:nvSpPr>
        <xdr:spPr bwMode="auto">
          <a:xfrm>
            <a:off x="12508221" y="5276850"/>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41" name="ZoneTexte 40">
            <a:hlinkClick xmlns:r="http://schemas.openxmlformats.org/officeDocument/2006/relationships" r:id="rId33" tooltip="Gravité"/>
            <a:extLst>
              <a:ext uri="{FF2B5EF4-FFF2-40B4-BE49-F238E27FC236}">
                <a16:creationId xmlns:a16="http://schemas.microsoft.com/office/drawing/2014/main" id="{00000000-0008-0000-0D00-000029000000}"/>
              </a:ext>
            </a:extLst>
          </xdr:cNvPr>
          <xdr:cNvSpPr txBox="1"/>
        </xdr:nvSpPr>
        <xdr:spPr>
          <a:xfrm>
            <a:off x="14733067" y="5339403"/>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42" name="ZoneTexte 41">
            <a:hlinkClick xmlns:r="http://schemas.openxmlformats.org/officeDocument/2006/relationships" r:id="rId34" tooltip="Grilles de décision"/>
            <a:extLst>
              <a:ext uri="{FF2B5EF4-FFF2-40B4-BE49-F238E27FC236}">
                <a16:creationId xmlns:a16="http://schemas.microsoft.com/office/drawing/2014/main" id="{00000000-0008-0000-0D00-00002A000000}"/>
              </a:ext>
            </a:extLst>
          </xdr:cNvPr>
          <xdr:cNvSpPr txBox="1"/>
        </xdr:nvSpPr>
        <xdr:spPr>
          <a:xfrm>
            <a:off x="15338068" y="5339512"/>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43" name="Rectangle : coins arrondis 42">
            <a:extLst>
              <a:ext uri="{FF2B5EF4-FFF2-40B4-BE49-F238E27FC236}">
                <a16:creationId xmlns:a16="http://schemas.microsoft.com/office/drawing/2014/main" id="{00000000-0008-0000-0D00-00002B000000}"/>
              </a:ext>
            </a:extLst>
          </xdr:cNvPr>
          <xdr:cNvSpPr/>
        </xdr:nvSpPr>
        <xdr:spPr bwMode="auto">
          <a:xfrm>
            <a:off x="14584014" y="5276850"/>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98534</xdr:colOff>
      <xdr:row>0</xdr:row>
      <xdr:rowOff>105103</xdr:rowOff>
    </xdr:from>
    <xdr:to>
      <xdr:col>11</xdr:col>
      <xdr:colOff>742018</xdr:colOff>
      <xdr:row>0</xdr:row>
      <xdr:rowOff>648028</xdr:rowOff>
    </xdr:to>
    <xdr:grpSp>
      <xdr:nvGrpSpPr>
        <xdr:cNvPr id="6" name="Groupe 5">
          <a:extLst>
            <a:ext uri="{FF2B5EF4-FFF2-40B4-BE49-F238E27FC236}">
              <a16:creationId xmlns:a16="http://schemas.microsoft.com/office/drawing/2014/main" id="{00000000-0008-0000-1300-000006000000}"/>
            </a:ext>
          </a:extLst>
        </xdr:cNvPr>
        <xdr:cNvGrpSpPr/>
      </xdr:nvGrpSpPr>
      <xdr:grpSpPr>
        <a:xfrm>
          <a:off x="98534" y="105103"/>
          <a:ext cx="6594704" cy="542925"/>
          <a:chOff x="9518705" y="6045419"/>
          <a:chExt cx="6437312" cy="542925"/>
        </a:xfrm>
      </xdr:grpSpPr>
      <xdr:pic>
        <xdr:nvPicPr>
          <xdr:cNvPr id="7" name="Graphique 6" descr="Serveur avec un remplissage uni">
            <a:hlinkClick xmlns:r="http://schemas.openxmlformats.org/officeDocument/2006/relationships" r:id="rId1" tooltip="Actifs Support"/>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10703813" y="6092883"/>
            <a:ext cx="446400" cy="447996"/>
          </a:xfrm>
          <a:prstGeom prst="rect">
            <a:avLst/>
          </a:prstGeom>
        </xdr:spPr>
      </xdr:pic>
      <xdr:pic>
        <xdr:nvPicPr>
          <xdr:cNvPr id="8" name="Graphique 7" descr="Recherche de dossiers avec un remplissage uni">
            <a:hlinkClick xmlns:r="http://schemas.openxmlformats.org/officeDocument/2006/relationships" r:id="rId4" tooltip="Actifs Primaires"/>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0149359" y="6093681"/>
            <a:ext cx="446400" cy="446400"/>
          </a:xfrm>
          <a:prstGeom prst="rect">
            <a:avLst/>
          </a:prstGeom>
        </xdr:spPr>
      </xdr:pic>
      <xdr:pic>
        <xdr:nvPicPr>
          <xdr:cNvPr id="9" name="Graphique 8" descr="Accident avec un remplissage uni">
            <a:hlinkClick xmlns:r="http://schemas.openxmlformats.org/officeDocument/2006/relationships" r:id="rId7" tooltip="Dommages"/>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1258267" y="6093681"/>
            <a:ext cx="446400" cy="446400"/>
          </a:xfrm>
          <a:prstGeom prst="rect">
            <a:avLst/>
          </a:prstGeom>
        </xdr:spPr>
      </xdr:pic>
      <xdr:pic>
        <xdr:nvPicPr>
          <xdr:cNvPr id="10" name="Graphique 9" descr="Dé avec un remplissage uni">
            <a:hlinkClick xmlns:r="http://schemas.openxmlformats.org/officeDocument/2006/relationships" r:id="rId10" tooltip="Evénements déclencheurs"/>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1812722" y="6093681"/>
            <a:ext cx="446400" cy="446400"/>
          </a:xfrm>
          <a:prstGeom prst="rect">
            <a:avLst/>
          </a:prstGeom>
        </xdr:spPr>
      </xdr:pic>
      <xdr:pic>
        <xdr:nvPicPr>
          <xdr:cNvPr id="11" name="Graphique 10" descr="Logement avec un remplissage uni">
            <a:hlinkClick xmlns:r="http://schemas.openxmlformats.org/officeDocument/2006/relationships" r:id="rId13" tooltip="Accueil"/>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518705" y="6093681"/>
            <a:ext cx="446400" cy="446400"/>
          </a:xfrm>
          <a:prstGeom prst="rect">
            <a:avLst/>
          </a:prstGeom>
          <a:effectLst>
            <a:outerShdw blurRad="50800" dist="38100" dir="2700000" algn="tl" rotWithShape="0">
              <a:prstClr val="black">
                <a:alpha val="40000"/>
              </a:prstClr>
            </a:outerShdw>
          </a:effectLst>
        </xdr:spPr>
      </xdr:pic>
      <xdr:grpSp>
        <xdr:nvGrpSpPr>
          <xdr:cNvPr id="15" name="Groupe 14">
            <a:hlinkClick xmlns:r="http://schemas.openxmlformats.org/officeDocument/2006/relationships" r:id="rId16" tooltip="Analyse de Risque"/>
            <a:extLst>
              <a:ext uri="{FF2B5EF4-FFF2-40B4-BE49-F238E27FC236}">
                <a16:creationId xmlns:a16="http://schemas.microsoft.com/office/drawing/2014/main" id="{00000000-0008-0000-1300-00000F000000}"/>
              </a:ext>
            </a:extLst>
          </xdr:cNvPr>
          <xdr:cNvGrpSpPr/>
        </xdr:nvGrpSpPr>
        <xdr:grpSpPr>
          <a:xfrm>
            <a:off x="12661938" y="6111829"/>
            <a:ext cx="428493" cy="410104"/>
            <a:chOff x="5111260" y="103549"/>
            <a:chExt cx="428280" cy="410104"/>
          </a:xfrm>
          <a:effectLst>
            <a:outerShdw blurRad="50800" dist="38100" dir="2700000" algn="tl" rotWithShape="0">
              <a:prstClr val="black">
                <a:alpha val="40000"/>
              </a:prstClr>
            </a:outerShdw>
          </a:effectLst>
        </xdr:grpSpPr>
        <xdr:pic>
          <xdr:nvPicPr>
            <xdr:cNvPr id="23" name="Graphique 22" descr="Document avec un remplissage uni">
              <a:extLst>
                <a:ext uri="{FF2B5EF4-FFF2-40B4-BE49-F238E27FC236}">
                  <a16:creationId xmlns:a16="http://schemas.microsoft.com/office/drawing/2014/main" id="{00000000-0008-0000-1300-00001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154942" y="103549"/>
              <a:ext cx="384598" cy="410104"/>
            </a:xfrm>
            <a:prstGeom prst="rect">
              <a:avLst/>
            </a:prstGeom>
          </xdr:spPr>
        </xdr:pic>
        <xdr:pic>
          <xdr:nvPicPr>
            <xdr:cNvPr id="24" name="Graphique 23" descr="Coche avec un remplissage uni">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125784" y="288962"/>
              <a:ext cx="180273" cy="197722"/>
            </a:xfrm>
            <a:prstGeom prst="rect">
              <a:avLst/>
            </a:prstGeom>
          </xdr:spPr>
        </xdr:pic>
        <xdr:pic>
          <xdr:nvPicPr>
            <xdr:cNvPr id="25" name="Graphique 24" descr="Badge à suivre avec un remplissage uni">
              <a:extLst>
                <a:ext uri="{FF2B5EF4-FFF2-40B4-BE49-F238E27FC236}">
                  <a16:creationId xmlns:a16="http://schemas.microsoft.com/office/drawing/2014/main" id="{00000000-0008-0000-1300-000019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111260" y="145828"/>
              <a:ext cx="180273" cy="194849"/>
            </a:xfrm>
            <a:prstGeom prst="rect">
              <a:avLst/>
            </a:prstGeom>
          </xdr:spPr>
        </xdr:pic>
        <xdr:pic>
          <xdr:nvPicPr>
            <xdr:cNvPr id="26" name="Graphique 25" descr="Crayon avec un remplissage uni">
              <a:extLst>
                <a:ext uri="{FF2B5EF4-FFF2-40B4-BE49-F238E27FC236}">
                  <a16:creationId xmlns:a16="http://schemas.microsoft.com/office/drawing/2014/main" id="{00000000-0008-0000-1300-00001A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284434" y="277381"/>
              <a:ext cx="231999" cy="230257"/>
            </a:xfrm>
            <a:prstGeom prst="rect">
              <a:avLst/>
            </a:prstGeom>
          </xdr:spPr>
        </xdr:pic>
      </xdr:grpSp>
      <xdr:pic>
        <xdr:nvPicPr>
          <xdr:cNvPr id="16" name="Graphique 15" descr="Présentation avec liste de vérification avec un remplissage uni">
            <a:hlinkClick xmlns:r="http://schemas.openxmlformats.org/officeDocument/2006/relationships" r:id="rId25" tooltip="Fiches de Risque"/>
            <a:extLst>
              <a:ext uri="{FF2B5EF4-FFF2-40B4-BE49-F238E27FC236}">
                <a16:creationId xmlns:a16="http://schemas.microsoft.com/office/drawing/2014/main" id="{00000000-0008-0000-1300-000010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3234017" y="6093607"/>
            <a:ext cx="446771" cy="446549"/>
          </a:xfrm>
          <a:prstGeom prst="rect">
            <a:avLst/>
          </a:prstGeom>
          <a:effectLst>
            <a:outerShdw blurRad="50800" dist="38100" dir="2700000" algn="tl" rotWithShape="0">
              <a:prstClr val="black">
                <a:alpha val="40000"/>
              </a:prstClr>
            </a:outerShdw>
          </a:effectLst>
        </xdr:spPr>
      </xdr:pic>
      <xdr:pic>
        <xdr:nvPicPr>
          <xdr:cNvPr id="17" name="Graphique 16" descr="Présentation avec camembert avec un remplissage uni">
            <a:hlinkClick xmlns:r="http://schemas.openxmlformats.org/officeDocument/2006/relationships" r:id="rId28" tooltip="Panorama"/>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13824374" y="6093607"/>
            <a:ext cx="446771" cy="446549"/>
          </a:xfrm>
          <a:prstGeom prst="rect">
            <a:avLst/>
          </a:prstGeom>
          <a:effectLst>
            <a:outerShdw blurRad="50800" dist="38100" dir="2700000" algn="tl" rotWithShape="0">
              <a:prstClr val="black">
                <a:alpha val="40000"/>
              </a:prstClr>
            </a:outerShdw>
          </a:effectLst>
        </xdr:spPr>
      </xdr:pic>
      <xdr:sp macro="" textlink="">
        <xdr:nvSpPr>
          <xdr:cNvPr id="18" name="Rectangle : coins arrondis 17">
            <a:extLst>
              <a:ext uri="{FF2B5EF4-FFF2-40B4-BE49-F238E27FC236}">
                <a16:creationId xmlns:a16="http://schemas.microsoft.com/office/drawing/2014/main" id="{00000000-0008-0000-1300-000012000000}"/>
              </a:ext>
            </a:extLst>
          </xdr:cNvPr>
          <xdr:cNvSpPr/>
        </xdr:nvSpPr>
        <xdr:spPr bwMode="auto">
          <a:xfrm>
            <a:off x="10069820" y="6045419"/>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19" name="Rectangle : coins arrondis 18">
            <a:extLst>
              <a:ext uri="{FF2B5EF4-FFF2-40B4-BE49-F238E27FC236}">
                <a16:creationId xmlns:a16="http://schemas.microsoft.com/office/drawing/2014/main" id="{00000000-0008-0000-1300-000013000000}"/>
              </a:ext>
            </a:extLst>
          </xdr:cNvPr>
          <xdr:cNvSpPr/>
        </xdr:nvSpPr>
        <xdr:spPr bwMode="auto">
          <a:xfrm>
            <a:off x="12508221" y="6045419"/>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20" name="ZoneTexte 19">
            <a:hlinkClick xmlns:r="http://schemas.openxmlformats.org/officeDocument/2006/relationships" r:id="rId31" tooltip="Gravité"/>
            <a:extLst>
              <a:ext uri="{FF2B5EF4-FFF2-40B4-BE49-F238E27FC236}">
                <a16:creationId xmlns:a16="http://schemas.microsoft.com/office/drawing/2014/main" id="{00000000-0008-0000-1300-000014000000}"/>
              </a:ext>
            </a:extLst>
          </xdr:cNvPr>
          <xdr:cNvSpPr txBox="1"/>
        </xdr:nvSpPr>
        <xdr:spPr>
          <a:xfrm>
            <a:off x="14733067" y="6107972"/>
            <a:ext cx="460951" cy="417819"/>
          </a:xfrm>
          <a:prstGeom prst="rect">
            <a:avLst/>
          </a:prstGeom>
          <a:noFill/>
          <a:ln w="28575" cap="flat">
            <a:solidFill>
              <a:schemeClr val="bg2"/>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bg2"/>
                </a:solidFill>
                <a:latin typeface="+mn-lt"/>
                <a:ea typeface="+mn-ea"/>
                <a:cs typeface="+mn-cs"/>
              </a:rPr>
              <a:t>GR</a:t>
            </a:r>
          </a:p>
        </xdr:txBody>
      </xdr:sp>
      <xdr:sp macro="" textlink="">
        <xdr:nvSpPr>
          <xdr:cNvPr id="21" name="ZoneTexte 20">
            <a:hlinkClick xmlns:r="http://schemas.openxmlformats.org/officeDocument/2006/relationships" r:id="rId32" tooltip="Grilles de décision"/>
            <a:extLst>
              <a:ext uri="{FF2B5EF4-FFF2-40B4-BE49-F238E27FC236}">
                <a16:creationId xmlns:a16="http://schemas.microsoft.com/office/drawing/2014/main" id="{00000000-0008-0000-1300-000015000000}"/>
              </a:ext>
            </a:extLst>
          </xdr:cNvPr>
          <xdr:cNvSpPr txBox="1"/>
        </xdr:nvSpPr>
        <xdr:spPr>
          <a:xfrm>
            <a:off x="15338068" y="6108081"/>
            <a:ext cx="460800" cy="417600"/>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IP</a:t>
            </a:r>
          </a:p>
        </xdr:txBody>
      </xdr:sp>
      <xdr:sp macro="" textlink="">
        <xdr:nvSpPr>
          <xdr:cNvPr id="22" name="Rectangle : coins arrondis 21">
            <a:extLst>
              <a:ext uri="{FF2B5EF4-FFF2-40B4-BE49-F238E27FC236}">
                <a16:creationId xmlns:a16="http://schemas.microsoft.com/office/drawing/2014/main" id="{00000000-0008-0000-1300-000016000000}"/>
              </a:ext>
            </a:extLst>
          </xdr:cNvPr>
          <xdr:cNvSpPr/>
        </xdr:nvSpPr>
        <xdr:spPr bwMode="auto">
          <a:xfrm>
            <a:off x="14584014" y="6045419"/>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164647</xdr:colOff>
      <xdr:row>0</xdr:row>
      <xdr:rowOff>96611</xdr:rowOff>
    </xdr:from>
    <xdr:to>
      <xdr:col>29</xdr:col>
      <xdr:colOff>451530</xdr:colOff>
      <xdr:row>0</xdr:row>
      <xdr:rowOff>637565</xdr:rowOff>
    </xdr:to>
    <xdr:grpSp>
      <xdr:nvGrpSpPr>
        <xdr:cNvPr id="6" name="Groupe 5">
          <a:extLst>
            <a:ext uri="{FF2B5EF4-FFF2-40B4-BE49-F238E27FC236}">
              <a16:creationId xmlns:a16="http://schemas.microsoft.com/office/drawing/2014/main" id="{00000000-0008-0000-1400-000006000000}"/>
            </a:ext>
          </a:extLst>
        </xdr:cNvPr>
        <xdr:cNvGrpSpPr/>
      </xdr:nvGrpSpPr>
      <xdr:grpSpPr>
        <a:xfrm>
          <a:off x="164647" y="96611"/>
          <a:ext cx="6573383" cy="540954"/>
          <a:chOff x="9518705" y="6800850"/>
          <a:chExt cx="6437312" cy="542925"/>
        </a:xfrm>
      </xdr:grpSpPr>
      <xdr:pic>
        <xdr:nvPicPr>
          <xdr:cNvPr id="7" name="Graphique 6" descr="Serveur avec un remplissage uni">
            <a:hlinkClick xmlns:r="http://schemas.openxmlformats.org/officeDocument/2006/relationships" r:id="rId1" tooltip="Actifs Support"/>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xdr:blipFill>
        <xdr:spPr>
          <a:xfrm>
            <a:off x="10703813" y="6848314"/>
            <a:ext cx="446400" cy="447996"/>
          </a:xfrm>
          <a:prstGeom prst="rect">
            <a:avLst/>
          </a:prstGeom>
        </xdr:spPr>
      </xdr:pic>
      <xdr:pic>
        <xdr:nvPicPr>
          <xdr:cNvPr id="8" name="Graphique 7" descr="Recherche de dossiers avec un remplissage uni">
            <a:hlinkClick xmlns:r="http://schemas.openxmlformats.org/officeDocument/2006/relationships" r:id="rId4" tooltip="Actifs Primaires"/>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0149359" y="6849112"/>
            <a:ext cx="446400" cy="446400"/>
          </a:xfrm>
          <a:prstGeom prst="rect">
            <a:avLst/>
          </a:prstGeom>
        </xdr:spPr>
      </xdr:pic>
      <xdr:pic>
        <xdr:nvPicPr>
          <xdr:cNvPr id="9" name="Graphique 8" descr="Accident avec un remplissage uni">
            <a:hlinkClick xmlns:r="http://schemas.openxmlformats.org/officeDocument/2006/relationships" r:id="rId7" tooltip="Dommages"/>
            <a:extLst>
              <a:ext uri="{FF2B5EF4-FFF2-40B4-BE49-F238E27FC236}">
                <a16:creationId xmlns:a16="http://schemas.microsoft.com/office/drawing/2014/main" id="{00000000-0008-0000-1400-00000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1258267" y="6849112"/>
            <a:ext cx="446400" cy="446400"/>
          </a:xfrm>
          <a:prstGeom prst="rect">
            <a:avLst/>
          </a:prstGeom>
        </xdr:spPr>
      </xdr:pic>
      <xdr:pic>
        <xdr:nvPicPr>
          <xdr:cNvPr id="10" name="Graphique 9" descr="Dé avec un remplissage uni">
            <a:hlinkClick xmlns:r="http://schemas.openxmlformats.org/officeDocument/2006/relationships" r:id="rId10" tooltip="Evénements déclencheurs"/>
            <a:extLst>
              <a:ext uri="{FF2B5EF4-FFF2-40B4-BE49-F238E27FC236}">
                <a16:creationId xmlns:a16="http://schemas.microsoft.com/office/drawing/2014/main" id="{00000000-0008-0000-1400-00000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1812722" y="6849112"/>
            <a:ext cx="446400" cy="446400"/>
          </a:xfrm>
          <a:prstGeom prst="rect">
            <a:avLst/>
          </a:prstGeom>
        </xdr:spPr>
      </xdr:pic>
      <xdr:pic>
        <xdr:nvPicPr>
          <xdr:cNvPr id="11" name="Graphique 10" descr="Logement avec un remplissage uni">
            <a:hlinkClick xmlns:r="http://schemas.openxmlformats.org/officeDocument/2006/relationships" r:id="rId13" tooltip="Accueil"/>
            <a:extLst>
              <a:ext uri="{FF2B5EF4-FFF2-40B4-BE49-F238E27FC236}">
                <a16:creationId xmlns:a16="http://schemas.microsoft.com/office/drawing/2014/main" id="{00000000-0008-0000-1400-00000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518705" y="6849112"/>
            <a:ext cx="446400" cy="446400"/>
          </a:xfrm>
          <a:prstGeom prst="rect">
            <a:avLst/>
          </a:prstGeom>
          <a:effectLst>
            <a:outerShdw blurRad="50800" dist="38100" dir="2700000" algn="tl" rotWithShape="0">
              <a:prstClr val="black">
                <a:alpha val="40000"/>
              </a:prstClr>
            </a:outerShdw>
          </a:effectLst>
        </xdr:spPr>
      </xdr:pic>
      <xdr:grpSp>
        <xdr:nvGrpSpPr>
          <xdr:cNvPr id="12" name="Groupe 11">
            <a:hlinkClick xmlns:r="http://schemas.openxmlformats.org/officeDocument/2006/relationships" r:id="rId16" tooltip="Analyse de Risque"/>
            <a:extLst>
              <a:ext uri="{FF2B5EF4-FFF2-40B4-BE49-F238E27FC236}">
                <a16:creationId xmlns:a16="http://schemas.microsoft.com/office/drawing/2014/main" id="{00000000-0008-0000-1400-00000C000000}"/>
              </a:ext>
            </a:extLst>
          </xdr:cNvPr>
          <xdr:cNvGrpSpPr/>
        </xdr:nvGrpSpPr>
        <xdr:grpSpPr>
          <a:xfrm>
            <a:off x="12661938" y="6867260"/>
            <a:ext cx="428493" cy="410104"/>
            <a:chOff x="5111260" y="103549"/>
            <a:chExt cx="428280" cy="410104"/>
          </a:xfrm>
          <a:effectLst>
            <a:outerShdw blurRad="50800" dist="38100" dir="2700000" algn="tl" rotWithShape="0">
              <a:prstClr val="black">
                <a:alpha val="40000"/>
              </a:prstClr>
            </a:outerShdw>
          </a:effectLst>
        </xdr:grpSpPr>
        <xdr:pic>
          <xdr:nvPicPr>
            <xdr:cNvPr id="20" name="Graphique 19" descr="Document avec un remplissage uni">
              <a:extLst>
                <a:ext uri="{FF2B5EF4-FFF2-40B4-BE49-F238E27FC236}">
                  <a16:creationId xmlns:a16="http://schemas.microsoft.com/office/drawing/2014/main" id="{00000000-0008-0000-1400-000014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5154942" y="103549"/>
              <a:ext cx="384598" cy="410104"/>
            </a:xfrm>
            <a:prstGeom prst="rect">
              <a:avLst/>
            </a:prstGeom>
          </xdr:spPr>
        </xdr:pic>
        <xdr:pic>
          <xdr:nvPicPr>
            <xdr:cNvPr id="21" name="Graphique 20" descr="Coche avec un remplissage uni">
              <a:extLst>
                <a:ext uri="{FF2B5EF4-FFF2-40B4-BE49-F238E27FC236}">
                  <a16:creationId xmlns:a16="http://schemas.microsoft.com/office/drawing/2014/main" id="{00000000-0008-0000-1400-000015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125784" y="288962"/>
              <a:ext cx="180273" cy="197722"/>
            </a:xfrm>
            <a:prstGeom prst="rect">
              <a:avLst/>
            </a:prstGeom>
          </xdr:spPr>
        </xdr:pic>
        <xdr:pic>
          <xdr:nvPicPr>
            <xdr:cNvPr id="22" name="Graphique 21" descr="Badge à suivre avec un remplissage uni">
              <a:extLst>
                <a:ext uri="{FF2B5EF4-FFF2-40B4-BE49-F238E27FC236}">
                  <a16:creationId xmlns:a16="http://schemas.microsoft.com/office/drawing/2014/main" id="{00000000-0008-0000-14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111260" y="145828"/>
              <a:ext cx="180273" cy="194849"/>
            </a:xfrm>
            <a:prstGeom prst="rect">
              <a:avLst/>
            </a:prstGeom>
          </xdr:spPr>
        </xdr:pic>
        <xdr:pic>
          <xdr:nvPicPr>
            <xdr:cNvPr id="23" name="Graphique 22" descr="Crayon avec un remplissage uni">
              <a:extLst>
                <a:ext uri="{FF2B5EF4-FFF2-40B4-BE49-F238E27FC236}">
                  <a16:creationId xmlns:a16="http://schemas.microsoft.com/office/drawing/2014/main" id="{00000000-0008-0000-1400-000017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284434" y="277381"/>
              <a:ext cx="231999" cy="230257"/>
            </a:xfrm>
            <a:prstGeom prst="rect">
              <a:avLst/>
            </a:prstGeom>
          </xdr:spPr>
        </xdr:pic>
      </xdr:grpSp>
      <xdr:pic>
        <xdr:nvPicPr>
          <xdr:cNvPr id="13" name="Graphique 12" descr="Présentation avec liste de vérification avec un remplissage uni">
            <a:hlinkClick xmlns:r="http://schemas.openxmlformats.org/officeDocument/2006/relationships" r:id="rId25" tooltip="Fiches de Risque"/>
            <a:extLst>
              <a:ext uri="{FF2B5EF4-FFF2-40B4-BE49-F238E27FC236}">
                <a16:creationId xmlns:a16="http://schemas.microsoft.com/office/drawing/2014/main" id="{00000000-0008-0000-1400-00000D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3234017" y="6849038"/>
            <a:ext cx="446771" cy="446549"/>
          </a:xfrm>
          <a:prstGeom prst="rect">
            <a:avLst/>
          </a:prstGeom>
          <a:effectLst>
            <a:outerShdw blurRad="50800" dist="38100" dir="2700000" algn="tl" rotWithShape="0">
              <a:prstClr val="black">
                <a:alpha val="40000"/>
              </a:prstClr>
            </a:outerShdw>
          </a:effectLst>
        </xdr:spPr>
      </xdr:pic>
      <xdr:pic>
        <xdr:nvPicPr>
          <xdr:cNvPr id="14" name="Graphique 13" descr="Présentation avec camembert avec un remplissage uni">
            <a:hlinkClick xmlns:r="http://schemas.openxmlformats.org/officeDocument/2006/relationships" r:id="rId28" tooltip="Panorama"/>
            <a:extLst>
              <a:ext uri="{FF2B5EF4-FFF2-40B4-BE49-F238E27FC236}">
                <a16:creationId xmlns:a16="http://schemas.microsoft.com/office/drawing/2014/main" id="{00000000-0008-0000-1400-00000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rcRect/>
          <a:stretch/>
        </xdr:blipFill>
        <xdr:spPr>
          <a:xfrm>
            <a:off x="13824374" y="6849038"/>
            <a:ext cx="446771" cy="446549"/>
          </a:xfrm>
          <a:prstGeom prst="rect">
            <a:avLst/>
          </a:prstGeom>
          <a:effectLst>
            <a:outerShdw blurRad="50800" dist="38100" dir="2700000" algn="tl" rotWithShape="0">
              <a:prstClr val="black">
                <a:alpha val="40000"/>
              </a:prstClr>
            </a:outerShdw>
          </a:effectLst>
        </xdr:spPr>
      </xdr:pic>
      <xdr:sp macro="" textlink="">
        <xdr:nvSpPr>
          <xdr:cNvPr id="15" name="Rectangle : coins arrondis 14">
            <a:extLst>
              <a:ext uri="{FF2B5EF4-FFF2-40B4-BE49-F238E27FC236}">
                <a16:creationId xmlns:a16="http://schemas.microsoft.com/office/drawing/2014/main" id="{00000000-0008-0000-1400-00000F000000}"/>
              </a:ext>
            </a:extLst>
          </xdr:cNvPr>
          <xdr:cNvSpPr/>
        </xdr:nvSpPr>
        <xdr:spPr bwMode="auto">
          <a:xfrm>
            <a:off x="10069820" y="6800850"/>
            <a:ext cx="230578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16" name="Rectangle : coins arrondis 15">
            <a:extLst>
              <a:ext uri="{FF2B5EF4-FFF2-40B4-BE49-F238E27FC236}">
                <a16:creationId xmlns:a16="http://schemas.microsoft.com/office/drawing/2014/main" id="{00000000-0008-0000-1400-000010000000}"/>
              </a:ext>
            </a:extLst>
          </xdr:cNvPr>
          <xdr:cNvSpPr/>
        </xdr:nvSpPr>
        <xdr:spPr bwMode="auto">
          <a:xfrm>
            <a:off x="12508221" y="6800850"/>
            <a:ext cx="1915258"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sp macro="" textlink="">
        <xdr:nvSpPr>
          <xdr:cNvPr id="17" name="ZoneTexte 16">
            <a:hlinkClick xmlns:r="http://schemas.openxmlformats.org/officeDocument/2006/relationships" r:id="rId31" tooltip="Gravité"/>
            <a:extLst>
              <a:ext uri="{FF2B5EF4-FFF2-40B4-BE49-F238E27FC236}">
                <a16:creationId xmlns:a16="http://schemas.microsoft.com/office/drawing/2014/main" id="{00000000-0008-0000-1400-000011000000}"/>
              </a:ext>
            </a:extLst>
          </xdr:cNvPr>
          <xdr:cNvSpPr txBox="1"/>
        </xdr:nvSpPr>
        <xdr:spPr>
          <a:xfrm>
            <a:off x="14733067" y="6863403"/>
            <a:ext cx="460951" cy="417819"/>
          </a:xfrm>
          <a:prstGeom prst="rect">
            <a:avLst/>
          </a:prstGeom>
          <a:noFill/>
          <a:ln w="19050" cap="flat">
            <a:solidFill>
              <a:sysClr val="windowText" lastClr="000000"/>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dk1"/>
                </a:solidFill>
                <a:latin typeface="+mn-lt"/>
                <a:ea typeface="+mn-ea"/>
                <a:cs typeface="+mn-cs"/>
              </a:rPr>
              <a:t>GR</a:t>
            </a:r>
          </a:p>
        </xdr:txBody>
      </xdr:sp>
      <xdr:sp macro="" textlink="">
        <xdr:nvSpPr>
          <xdr:cNvPr id="18" name="ZoneTexte 17">
            <a:hlinkClick xmlns:r="http://schemas.openxmlformats.org/officeDocument/2006/relationships" r:id="rId32" tooltip="Grilles de décision"/>
            <a:extLst>
              <a:ext uri="{FF2B5EF4-FFF2-40B4-BE49-F238E27FC236}">
                <a16:creationId xmlns:a16="http://schemas.microsoft.com/office/drawing/2014/main" id="{00000000-0008-0000-1400-000012000000}"/>
              </a:ext>
            </a:extLst>
          </xdr:cNvPr>
          <xdr:cNvSpPr txBox="1"/>
        </xdr:nvSpPr>
        <xdr:spPr>
          <a:xfrm>
            <a:off x="15338068" y="6863512"/>
            <a:ext cx="460800" cy="417600"/>
          </a:xfrm>
          <a:prstGeom prst="rect">
            <a:avLst/>
          </a:prstGeom>
          <a:noFill/>
          <a:ln w="28575" cap="flat">
            <a:solidFill>
              <a:schemeClr val="bg2"/>
            </a:solidFill>
            <a:prstDash val="solid"/>
            <a:miter/>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fr-FR" sz="1800" b="1">
                <a:solidFill>
                  <a:schemeClr val="bg2"/>
                </a:solidFill>
                <a:latin typeface="+mn-lt"/>
                <a:ea typeface="+mn-ea"/>
                <a:cs typeface="+mn-cs"/>
              </a:rPr>
              <a:t>IP</a:t>
            </a:r>
          </a:p>
        </xdr:txBody>
      </xdr:sp>
      <xdr:sp macro="" textlink="">
        <xdr:nvSpPr>
          <xdr:cNvPr id="19" name="Rectangle : coins arrondis 18">
            <a:extLst>
              <a:ext uri="{FF2B5EF4-FFF2-40B4-BE49-F238E27FC236}">
                <a16:creationId xmlns:a16="http://schemas.microsoft.com/office/drawing/2014/main" id="{00000000-0008-0000-1400-000013000000}"/>
              </a:ext>
            </a:extLst>
          </xdr:cNvPr>
          <xdr:cNvSpPr/>
        </xdr:nvSpPr>
        <xdr:spPr bwMode="auto">
          <a:xfrm>
            <a:off x="14584014" y="6800850"/>
            <a:ext cx="1372003" cy="542925"/>
          </a:xfrm>
          <a:prstGeom prst="roundRect">
            <a:avLst>
              <a:gd name="adj" fmla="val 3842"/>
            </a:avLst>
          </a:prstGeom>
          <a:noFill/>
          <a:ln w="38100" cap="flat" cmpd="sng" algn="ctr">
            <a:solidFill>
              <a:schemeClr val="tx2"/>
            </a:solidFill>
            <a:prstDash val="solid"/>
            <a:round/>
            <a:headEnd type="none" w="med" len="med"/>
            <a:tailEnd type="none" w="med" len="med"/>
          </a:ln>
          <a:effectLst/>
        </xdr:spPr>
        <xdr:txBody>
          <a:bodyPr vertOverflow="clip" wrap="square" lIns="18288" tIns="0" rIns="0" bIns="0" rtlCol="0" anchor="ctr" upright="1"/>
          <a:lstStyle/>
          <a:p>
            <a:pPr algn="l"/>
            <a:endParaRPr lang="fr-FR" sz="1100"/>
          </a:p>
        </xdr:txBody>
      </xdr:sp>
    </xdr:grp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c4u-my.sharepoint.com/personal/raphael_duveau_nc4u_onmicrosoft_com/Documents/Documents%20(ELITBOOK)/NC4U%20Partenaires%20-%20Adh&#233;sion/CLUSIF/MEHARI/documents%20de%20travail/v3-6/DB-ManagerBC-v3-50-trav-2020-04-29-jpj.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Travail\Clusif\GT_M&#233;hari\DB-ManagerBCE-travail-V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rr_Services"/>
      <sheetName val="Intro"/>
      <sheetName val="Licence"/>
      <sheetName val="Présentation"/>
      <sheetName val="Actifs_primaires"/>
      <sheetName val="Actifs_support"/>
      <sheetName val="Dommages"/>
      <sheetName val="Expo"/>
      <sheetName val="Scénarios"/>
      <sheetName val="Ana_risk"/>
      <sheetName val="Visu_risk"/>
      <sheetName val="Tbord"/>
      <sheetName val="Des_Projets"/>
      <sheetName val="Param"/>
      <sheetName val="Tab_sel"/>
      <sheetName val="Tab_X"/>
      <sheetName val="Tab_PE"/>
      <sheetName val="Grilles_IP"/>
      <sheetName val="Gravité"/>
    </sheetNames>
    <sheetDataSet>
      <sheetData sheetId="0" refreshError="1"/>
      <sheetData sheetId="1" refreshError="1"/>
      <sheetData sheetId="2" refreshError="1"/>
      <sheetData sheetId="3" refreshError="1"/>
      <sheetData sheetId="4">
        <row r="4">
          <cell r="B4" t="str">
            <v>D01</v>
          </cell>
        </row>
      </sheetData>
      <sheetData sheetId="5">
        <row r="3">
          <cell r="C3" t="str">
            <v xml:space="preserve">Fichier ou base de données </v>
          </cell>
        </row>
      </sheetData>
      <sheetData sheetId="6">
        <row r="4">
          <cell r="D4" t="str">
            <v>Inaccessibilité</v>
          </cell>
        </row>
      </sheetData>
      <sheetData sheetId="7">
        <row r="3">
          <cell r="C3" t="str">
            <v>AB.P.Per</v>
          </cell>
        </row>
      </sheetData>
      <sheetData sheetId="8">
        <row r="1">
          <cell r="A1" t="str">
            <v>Base de référence des scénarios</v>
          </cell>
        </row>
      </sheetData>
      <sheetData sheetId="9">
        <row r="13">
          <cell r="C13" t="str">
            <v>Aucun impact évalué pour ces éléments</v>
          </cell>
        </row>
      </sheetData>
      <sheetData sheetId="10" refreshError="1"/>
      <sheetData sheetId="11"/>
      <sheetData sheetId="12" refreshError="1"/>
      <sheetData sheetId="13">
        <row r="2">
          <cell r="A2" t="str">
            <v xml:space="preserve">Efficacité des mesures dissuasives </v>
          </cell>
        </row>
      </sheetData>
      <sheetData sheetId="14">
        <row r="2">
          <cell r="I2" t="b">
            <v>0</v>
          </cell>
        </row>
        <row r="24">
          <cell r="M24" t="str">
            <v>D : Défaut de disponibilité</v>
          </cell>
        </row>
        <row r="25">
          <cell r="M25" t="str">
            <v xml:space="preserve"> </v>
          </cell>
        </row>
        <row r="26">
          <cell r="M26" t="str">
            <v xml:space="preserve"> </v>
          </cell>
        </row>
        <row r="27">
          <cell r="M27" t="str">
            <v xml:space="preserve"> </v>
          </cell>
        </row>
        <row r="54">
          <cell r="M54" t="str">
            <v xml:space="preserve"> </v>
          </cell>
        </row>
        <row r="55">
          <cell r="M55" t="str">
            <v xml:space="preserve"> </v>
          </cell>
        </row>
        <row r="56">
          <cell r="M56" t="str">
            <v xml:space="preserve"> </v>
          </cell>
        </row>
        <row r="57">
          <cell r="M57" t="str">
            <v xml:space="preserve"> </v>
          </cell>
        </row>
        <row r="58">
          <cell r="M58" t="str">
            <v xml:space="preserve"> </v>
          </cell>
        </row>
      </sheetData>
      <sheetData sheetId="15">
        <row r="4">
          <cell r="A4" t="str">
            <v>Données applicatives</v>
          </cell>
        </row>
      </sheetData>
      <sheetData sheetId="16" refreshError="1"/>
      <sheetData sheetId="17">
        <row r="7">
          <cell r="D7">
            <v>1</v>
          </cell>
        </row>
      </sheetData>
      <sheetData sheetId="18">
        <row r="6">
          <cell r="D6">
            <v>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rr_Services"/>
      <sheetName val="ADMIN"/>
      <sheetName val="Accueil"/>
      <sheetName val="Licence"/>
      <sheetName val="Présentation"/>
      <sheetName val="Actifs_primaires"/>
      <sheetName val="Actifs_support"/>
      <sheetName val="Dommages"/>
      <sheetName val="Expo"/>
      <sheetName val="Scénarios"/>
      <sheetName val="Ana_risk"/>
      <sheetName val="Vis_risk"/>
      <sheetName val="Fic_Risk"/>
      <sheetName val="Panorama"/>
      <sheetName val="Fonctions"/>
      <sheetName val="Param"/>
      <sheetName val="Tab_sel"/>
      <sheetName val="Tab_X"/>
      <sheetName val="Tab_PE"/>
      <sheetName val="Gravité"/>
      <sheetName val="Grilles_IP"/>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40">
          <cell r="C40">
            <v>4</v>
          </cell>
        </row>
      </sheetData>
      <sheetData sheetId="16">
        <row r="50">
          <cell r="H50" t="e">
            <v>#N/A</v>
          </cell>
        </row>
      </sheetData>
      <sheetData sheetId="17" refreshError="1"/>
      <sheetData sheetId="18" refreshError="1"/>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Jean-Philippe Jouas" id="{AAAEDA36-EF1B-4092-B024-B2BECE888D36}" userId="f5a16af5274602e3" providerId="Windows Live"/>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3" dT="2020-10-27T12:46:14.61" personId="{AAAEDA36-EF1B-4092-B024-B2BECE888D36}" id="{EFD5FBA4-FC1E-4522-8B69-AD6A82C58839}">
    <text>A : Accident
E : Erreur
V : acte volontaire</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3"/>
  <dimension ref="A1:K476"/>
  <sheetViews>
    <sheetView workbookViewId="0">
      <selection activeCell="A6" sqref="A6"/>
    </sheetView>
  </sheetViews>
  <sheetFormatPr baseColWidth="10" defaultRowHeight="13.2" outlineLevelCol="1" x14ac:dyDescent="0.2"/>
  <cols>
    <col min="1" max="1" width="1.6640625" style="169" customWidth="1"/>
    <col min="2" max="2" width="5.33203125" style="103" customWidth="1"/>
    <col min="3" max="3" width="38.6640625" style="103" customWidth="1"/>
    <col min="4" max="4" width="1.5546875" style="6" customWidth="1"/>
    <col min="5" max="5" width="5.5546875" style="128" customWidth="1" outlineLevel="1"/>
    <col min="6" max="6" width="38.6640625" style="6" customWidth="1" outlineLevel="1"/>
    <col min="7" max="7" width="1.5546875" style="6" customWidth="1" outlineLevel="1"/>
    <col min="8" max="8" width="4.5546875" style="128" customWidth="1" outlineLevel="1"/>
    <col min="9" max="9" width="38.6640625" style="6" customWidth="1" outlineLevel="1"/>
    <col min="10" max="10" width="20.5546875" customWidth="1"/>
  </cols>
  <sheetData>
    <row r="1" spans="1:9" ht="30.75" customHeight="1" x14ac:dyDescent="0.2">
      <c r="A1" s="182" t="s">
        <v>913</v>
      </c>
    </row>
    <row r="2" spans="1:9" ht="17.399999999999999" x14ac:dyDescent="0.25">
      <c r="A2" s="956" t="s">
        <v>332</v>
      </c>
      <c r="B2" s="956"/>
      <c r="C2" s="956"/>
      <c r="D2" s="183"/>
      <c r="E2" s="956" t="s">
        <v>912</v>
      </c>
      <c r="F2" s="956"/>
      <c r="G2" s="956"/>
      <c r="H2" s="956" t="s">
        <v>333</v>
      </c>
      <c r="I2" s="956"/>
    </row>
    <row r="3" spans="1:9" x14ac:dyDescent="0.25">
      <c r="A3" s="68" t="s">
        <v>26</v>
      </c>
      <c r="B3" s="69"/>
      <c r="C3" s="70"/>
      <c r="D3" s="71"/>
      <c r="E3" s="72"/>
      <c r="F3" s="73"/>
      <c r="G3" s="71"/>
      <c r="H3" s="72"/>
      <c r="I3" s="73"/>
    </row>
    <row r="4" spans="1:9" x14ac:dyDescent="0.25">
      <c r="A4" s="74"/>
      <c r="B4" s="75" t="s">
        <v>27</v>
      </c>
      <c r="C4" s="76"/>
      <c r="D4" s="77"/>
      <c r="E4" s="78"/>
      <c r="F4" s="79"/>
      <c r="G4" s="77"/>
      <c r="H4" s="78"/>
      <c r="I4" s="79"/>
    </row>
    <row r="5" spans="1:9" x14ac:dyDescent="0.25">
      <c r="A5" s="80"/>
      <c r="B5" s="81"/>
      <c r="C5" s="82" t="s">
        <v>28</v>
      </c>
      <c r="D5" s="83"/>
      <c r="E5" s="84"/>
      <c r="F5" s="85"/>
      <c r="G5" s="83"/>
      <c r="H5" s="84"/>
      <c r="I5" s="85"/>
    </row>
    <row r="6" spans="1:9" ht="15.6" x14ac:dyDescent="0.25">
      <c r="A6" s="86"/>
      <c r="B6" s="87" t="s">
        <v>950</v>
      </c>
      <c r="C6" s="88"/>
      <c r="D6" s="89"/>
      <c r="E6" s="90"/>
      <c r="F6" s="91"/>
      <c r="G6" s="89"/>
      <c r="H6" s="90"/>
      <c r="I6" s="91"/>
    </row>
    <row r="7" spans="1:9" x14ac:dyDescent="0.2">
      <c r="A7" s="92"/>
      <c r="B7" s="2" t="s">
        <v>334</v>
      </c>
      <c r="C7" s="3"/>
      <c r="D7" s="92"/>
      <c r="E7" s="2" t="s">
        <v>334</v>
      </c>
      <c r="F7" s="3"/>
      <c r="G7" s="92"/>
      <c r="H7" s="2" t="s">
        <v>334</v>
      </c>
      <c r="I7" s="3"/>
    </row>
    <row r="8" spans="1:9" x14ac:dyDescent="0.2">
      <c r="A8" s="92"/>
      <c r="B8" s="2"/>
      <c r="C8" s="3"/>
      <c r="D8" s="92"/>
      <c r="E8" s="31" t="s">
        <v>126</v>
      </c>
      <c r="F8" s="31" t="s">
        <v>127</v>
      </c>
      <c r="G8" s="92"/>
      <c r="H8" s="32"/>
      <c r="I8" s="7"/>
    </row>
    <row r="9" spans="1:9" x14ac:dyDescent="0.2">
      <c r="A9" s="92"/>
      <c r="B9" s="2"/>
      <c r="C9" s="3"/>
      <c r="D9" s="92"/>
      <c r="E9" s="31" t="s">
        <v>128</v>
      </c>
      <c r="F9" s="7" t="s">
        <v>129</v>
      </c>
      <c r="G9" s="92"/>
      <c r="H9" s="32"/>
      <c r="I9" s="7"/>
    </row>
    <row r="10" spans="1:9" x14ac:dyDescent="0.25">
      <c r="A10" s="92"/>
      <c r="B10" s="2"/>
      <c r="C10" s="3"/>
      <c r="D10" s="92"/>
      <c r="E10" s="2" t="s">
        <v>130</v>
      </c>
      <c r="F10" s="1"/>
      <c r="G10" s="92"/>
      <c r="H10" s="1"/>
      <c r="I10" s="1"/>
    </row>
    <row r="11" spans="1:9" ht="20.399999999999999" x14ac:dyDescent="0.25">
      <c r="A11" s="92"/>
      <c r="B11" s="3" t="s">
        <v>335</v>
      </c>
      <c r="C11" s="3" t="s">
        <v>336</v>
      </c>
      <c r="D11" s="92"/>
      <c r="E11" s="32"/>
      <c r="F11" s="1"/>
      <c r="G11" s="92"/>
      <c r="H11" s="1"/>
      <c r="I11" s="1"/>
    </row>
    <row r="12" spans="1:9" ht="20.399999999999999" x14ac:dyDescent="0.2">
      <c r="A12" s="92"/>
      <c r="B12" s="3" t="s">
        <v>337</v>
      </c>
      <c r="C12" s="3" t="s">
        <v>81</v>
      </c>
      <c r="D12" s="92"/>
      <c r="E12" s="31" t="s">
        <v>131</v>
      </c>
      <c r="F12" s="3" t="s">
        <v>81</v>
      </c>
      <c r="G12" s="92"/>
      <c r="H12" s="31" t="s">
        <v>126</v>
      </c>
      <c r="I12" s="3" t="s">
        <v>81</v>
      </c>
    </row>
    <row r="13" spans="1:9" x14ac:dyDescent="0.25">
      <c r="A13" s="92"/>
      <c r="B13" s="3"/>
      <c r="C13" s="1"/>
      <c r="D13" s="92"/>
      <c r="E13" s="31" t="s">
        <v>132</v>
      </c>
      <c r="F13" s="3" t="s">
        <v>133</v>
      </c>
      <c r="G13" s="92"/>
      <c r="H13" s="31"/>
      <c r="I13" s="3"/>
    </row>
    <row r="14" spans="1:9" ht="20.399999999999999" x14ac:dyDescent="0.25">
      <c r="A14" s="92"/>
      <c r="B14" s="3"/>
      <c r="C14" s="1"/>
      <c r="D14" s="92"/>
      <c r="E14" s="31" t="s">
        <v>134</v>
      </c>
      <c r="F14" s="3" t="s">
        <v>135</v>
      </c>
      <c r="G14" s="92"/>
      <c r="H14" s="31"/>
      <c r="I14" s="3"/>
    </row>
    <row r="15" spans="1:9" x14ac:dyDescent="0.25">
      <c r="A15" s="92"/>
      <c r="B15" s="3"/>
      <c r="C15" s="1"/>
      <c r="D15" s="92"/>
      <c r="E15" s="31" t="s">
        <v>136</v>
      </c>
      <c r="F15" s="3" t="s">
        <v>11</v>
      </c>
      <c r="G15" s="92"/>
      <c r="H15" s="31"/>
      <c r="I15" s="3"/>
    </row>
    <row r="16" spans="1:9" x14ac:dyDescent="0.25">
      <c r="A16" s="92"/>
      <c r="B16" s="3"/>
      <c r="C16" s="1"/>
      <c r="D16" s="92"/>
      <c r="E16" s="31" t="s">
        <v>137</v>
      </c>
      <c r="F16" s="3" t="s">
        <v>338</v>
      </c>
      <c r="G16" s="92"/>
      <c r="H16" s="31"/>
      <c r="I16" s="3"/>
    </row>
    <row r="17" spans="1:9" x14ac:dyDescent="0.25">
      <c r="A17" s="92"/>
      <c r="B17" s="3"/>
      <c r="C17" s="1"/>
      <c r="D17" s="92"/>
      <c r="E17" s="31" t="s">
        <v>138</v>
      </c>
      <c r="F17" s="3" t="s">
        <v>139</v>
      </c>
      <c r="G17" s="92"/>
      <c r="H17" s="31"/>
      <c r="I17" s="3"/>
    </row>
    <row r="18" spans="1:9" x14ac:dyDescent="0.25">
      <c r="A18" s="92"/>
      <c r="B18" s="3"/>
      <c r="C18" s="1"/>
      <c r="D18" s="92"/>
      <c r="E18" s="31" t="s">
        <v>140</v>
      </c>
      <c r="F18" s="3" t="s">
        <v>141</v>
      </c>
      <c r="G18" s="92"/>
      <c r="H18" s="31"/>
      <c r="I18" s="3"/>
    </row>
    <row r="19" spans="1:9" ht="20.399999999999999" x14ac:dyDescent="0.25">
      <c r="A19" s="92"/>
      <c r="B19" s="3"/>
      <c r="C19" s="1"/>
      <c r="D19" s="92"/>
      <c r="E19" s="31" t="s">
        <v>142</v>
      </c>
      <c r="F19" s="3" t="s">
        <v>143</v>
      </c>
      <c r="G19" s="92"/>
      <c r="H19" s="31"/>
      <c r="I19" s="3"/>
    </row>
    <row r="20" spans="1:9" x14ac:dyDescent="0.25">
      <c r="A20" s="92"/>
      <c r="B20" s="3"/>
      <c r="C20" s="1"/>
      <c r="D20" s="92"/>
      <c r="E20" s="31" t="s">
        <v>144</v>
      </c>
      <c r="F20" s="3" t="s">
        <v>145</v>
      </c>
      <c r="G20" s="92"/>
      <c r="H20" s="31"/>
      <c r="I20" s="3"/>
    </row>
    <row r="21" spans="1:9" ht="26.25" customHeight="1" x14ac:dyDescent="0.2">
      <c r="A21" s="92"/>
      <c r="B21" s="3" t="s">
        <v>339</v>
      </c>
      <c r="C21" s="3" t="s">
        <v>58</v>
      </c>
      <c r="D21" s="92"/>
      <c r="E21" s="31" t="s">
        <v>146</v>
      </c>
      <c r="F21" s="3" t="s">
        <v>58</v>
      </c>
      <c r="G21" s="92"/>
      <c r="H21" s="31" t="s">
        <v>128</v>
      </c>
      <c r="I21" s="3" t="s">
        <v>1053</v>
      </c>
    </row>
    <row r="22" spans="1:9" ht="14.25" customHeight="1" x14ac:dyDescent="0.25">
      <c r="A22" s="92"/>
      <c r="B22" s="3" t="s">
        <v>340</v>
      </c>
      <c r="C22" s="3" t="s">
        <v>341</v>
      </c>
      <c r="D22" s="93"/>
      <c r="E22" s="1"/>
      <c r="F22" s="1"/>
      <c r="G22" s="93"/>
      <c r="H22" s="1"/>
      <c r="I22" s="1"/>
    </row>
    <row r="23" spans="1:9" ht="14.25" customHeight="1" x14ac:dyDescent="0.25">
      <c r="A23" s="93"/>
      <c r="B23" s="3" t="s">
        <v>342</v>
      </c>
      <c r="C23" s="3" t="s">
        <v>343</v>
      </c>
      <c r="D23" s="93"/>
      <c r="E23" s="1"/>
      <c r="F23" s="1"/>
      <c r="G23" s="93"/>
      <c r="H23" s="1"/>
      <c r="I23" s="1"/>
    </row>
    <row r="24" spans="1:9" x14ac:dyDescent="0.25">
      <c r="A24" s="93"/>
      <c r="B24" s="2" t="s">
        <v>344</v>
      </c>
      <c r="C24" s="4"/>
      <c r="D24" s="92"/>
      <c r="E24" s="2"/>
      <c r="F24" s="1"/>
      <c r="G24" s="92"/>
      <c r="I24" s="1"/>
    </row>
    <row r="25" spans="1:9" ht="20.399999999999999" x14ac:dyDescent="0.25">
      <c r="A25" s="92"/>
      <c r="B25" s="3" t="s">
        <v>345</v>
      </c>
      <c r="C25" s="3" t="s">
        <v>346</v>
      </c>
      <c r="D25" s="92"/>
      <c r="E25" s="1"/>
      <c r="F25" s="3" t="s">
        <v>914</v>
      </c>
      <c r="G25" s="92"/>
      <c r="H25" s="1"/>
      <c r="I25" s="1"/>
    </row>
    <row r="26" spans="1:9" ht="20.399999999999999" x14ac:dyDescent="0.25">
      <c r="A26" s="92"/>
      <c r="B26" s="3" t="s">
        <v>347</v>
      </c>
      <c r="C26" s="3" t="s">
        <v>348</v>
      </c>
      <c r="D26" s="92"/>
      <c r="E26" s="1"/>
      <c r="F26" s="3" t="s">
        <v>914</v>
      </c>
      <c r="G26" s="92"/>
      <c r="H26" s="1"/>
      <c r="I26" s="1"/>
    </row>
    <row r="27" spans="1:9" x14ac:dyDescent="0.25">
      <c r="A27" s="92"/>
      <c r="B27" s="3"/>
      <c r="C27" s="3"/>
      <c r="D27" s="92"/>
      <c r="E27" s="2" t="s">
        <v>147</v>
      </c>
      <c r="G27" s="92"/>
      <c r="H27" s="1"/>
      <c r="I27" s="1"/>
    </row>
    <row r="28" spans="1:9" ht="15" customHeight="1" x14ac:dyDescent="0.25">
      <c r="A28" s="92"/>
      <c r="B28" s="3" t="s">
        <v>349</v>
      </c>
      <c r="C28" s="3" t="s">
        <v>350</v>
      </c>
      <c r="D28" s="92"/>
      <c r="E28" s="3" t="s">
        <v>148</v>
      </c>
      <c r="F28" s="3" t="s">
        <v>149</v>
      </c>
      <c r="G28" s="92"/>
      <c r="H28" s="1"/>
      <c r="I28" s="1"/>
    </row>
    <row r="29" spans="1:9" ht="15" customHeight="1" x14ac:dyDescent="0.25">
      <c r="A29" s="92"/>
      <c r="B29" s="3" t="s">
        <v>351</v>
      </c>
      <c r="C29" s="3" t="s">
        <v>65</v>
      </c>
      <c r="D29" s="92"/>
      <c r="E29" s="3" t="s">
        <v>150</v>
      </c>
      <c r="F29" s="3" t="s">
        <v>65</v>
      </c>
      <c r="G29" s="92"/>
      <c r="H29" s="1"/>
      <c r="I29" s="1"/>
    </row>
    <row r="30" spans="1:9" ht="15" customHeight="1" x14ac:dyDescent="0.25">
      <c r="A30" s="92"/>
      <c r="B30" s="5" t="s">
        <v>352</v>
      </c>
      <c r="C30" s="3" t="s">
        <v>353</v>
      </c>
      <c r="D30" s="1"/>
      <c r="E30" s="3"/>
      <c r="F30" s="3"/>
      <c r="G30" s="1"/>
      <c r="H30" s="1"/>
      <c r="I30" s="1"/>
    </row>
    <row r="31" spans="1:9" x14ac:dyDescent="0.2">
      <c r="A31" s="92"/>
      <c r="B31" s="2" t="s">
        <v>66</v>
      </c>
      <c r="C31" s="4"/>
      <c r="D31" s="92"/>
      <c r="E31" s="2" t="s">
        <v>66</v>
      </c>
      <c r="F31" s="4"/>
      <c r="G31" s="92"/>
      <c r="H31" s="2" t="s">
        <v>344</v>
      </c>
      <c r="I31" s="4"/>
    </row>
    <row r="32" spans="1:9" ht="14.25" customHeight="1" x14ac:dyDescent="0.2">
      <c r="A32" s="92"/>
      <c r="B32" s="3" t="s">
        <v>354</v>
      </c>
      <c r="C32" s="3" t="s">
        <v>79</v>
      </c>
      <c r="D32" s="92"/>
      <c r="E32" s="3" t="s">
        <v>151</v>
      </c>
      <c r="F32" s="3" t="s">
        <v>79</v>
      </c>
      <c r="G32" s="92"/>
      <c r="H32" s="3"/>
      <c r="I32" s="3"/>
    </row>
    <row r="33" spans="1:9" ht="14.25" customHeight="1" x14ac:dyDescent="0.2">
      <c r="A33" s="92"/>
      <c r="B33" s="3"/>
      <c r="C33" s="7"/>
      <c r="D33" s="92"/>
      <c r="E33" s="3" t="s">
        <v>152</v>
      </c>
      <c r="F33" s="7" t="s">
        <v>305</v>
      </c>
      <c r="G33" s="92"/>
      <c r="H33" s="7"/>
      <c r="I33" s="7"/>
    </row>
    <row r="34" spans="1:9" ht="27" customHeight="1" x14ac:dyDescent="0.2">
      <c r="A34" s="92"/>
      <c r="B34" s="5" t="s">
        <v>355</v>
      </c>
      <c r="C34" s="26" t="s">
        <v>6</v>
      </c>
      <c r="D34" s="92"/>
      <c r="F34" s="26" t="s">
        <v>1072</v>
      </c>
      <c r="G34" s="92"/>
      <c r="H34" s="26" t="s">
        <v>131</v>
      </c>
      <c r="I34" s="26" t="s">
        <v>356</v>
      </c>
    </row>
    <row r="35" spans="1:9" ht="15" customHeight="1" x14ac:dyDescent="0.2">
      <c r="A35" s="92"/>
      <c r="B35" s="3" t="s">
        <v>357</v>
      </c>
      <c r="C35" s="3" t="s">
        <v>358</v>
      </c>
      <c r="D35" s="92"/>
      <c r="E35" s="3"/>
      <c r="F35" s="3"/>
      <c r="G35" s="92"/>
      <c r="H35" s="3"/>
      <c r="I35" s="3"/>
    </row>
    <row r="36" spans="1:9" ht="15" customHeight="1" x14ac:dyDescent="0.2">
      <c r="A36" s="92"/>
      <c r="B36" s="3" t="s">
        <v>359</v>
      </c>
      <c r="C36" s="3" t="s">
        <v>80</v>
      </c>
      <c r="D36" s="92"/>
      <c r="E36" s="3" t="s">
        <v>153</v>
      </c>
      <c r="F36" s="3" t="s">
        <v>80</v>
      </c>
      <c r="G36" s="92"/>
      <c r="H36" s="95"/>
      <c r="I36" s="99"/>
    </row>
    <row r="37" spans="1:9" x14ac:dyDescent="0.2">
      <c r="A37" s="92"/>
      <c r="B37" s="3"/>
      <c r="C37" s="3"/>
      <c r="D37" s="92"/>
      <c r="E37" s="3" t="s">
        <v>154</v>
      </c>
      <c r="F37" s="3" t="s">
        <v>9</v>
      </c>
      <c r="G37" s="92"/>
      <c r="H37" s="95"/>
      <c r="I37" s="185"/>
    </row>
    <row r="38" spans="1:9" x14ac:dyDescent="0.2">
      <c r="A38" s="92"/>
      <c r="B38" s="3"/>
      <c r="C38" s="3"/>
      <c r="D38" s="92"/>
      <c r="E38" s="3" t="s">
        <v>155</v>
      </c>
      <c r="F38" s="3" t="s">
        <v>156</v>
      </c>
      <c r="G38" s="92"/>
      <c r="H38" s="95"/>
      <c r="I38" s="186"/>
    </row>
    <row r="39" spans="1:9" ht="13.5" customHeight="1" x14ac:dyDescent="0.2">
      <c r="A39" s="92"/>
      <c r="B39" s="3" t="s">
        <v>360</v>
      </c>
      <c r="C39" s="3" t="s">
        <v>361</v>
      </c>
      <c r="D39" s="92"/>
      <c r="E39" s="3"/>
      <c r="F39" s="3"/>
      <c r="G39" s="92"/>
      <c r="H39" s="52" t="s">
        <v>1054</v>
      </c>
      <c r="I39" s="28" t="s">
        <v>1055</v>
      </c>
    </row>
    <row r="40" spans="1:9" ht="13.5" customHeight="1" x14ac:dyDescent="0.25">
      <c r="A40" s="92"/>
      <c r="B40" s="3" t="s">
        <v>362</v>
      </c>
      <c r="C40" s="3" t="s">
        <v>363</v>
      </c>
      <c r="D40" s="92"/>
      <c r="E40" s="96"/>
      <c r="F40" s="1"/>
      <c r="G40" s="92"/>
      <c r="H40" s="96"/>
      <c r="I40" s="1"/>
    </row>
    <row r="41" spans="1:9" x14ac:dyDescent="0.25">
      <c r="A41" s="92"/>
      <c r="B41" s="2" t="s">
        <v>364</v>
      </c>
      <c r="C41" s="4"/>
      <c r="D41" s="92"/>
      <c r="E41" s="96"/>
      <c r="F41" s="97"/>
      <c r="G41" s="92"/>
      <c r="H41" s="96"/>
      <c r="I41" s="1"/>
    </row>
    <row r="42" spans="1:9" ht="15" customHeight="1" x14ac:dyDescent="0.25">
      <c r="A42" s="92"/>
      <c r="B42" s="5" t="s">
        <v>365</v>
      </c>
      <c r="C42" s="3" t="s">
        <v>366</v>
      </c>
      <c r="D42" s="92"/>
      <c r="E42" s="96"/>
      <c r="F42" s="3"/>
      <c r="G42" s="92"/>
      <c r="H42" s="96"/>
      <c r="I42" s="1"/>
    </row>
    <row r="43" spans="1:9" ht="15" customHeight="1" x14ac:dyDescent="0.2">
      <c r="A43" s="92"/>
      <c r="B43" s="5" t="s">
        <v>367</v>
      </c>
      <c r="C43" s="3" t="s">
        <v>368</v>
      </c>
      <c r="D43" s="92"/>
      <c r="E43" s="5"/>
      <c r="F43" s="3"/>
      <c r="G43" s="92"/>
      <c r="H43" s="5"/>
      <c r="I43" s="3"/>
    </row>
    <row r="44" spans="1:9" ht="15" customHeight="1" x14ac:dyDescent="0.2">
      <c r="A44" s="92"/>
      <c r="B44" s="5" t="s">
        <v>369</v>
      </c>
      <c r="C44" s="3" t="s">
        <v>370</v>
      </c>
      <c r="D44" s="92"/>
      <c r="E44" s="5"/>
      <c r="F44" s="3"/>
      <c r="G44" s="92"/>
      <c r="H44" s="5"/>
      <c r="I44" s="3"/>
    </row>
    <row r="45" spans="1:9" ht="15" customHeight="1" x14ac:dyDescent="0.25">
      <c r="A45" s="92"/>
      <c r="B45" s="5" t="s">
        <v>371</v>
      </c>
      <c r="C45" s="3" t="s">
        <v>372</v>
      </c>
      <c r="D45" s="92"/>
      <c r="E45" s="96"/>
      <c r="F45" s="3"/>
      <c r="G45" s="92"/>
      <c r="H45" s="96"/>
      <c r="I45" s="1"/>
    </row>
    <row r="46" spans="1:9" ht="15" customHeight="1" x14ac:dyDescent="0.2">
      <c r="A46" s="92"/>
      <c r="B46" s="5" t="s">
        <v>373</v>
      </c>
      <c r="C46" s="3" t="s">
        <v>374</v>
      </c>
      <c r="D46" s="92"/>
      <c r="E46" s="2"/>
      <c r="F46" s="3"/>
      <c r="G46" s="92"/>
      <c r="H46" s="2"/>
      <c r="I46" s="98"/>
    </row>
    <row r="47" spans="1:9" x14ac:dyDescent="0.2">
      <c r="A47" s="92"/>
      <c r="B47" s="2" t="s">
        <v>375</v>
      </c>
      <c r="C47" s="4"/>
      <c r="D47" s="92"/>
      <c r="E47" s="2" t="s">
        <v>300</v>
      </c>
      <c r="F47" s="4"/>
      <c r="G47" s="92"/>
      <c r="H47" s="2" t="s">
        <v>1034</v>
      </c>
      <c r="I47" s="4"/>
    </row>
    <row r="48" spans="1:9" ht="30.6" x14ac:dyDescent="0.2">
      <c r="A48" s="92"/>
      <c r="B48" s="2"/>
      <c r="C48" s="4"/>
      <c r="D48" s="92"/>
      <c r="E48" s="2"/>
      <c r="F48" s="99"/>
      <c r="G48" s="92"/>
      <c r="H48" s="2"/>
      <c r="I48" s="58" t="s">
        <v>376</v>
      </c>
    </row>
    <row r="49" spans="1:9" x14ac:dyDescent="0.2">
      <c r="A49" s="92"/>
      <c r="B49" s="5" t="s">
        <v>377</v>
      </c>
      <c r="C49" s="3" t="s">
        <v>378</v>
      </c>
      <c r="D49" s="92"/>
      <c r="E49" s="100"/>
      <c r="F49" s="3"/>
      <c r="G49" s="92"/>
      <c r="I49" s="3"/>
    </row>
    <row r="50" spans="1:9" x14ac:dyDescent="0.2">
      <c r="A50" s="92"/>
      <c r="B50" s="5" t="s">
        <v>379</v>
      </c>
      <c r="C50" s="3" t="s">
        <v>30</v>
      </c>
      <c r="D50" s="92"/>
      <c r="E50" s="100" t="s">
        <v>168</v>
      </c>
      <c r="F50" s="3" t="s">
        <v>30</v>
      </c>
      <c r="G50" s="92"/>
      <c r="H50" s="3" t="s">
        <v>169</v>
      </c>
      <c r="I50" s="3" t="s">
        <v>30</v>
      </c>
    </row>
    <row r="51" spans="1:9" x14ac:dyDescent="0.2">
      <c r="A51" s="92"/>
      <c r="B51" s="5" t="s">
        <v>380</v>
      </c>
      <c r="C51" s="10" t="s">
        <v>21</v>
      </c>
      <c r="D51" s="4"/>
      <c r="E51" s="100" t="s">
        <v>170</v>
      </c>
      <c r="F51" s="10" t="s">
        <v>21</v>
      </c>
      <c r="G51" s="4"/>
      <c r="H51" s="3" t="s">
        <v>171</v>
      </c>
      <c r="I51" s="10" t="s">
        <v>21</v>
      </c>
    </row>
    <row r="52" spans="1:9" ht="20.399999999999999" x14ac:dyDescent="0.2">
      <c r="A52" s="92"/>
      <c r="B52" s="5"/>
      <c r="C52" s="10"/>
      <c r="D52" s="4"/>
      <c r="E52" s="100" t="s">
        <v>172</v>
      </c>
      <c r="F52" s="26" t="s">
        <v>6</v>
      </c>
      <c r="G52" s="4"/>
      <c r="H52" s="3"/>
      <c r="I52" s="10"/>
    </row>
    <row r="53" spans="1:9" x14ac:dyDescent="0.25">
      <c r="A53" s="92"/>
      <c r="B53" s="3"/>
      <c r="C53" s="3"/>
      <c r="D53" s="92"/>
      <c r="E53" s="2" t="s">
        <v>157</v>
      </c>
      <c r="F53" s="1"/>
      <c r="G53" s="92"/>
      <c r="H53" s="96"/>
      <c r="I53" s="1"/>
    </row>
    <row r="54" spans="1:9" ht="20.399999999999999" x14ac:dyDescent="0.25">
      <c r="A54" s="92"/>
      <c r="B54" s="3"/>
      <c r="C54" s="3"/>
      <c r="D54" s="92"/>
      <c r="E54" s="3" t="s">
        <v>158</v>
      </c>
      <c r="F54" s="3" t="s">
        <v>159</v>
      </c>
      <c r="G54" s="92"/>
      <c r="H54" s="96"/>
      <c r="I54" s="1"/>
    </row>
    <row r="55" spans="1:9" ht="20.399999999999999" x14ac:dyDescent="0.25">
      <c r="A55" s="92"/>
      <c r="B55" s="3"/>
      <c r="C55" s="3"/>
      <c r="D55" s="92"/>
      <c r="E55" s="3" t="s">
        <v>160</v>
      </c>
      <c r="F55" s="3" t="s">
        <v>161</v>
      </c>
      <c r="G55" s="92"/>
      <c r="H55" s="96"/>
      <c r="I55" s="1"/>
    </row>
    <row r="56" spans="1:9" ht="20.399999999999999" x14ac:dyDescent="0.25">
      <c r="A56" s="92"/>
      <c r="B56" s="3"/>
      <c r="C56" s="3"/>
      <c r="D56" s="92"/>
      <c r="E56" s="3" t="s">
        <v>162</v>
      </c>
      <c r="F56" s="3" t="s">
        <v>163</v>
      </c>
      <c r="G56" s="92"/>
      <c r="H56" s="96"/>
      <c r="I56" s="1"/>
    </row>
    <row r="57" spans="1:9" ht="20.399999999999999" x14ac:dyDescent="0.25">
      <c r="A57" s="92"/>
      <c r="B57" s="3"/>
      <c r="C57" s="3"/>
      <c r="D57" s="92"/>
      <c r="E57" s="3" t="s">
        <v>164</v>
      </c>
      <c r="F57" s="3" t="s">
        <v>165</v>
      </c>
      <c r="G57" s="92"/>
      <c r="H57" s="96"/>
      <c r="I57" s="1"/>
    </row>
    <row r="58" spans="1:9" ht="20.399999999999999" x14ac:dyDescent="0.25">
      <c r="A58" s="92"/>
      <c r="B58" s="3"/>
      <c r="C58" s="3"/>
      <c r="D58" s="92"/>
      <c r="E58" s="3" t="s">
        <v>166</v>
      </c>
      <c r="F58" s="3" t="s">
        <v>167</v>
      </c>
      <c r="G58" s="92"/>
      <c r="H58" s="96"/>
      <c r="I58" s="1"/>
    </row>
    <row r="59" spans="1:9" s="175" customFormat="1" ht="48" customHeight="1" x14ac:dyDescent="0.25">
      <c r="A59" s="176"/>
      <c r="B59" s="177" t="s">
        <v>951</v>
      </c>
      <c r="C59" s="178"/>
      <c r="D59" s="179"/>
      <c r="E59" s="957" t="s">
        <v>949</v>
      </c>
      <c r="F59" s="958"/>
      <c r="G59" s="179"/>
      <c r="H59" s="957" t="s">
        <v>381</v>
      </c>
      <c r="I59" s="958"/>
    </row>
    <row r="60" spans="1:9" ht="16.5" customHeight="1" x14ac:dyDescent="0.2">
      <c r="A60" s="101"/>
      <c r="B60" s="102" t="s">
        <v>382</v>
      </c>
      <c r="D60" s="93"/>
      <c r="E60" s="102" t="s">
        <v>174</v>
      </c>
      <c r="F60" s="103"/>
      <c r="G60" s="93"/>
      <c r="H60" s="180"/>
      <c r="I60" s="181"/>
    </row>
    <row r="61" spans="1:9" ht="13.5" customHeight="1" x14ac:dyDescent="0.2">
      <c r="A61" s="104"/>
      <c r="B61" s="20" t="s">
        <v>383</v>
      </c>
      <c r="C61" s="187" t="s">
        <v>384</v>
      </c>
      <c r="D61" s="92"/>
      <c r="E61" s="20"/>
      <c r="F61" s="187" t="s">
        <v>385</v>
      </c>
      <c r="G61" s="92"/>
      <c r="H61" s="67"/>
      <c r="I61" s="67"/>
    </row>
    <row r="62" spans="1:9" ht="13.5" customHeight="1" x14ac:dyDescent="0.2">
      <c r="A62" s="104"/>
      <c r="B62" s="20" t="s">
        <v>386</v>
      </c>
      <c r="C62" s="187" t="s">
        <v>387</v>
      </c>
      <c r="D62" s="92"/>
      <c r="E62" s="105"/>
      <c r="F62" s="187" t="s">
        <v>385</v>
      </c>
      <c r="G62" s="92"/>
      <c r="H62" s="67"/>
      <c r="I62" s="67"/>
    </row>
    <row r="63" spans="1:9" ht="13.5" customHeight="1" x14ac:dyDescent="0.2">
      <c r="A63" s="104"/>
      <c r="B63" s="20" t="s">
        <v>388</v>
      </c>
      <c r="C63" s="106" t="s">
        <v>389</v>
      </c>
      <c r="D63" s="92"/>
      <c r="E63" s="36" t="s">
        <v>175</v>
      </c>
      <c r="F63" s="33" t="s">
        <v>176</v>
      </c>
      <c r="G63" s="92"/>
      <c r="H63" s="67"/>
      <c r="I63" s="67"/>
    </row>
    <row r="64" spans="1:9" ht="13.5" customHeight="1" x14ac:dyDescent="0.2">
      <c r="A64" s="104"/>
      <c r="B64" s="107" t="s">
        <v>390</v>
      </c>
      <c r="C64" s="21" t="s">
        <v>40</v>
      </c>
      <c r="D64" s="92"/>
      <c r="E64" s="36" t="s">
        <v>177</v>
      </c>
      <c r="F64" s="21" t="s">
        <v>40</v>
      </c>
      <c r="G64" s="92"/>
      <c r="H64" s="108"/>
      <c r="I64" s="106"/>
    </row>
    <row r="65" spans="1:9" x14ac:dyDescent="0.2">
      <c r="A65" s="92"/>
      <c r="B65" s="5" t="s">
        <v>391</v>
      </c>
      <c r="C65" s="3" t="s">
        <v>392</v>
      </c>
      <c r="D65" s="92"/>
      <c r="E65" s="5" t="s">
        <v>86</v>
      </c>
      <c r="F65" s="3" t="s">
        <v>178</v>
      </c>
      <c r="G65" s="92"/>
      <c r="H65" s="5"/>
      <c r="I65" s="3"/>
    </row>
    <row r="66" spans="1:9" ht="27" customHeight="1" x14ac:dyDescent="0.2">
      <c r="A66" s="93"/>
      <c r="B66" s="959" t="s">
        <v>393</v>
      </c>
      <c r="C66" s="960"/>
      <c r="D66" s="93"/>
      <c r="E66" s="109"/>
      <c r="G66" s="93"/>
      <c r="H66" s="959" t="s">
        <v>394</v>
      </c>
      <c r="I66" s="960"/>
    </row>
    <row r="67" spans="1:9" s="175" customFormat="1" ht="20.399999999999999" x14ac:dyDescent="0.25">
      <c r="A67" s="93"/>
      <c r="B67" s="25" t="s">
        <v>395</v>
      </c>
      <c r="C67" s="31" t="s">
        <v>83</v>
      </c>
      <c r="D67" s="93"/>
      <c r="E67" s="25" t="s">
        <v>105</v>
      </c>
      <c r="F67" s="31" t="s">
        <v>83</v>
      </c>
      <c r="G67" s="93"/>
      <c r="H67" s="25" t="s">
        <v>175</v>
      </c>
      <c r="I67" s="44" t="s">
        <v>1056</v>
      </c>
    </row>
    <row r="68" spans="1:9" x14ac:dyDescent="0.2">
      <c r="A68" s="4"/>
      <c r="B68" s="2" t="s">
        <v>396</v>
      </c>
      <c r="C68" s="4"/>
      <c r="D68" s="4"/>
      <c r="E68" s="2" t="s">
        <v>179</v>
      </c>
      <c r="F68" s="4"/>
      <c r="G68" s="4"/>
      <c r="H68" s="2"/>
      <c r="I68" s="4"/>
    </row>
    <row r="69" spans="1:9" ht="20.399999999999999" x14ac:dyDescent="0.25">
      <c r="A69" s="4"/>
      <c r="B69" s="16" t="s">
        <v>397</v>
      </c>
      <c r="C69" s="110" t="s">
        <v>398</v>
      </c>
      <c r="D69" s="4"/>
      <c r="E69" s="1"/>
      <c r="F69" s="110" t="s">
        <v>399</v>
      </c>
      <c r="G69" s="4"/>
      <c r="H69" s="105"/>
      <c r="I69" s="111"/>
    </row>
    <row r="70" spans="1:9" ht="20.399999999999999" x14ac:dyDescent="0.2">
      <c r="A70" s="4"/>
      <c r="B70" s="16" t="s">
        <v>400</v>
      </c>
      <c r="C70" s="110" t="s">
        <v>401</v>
      </c>
      <c r="D70" s="4"/>
      <c r="E70" s="16" t="s">
        <v>180</v>
      </c>
      <c r="F70" s="3" t="s">
        <v>181</v>
      </c>
      <c r="G70" s="4"/>
      <c r="H70" s="105"/>
      <c r="I70" s="112"/>
    </row>
    <row r="71" spans="1:9" ht="20.399999999999999" x14ac:dyDescent="0.2">
      <c r="A71" s="4"/>
      <c r="B71" s="16" t="s">
        <v>402</v>
      </c>
      <c r="C71" s="10" t="s">
        <v>403</v>
      </c>
      <c r="D71" s="4"/>
      <c r="E71" s="16"/>
      <c r="F71" s="10" t="s">
        <v>404</v>
      </c>
      <c r="G71" s="4"/>
      <c r="H71" s="16"/>
      <c r="I71" s="10"/>
    </row>
    <row r="72" spans="1:9" ht="20.399999999999999" x14ac:dyDescent="0.2">
      <c r="A72" s="4"/>
      <c r="B72" s="16" t="s">
        <v>405</v>
      </c>
      <c r="C72" s="3" t="s">
        <v>46</v>
      </c>
      <c r="D72" s="4"/>
      <c r="E72" s="16" t="s">
        <v>182</v>
      </c>
      <c r="F72" s="3" t="s">
        <v>46</v>
      </c>
      <c r="G72" s="4"/>
      <c r="H72" s="16"/>
      <c r="I72" s="3"/>
    </row>
    <row r="73" spans="1:9" ht="15" customHeight="1" x14ac:dyDescent="0.2">
      <c r="A73" s="4"/>
      <c r="B73" s="16" t="s">
        <v>406</v>
      </c>
      <c r="C73" s="3" t="s">
        <v>47</v>
      </c>
      <c r="D73" s="4"/>
      <c r="E73" s="16" t="s">
        <v>87</v>
      </c>
      <c r="F73" s="3" t="s">
        <v>47</v>
      </c>
      <c r="G73" s="4"/>
      <c r="H73" s="16"/>
      <c r="I73" s="3"/>
    </row>
    <row r="74" spans="1:9" ht="20.399999999999999" x14ac:dyDescent="0.2">
      <c r="A74" s="4"/>
      <c r="B74" s="16" t="s">
        <v>407</v>
      </c>
      <c r="C74" s="3" t="s">
        <v>2</v>
      </c>
      <c r="D74" s="4"/>
      <c r="E74" s="16" t="s">
        <v>183</v>
      </c>
      <c r="F74" s="3" t="s">
        <v>2</v>
      </c>
      <c r="G74" s="4"/>
      <c r="H74" s="16"/>
      <c r="I74" s="3"/>
    </row>
    <row r="75" spans="1:9" x14ac:dyDescent="0.2">
      <c r="A75" s="4"/>
      <c r="B75" s="2" t="s">
        <v>408</v>
      </c>
      <c r="C75" s="17"/>
      <c r="D75" s="4"/>
      <c r="E75" s="2" t="s">
        <v>184</v>
      </c>
      <c r="F75" s="17"/>
      <c r="G75" s="4"/>
      <c r="H75" s="2" t="s">
        <v>184</v>
      </c>
      <c r="I75" s="17"/>
    </row>
    <row r="76" spans="1:9" ht="24.75" customHeight="1" x14ac:dyDescent="0.2">
      <c r="A76" s="4"/>
      <c r="B76" s="5" t="s">
        <v>409</v>
      </c>
      <c r="C76" s="18" t="s">
        <v>410</v>
      </c>
      <c r="D76" s="4"/>
      <c r="E76" s="5" t="s">
        <v>125</v>
      </c>
      <c r="F76" s="114" t="s">
        <v>915</v>
      </c>
      <c r="G76" s="115"/>
      <c r="H76" s="5" t="s">
        <v>185</v>
      </c>
      <c r="I76" s="114" t="s">
        <v>916</v>
      </c>
    </row>
    <row r="77" spans="1:9" ht="15" customHeight="1" x14ac:dyDescent="0.2">
      <c r="A77" s="4"/>
      <c r="B77" s="5" t="s">
        <v>411</v>
      </c>
      <c r="C77" s="18" t="s">
        <v>412</v>
      </c>
      <c r="D77" s="4"/>
      <c r="E77" s="5"/>
      <c r="F77" s="114" t="s">
        <v>404</v>
      </c>
      <c r="G77" s="115"/>
      <c r="H77" s="5"/>
      <c r="I77" s="114" t="s">
        <v>404</v>
      </c>
    </row>
    <row r="78" spans="1:9" ht="20.399999999999999" x14ac:dyDescent="0.2">
      <c r="A78" s="4"/>
      <c r="B78" s="5" t="s">
        <v>413</v>
      </c>
      <c r="C78" s="18" t="s">
        <v>48</v>
      </c>
      <c r="D78" s="4"/>
      <c r="E78" s="5" t="s">
        <v>186</v>
      </c>
      <c r="F78" s="114" t="s">
        <v>48</v>
      </c>
      <c r="G78" s="115"/>
    </row>
    <row r="79" spans="1:9" ht="13.5" customHeight="1" x14ac:dyDescent="0.2">
      <c r="A79" s="4"/>
      <c r="B79" s="5"/>
      <c r="C79" s="18"/>
      <c r="D79" s="4"/>
      <c r="E79" s="5" t="s">
        <v>187</v>
      </c>
      <c r="F79" s="100" t="s">
        <v>188</v>
      </c>
      <c r="G79" s="115"/>
      <c r="H79" s="5"/>
      <c r="I79" s="114"/>
    </row>
    <row r="80" spans="1:9" ht="24.75" customHeight="1" x14ac:dyDescent="0.2">
      <c r="A80" s="4"/>
      <c r="B80" s="5"/>
      <c r="C80" s="18"/>
      <c r="D80" s="4"/>
      <c r="E80" s="12"/>
      <c r="F80" s="100"/>
      <c r="G80" s="115"/>
      <c r="H80" s="5" t="s">
        <v>88</v>
      </c>
      <c r="I80" s="52" t="s">
        <v>1057</v>
      </c>
    </row>
    <row r="81" spans="1:9" ht="14.25" customHeight="1" x14ac:dyDescent="0.25">
      <c r="A81" s="4"/>
      <c r="B81" s="5" t="s">
        <v>414</v>
      </c>
      <c r="C81" s="3" t="s">
        <v>415</v>
      </c>
      <c r="D81" s="4"/>
      <c r="E81" s="1"/>
      <c r="F81" s="3"/>
      <c r="G81" s="4"/>
      <c r="H81" s="5"/>
      <c r="I81" s="3"/>
    </row>
    <row r="82" spans="1:9" ht="14.25" customHeight="1" x14ac:dyDescent="0.2">
      <c r="A82" s="4"/>
      <c r="B82" s="5" t="s">
        <v>416</v>
      </c>
      <c r="C82" s="3" t="s">
        <v>417</v>
      </c>
      <c r="D82" s="4"/>
      <c r="E82" s="5"/>
      <c r="F82" s="3"/>
      <c r="G82" s="4"/>
      <c r="H82" s="5"/>
      <c r="I82" s="3"/>
    </row>
    <row r="83" spans="1:9" ht="20.399999999999999" x14ac:dyDescent="0.2">
      <c r="A83" s="4"/>
      <c r="B83" s="5" t="s">
        <v>418</v>
      </c>
      <c r="C83" s="3" t="s">
        <v>419</v>
      </c>
      <c r="D83" s="93"/>
      <c r="E83" s="5"/>
      <c r="F83" s="3" t="s">
        <v>399</v>
      </c>
      <c r="G83" s="93"/>
      <c r="H83" s="5"/>
      <c r="I83" s="3"/>
    </row>
    <row r="84" spans="1:9" s="175" customFormat="1" ht="15.75" customHeight="1" x14ac:dyDescent="0.25">
      <c r="A84" s="57"/>
      <c r="B84" s="5" t="s">
        <v>420</v>
      </c>
      <c r="C84" s="3" t="s">
        <v>25</v>
      </c>
      <c r="D84" s="93"/>
      <c r="E84" s="5" t="s">
        <v>189</v>
      </c>
      <c r="F84" s="100" t="s">
        <v>25</v>
      </c>
      <c r="G84" s="93"/>
      <c r="H84" s="113"/>
      <c r="I84" s="95"/>
    </row>
    <row r="85" spans="1:9" ht="15.6" x14ac:dyDescent="0.25">
      <c r="A85" s="86"/>
      <c r="B85" s="87" t="s">
        <v>952</v>
      </c>
      <c r="C85" s="88"/>
      <c r="D85"/>
      <c r="E85"/>
      <c r="F85"/>
      <c r="G85"/>
      <c r="H85"/>
      <c r="I85"/>
    </row>
    <row r="86" spans="1:9" x14ac:dyDescent="0.2">
      <c r="A86" s="92"/>
      <c r="B86" s="8" t="s">
        <v>917</v>
      </c>
      <c r="C86" s="4"/>
      <c r="D86" s="92"/>
      <c r="E86" s="102" t="s">
        <v>190</v>
      </c>
      <c r="F86" s="4"/>
      <c r="G86" s="92"/>
      <c r="H86" s="8"/>
      <c r="I86" s="4"/>
    </row>
    <row r="87" spans="1:9" x14ac:dyDescent="0.2">
      <c r="A87" s="92"/>
      <c r="B87" s="8"/>
      <c r="C87" s="4"/>
      <c r="D87" s="92"/>
      <c r="E87" s="37" t="s">
        <v>185</v>
      </c>
      <c r="F87" s="4" t="s">
        <v>191</v>
      </c>
      <c r="G87" s="92"/>
      <c r="H87" s="8"/>
      <c r="I87" s="4"/>
    </row>
    <row r="88" spans="1:9" ht="13.5" customHeight="1" x14ac:dyDescent="0.2">
      <c r="A88" s="92"/>
      <c r="B88" s="5" t="s">
        <v>421</v>
      </c>
      <c r="C88" s="3" t="s">
        <v>422</v>
      </c>
      <c r="D88" s="92"/>
      <c r="E88" s="5"/>
      <c r="F88" s="3"/>
      <c r="G88" s="92"/>
      <c r="H88" s="5"/>
      <c r="I88" s="3"/>
    </row>
    <row r="89" spans="1:9" ht="13.5" customHeight="1" x14ac:dyDescent="0.2">
      <c r="A89" s="92"/>
      <c r="B89" s="5" t="s">
        <v>423</v>
      </c>
      <c r="C89" s="3" t="s">
        <v>63</v>
      </c>
      <c r="D89" s="92"/>
      <c r="E89" s="5" t="s">
        <v>89</v>
      </c>
      <c r="F89" s="3" t="s">
        <v>63</v>
      </c>
      <c r="G89" s="92"/>
      <c r="H89" s="5" t="s">
        <v>177</v>
      </c>
      <c r="I89" s="3" t="s">
        <v>63</v>
      </c>
    </row>
    <row r="90" spans="1:9" ht="13.5" customHeight="1" x14ac:dyDescent="0.2">
      <c r="A90" s="92"/>
      <c r="B90" s="5" t="s">
        <v>424</v>
      </c>
      <c r="C90" s="3" t="s">
        <v>425</v>
      </c>
      <c r="D90" s="92"/>
      <c r="E90" s="5"/>
      <c r="F90" s="3"/>
      <c r="G90" s="92"/>
      <c r="H90" s="5"/>
      <c r="I90" s="3"/>
    </row>
    <row r="91" spans="1:9" ht="13.5" customHeight="1" x14ac:dyDescent="0.2">
      <c r="A91" s="92"/>
      <c r="B91" s="5" t="s">
        <v>426</v>
      </c>
      <c r="C91" s="3" t="s">
        <v>427</v>
      </c>
      <c r="D91" s="92"/>
      <c r="E91" s="37" t="s">
        <v>192</v>
      </c>
      <c r="F91" s="57" t="s">
        <v>10</v>
      </c>
      <c r="G91" s="92"/>
      <c r="H91" s="5"/>
      <c r="I91" s="3"/>
    </row>
    <row r="92" spans="1:9" ht="13.5" customHeight="1" x14ac:dyDescent="0.2">
      <c r="A92" s="92"/>
      <c r="B92" s="5" t="s">
        <v>428</v>
      </c>
      <c r="C92" s="3" t="s">
        <v>429</v>
      </c>
      <c r="D92" s="92"/>
      <c r="E92" s="5"/>
      <c r="F92" s="3"/>
      <c r="G92" s="92"/>
      <c r="H92" s="5"/>
      <c r="I92" s="3"/>
    </row>
    <row r="93" spans="1:9" ht="16.5" customHeight="1" x14ac:dyDescent="0.2">
      <c r="A93" s="92"/>
      <c r="B93" s="5" t="s">
        <v>430</v>
      </c>
      <c r="C93" s="34" t="s">
        <v>82</v>
      </c>
      <c r="D93" s="93"/>
      <c r="E93" s="37" t="s">
        <v>88</v>
      </c>
      <c r="F93" s="57" t="s">
        <v>82</v>
      </c>
      <c r="G93" s="93"/>
      <c r="H93" s="5" t="s">
        <v>105</v>
      </c>
      <c r="I93" s="57" t="s">
        <v>82</v>
      </c>
    </row>
    <row r="94" spans="1:9" x14ac:dyDescent="0.2">
      <c r="A94" s="92"/>
      <c r="B94" s="113"/>
      <c r="C94" s="116"/>
      <c r="D94" s="92"/>
      <c r="E94" s="5" t="s">
        <v>193</v>
      </c>
      <c r="F94" s="34" t="s">
        <v>194</v>
      </c>
      <c r="G94" s="92"/>
      <c r="H94" s="94"/>
      <c r="I94" s="117"/>
    </row>
    <row r="95" spans="1:9" x14ac:dyDescent="0.2">
      <c r="A95" s="92"/>
      <c r="B95" s="8" t="s">
        <v>431</v>
      </c>
      <c r="C95" s="4"/>
      <c r="D95" s="92"/>
      <c r="E95" s="8" t="s">
        <v>431</v>
      </c>
      <c r="F95" s="4"/>
      <c r="G95" s="92"/>
      <c r="H95" s="8" t="s">
        <v>431</v>
      </c>
      <c r="I95" s="4"/>
    </row>
    <row r="96" spans="1:9" x14ac:dyDescent="0.2">
      <c r="A96" s="92"/>
      <c r="B96" s="9" t="s">
        <v>432</v>
      </c>
      <c r="C96" s="3" t="s">
        <v>433</v>
      </c>
      <c r="D96" s="92"/>
      <c r="E96" s="9"/>
      <c r="F96" s="3" t="s">
        <v>434</v>
      </c>
      <c r="G96" s="92"/>
      <c r="H96" s="9"/>
      <c r="I96" s="3" t="s">
        <v>434</v>
      </c>
    </row>
    <row r="97" spans="1:10" x14ac:dyDescent="0.2">
      <c r="A97" s="92"/>
      <c r="B97" s="9" t="s">
        <v>435</v>
      </c>
      <c r="C97" s="3" t="s">
        <v>436</v>
      </c>
      <c r="D97" s="92"/>
      <c r="E97" s="9"/>
      <c r="F97" s="3" t="s">
        <v>434</v>
      </c>
      <c r="G97" s="92"/>
      <c r="H97" s="9"/>
      <c r="I97" s="3" t="s">
        <v>434</v>
      </c>
    </row>
    <row r="98" spans="1:10" x14ac:dyDescent="0.2">
      <c r="A98" s="92"/>
      <c r="B98" s="9" t="s">
        <v>437</v>
      </c>
      <c r="C98" s="3" t="s">
        <v>42</v>
      </c>
      <c r="D98" s="4"/>
      <c r="E98" s="9" t="s">
        <v>195</v>
      </c>
      <c r="F98" s="3" t="s">
        <v>42</v>
      </c>
      <c r="G98" s="4"/>
      <c r="H98" s="9" t="s">
        <v>195</v>
      </c>
      <c r="I98" s="3" t="s">
        <v>42</v>
      </c>
    </row>
    <row r="99" spans="1:10" x14ac:dyDescent="0.2">
      <c r="A99" s="92"/>
      <c r="B99" s="9" t="s">
        <v>438</v>
      </c>
      <c r="C99" s="3" t="s">
        <v>64</v>
      </c>
      <c r="D99" s="4"/>
      <c r="E99" s="9" t="s">
        <v>90</v>
      </c>
      <c r="F99" s="3" t="s">
        <v>64</v>
      </c>
      <c r="G99" s="4"/>
      <c r="H99" s="9" t="s">
        <v>90</v>
      </c>
      <c r="I99" s="3" t="s">
        <v>64</v>
      </c>
    </row>
    <row r="100" spans="1:10" ht="20.399999999999999" x14ac:dyDescent="0.2">
      <c r="A100" s="92"/>
      <c r="B100" s="9" t="s">
        <v>439</v>
      </c>
      <c r="C100" s="3" t="s">
        <v>440</v>
      </c>
      <c r="D100" s="93"/>
      <c r="E100" s="9"/>
      <c r="F100" s="3"/>
      <c r="G100" s="93"/>
      <c r="H100" s="9"/>
      <c r="I100" s="3"/>
    </row>
    <row r="101" spans="1:10" x14ac:dyDescent="0.25">
      <c r="A101" s="93"/>
      <c r="B101" s="9" t="s">
        <v>442</v>
      </c>
      <c r="C101" s="3" t="s">
        <v>78</v>
      </c>
      <c r="D101" s="93"/>
      <c r="E101" s="9" t="s">
        <v>91</v>
      </c>
      <c r="F101" s="3" t="s">
        <v>78</v>
      </c>
      <c r="G101" s="93"/>
      <c r="H101" s="9" t="s">
        <v>91</v>
      </c>
      <c r="I101" s="3" t="s">
        <v>78</v>
      </c>
    </row>
    <row r="102" spans="1:10" x14ac:dyDescent="0.2">
      <c r="A102" s="93"/>
      <c r="B102" s="9" t="s">
        <v>443</v>
      </c>
      <c r="C102" s="3" t="s">
        <v>444</v>
      </c>
      <c r="D102" s="93"/>
      <c r="E102" s="9"/>
      <c r="F102" s="3"/>
      <c r="G102" s="93"/>
    </row>
    <row r="103" spans="1:10" ht="14.25" customHeight="1" x14ac:dyDescent="0.25">
      <c r="A103" s="93"/>
      <c r="B103" s="3" t="s">
        <v>445</v>
      </c>
      <c r="C103" s="3" t="s">
        <v>446</v>
      </c>
      <c r="D103" s="3"/>
      <c r="E103" s="3"/>
      <c r="F103" s="3"/>
      <c r="G103" s="93"/>
      <c r="H103" s="9"/>
      <c r="I103" s="3"/>
    </row>
    <row r="104" spans="1:10" ht="15.75" customHeight="1" x14ac:dyDescent="0.2">
      <c r="A104" s="93"/>
      <c r="B104" s="3"/>
      <c r="C104" s="3"/>
      <c r="D104" s="3"/>
      <c r="E104" s="53" t="s">
        <v>196</v>
      </c>
      <c r="F104" s="3" t="s">
        <v>318</v>
      </c>
      <c r="G104" s="3"/>
    </row>
    <row r="105" spans="1:10" x14ac:dyDescent="0.25">
      <c r="A105" s="93"/>
      <c r="B105" s="3"/>
      <c r="C105" s="3"/>
      <c r="D105" s="3"/>
      <c r="E105" s="3" t="s">
        <v>317</v>
      </c>
      <c r="F105" s="3" t="s">
        <v>197</v>
      </c>
      <c r="G105" s="3"/>
      <c r="H105" s="3"/>
      <c r="I105" s="3"/>
    </row>
    <row r="106" spans="1:10" x14ac:dyDescent="0.2">
      <c r="A106" s="92"/>
      <c r="B106" s="8" t="s">
        <v>447</v>
      </c>
      <c r="C106" s="4"/>
      <c r="D106" s="92"/>
      <c r="E106" s="8"/>
      <c r="F106" s="4"/>
      <c r="G106" s="92"/>
      <c r="H106" s="8"/>
      <c r="I106" s="4"/>
    </row>
    <row r="107" spans="1:10" x14ac:dyDescent="0.2">
      <c r="A107" s="92"/>
      <c r="B107" s="9" t="s">
        <v>448</v>
      </c>
      <c r="C107" s="3" t="s">
        <v>449</v>
      </c>
      <c r="D107" s="92"/>
      <c r="E107" s="9"/>
      <c r="F107" s="3" t="s">
        <v>1069</v>
      </c>
      <c r="G107" s="92"/>
      <c r="H107" s="9"/>
      <c r="I107" s="3"/>
      <c r="J107" t="s">
        <v>1070</v>
      </c>
    </row>
    <row r="108" spans="1:10" x14ac:dyDescent="0.2">
      <c r="A108" s="92"/>
      <c r="B108" s="9" t="s">
        <v>451</v>
      </c>
      <c r="C108" s="3" t="s">
        <v>452</v>
      </c>
      <c r="D108" s="92"/>
      <c r="E108" s="9"/>
      <c r="F108" s="3" t="s">
        <v>1069</v>
      </c>
      <c r="G108" s="92"/>
      <c r="H108" s="9"/>
      <c r="I108" s="3"/>
      <c r="J108" t="s">
        <v>1070</v>
      </c>
    </row>
    <row r="109" spans="1:10" x14ac:dyDescent="0.2">
      <c r="A109" s="92"/>
      <c r="B109" s="9" t="s">
        <v>453</v>
      </c>
      <c r="C109" s="3" t="s">
        <v>454</v>
      </c>
      <c r="D109" s="92"/>
      <c r="E109" s="9"/>
      <c r="F109" s="3" t="s">
        <v>1069</v>
      </c>
      <c r="G109" s="92"/>
      <c r="H109" s="9"/>
      <c r="I109" s="3"/>
      <c r="J109" t="s">
        <v>1070</v>
      </c>
    </row>
    <row r="110" spans="1:10" ht="17.25" customHeight="1" x14ac:dyDescent="0.2">
      <c r="A110" s="93"/>
      <c r="B110" s="8" t="s">
        <v>455</v>
      </c>
      <c r="C110" s="4"/>
      <c r="D110" s="93"/>
      <c r="E110" s="961"/>
      <c r="F110" s="962"/>
      <c r="G110" s="93"/>
      <c r="H110" s="961"/>
      <c r="I110" s="962"/>
    </row>
    <row r="111" spans="1:10" x14ac:dyDescent="0.2">
      <c r="A111" s="93"/>
      <c r="B111" s="5" t="s">
        <v>456</v>
      </c>
      <c r="C111" s="3" t="s">
        <v>457</v>
      </c>
      <c r="D111" s="4"/>
      <c r="E111" s="113"/>
      <c r="F111" s="3" t="s">
        <v>1069</v>
      </c>
      <c r="G111" s="4"/>
      <c r="H111" s="113"/>
      <c r="I111" s="3" t="s">
        <v>450</v>
      </c>
      <c r="J111" t="s">
        <v>1070</v>
      </c>
    </row>
    <row r="112" spans="1:10" x14ac:dyDescent="0.2">
      <c r="A112" s="92"/>
      <c r="B112" s="5" t="s">
        <v>458</v>
      </c>
      <c r="C112" s="3" t="s">
        <v>459</v>
      </c>
      <c r="D112" s="4"/>
      <c r="E112" s="113"/>
      <c r="F112" s="3" t="s">
        <v>1069</v>
      </c>
      <c r="G112" s="4"/>
      <c r="H112" s="113"/>
      <c r="I112" s="3"/>
      <c r="J112" t="s">
        <v>1070</v>
      </c>
    </row>
    <row r="113" spans="1:10" x14ac:dyDescent="0.2">
      <c r="A113" s="92"/>
      <c r="B113" s="5" t="s">
        <v>460</v>
      </c>
      <c r="C113" s="3" t="s">
        <v>461</v>
      </c>
      <c r="D113" s="4"/>
      <c r="E113" s="113"/>
      <c r="F113" s="3" t="s">
        <v>1069</v>
      </c>
      <c r="G113" s="4"/>
      <c r="H113" s="113"/>
      <c r="I113" s="3"/>
      <c r="J113" t="s">
        <v>1070</v>
      </c>
    </row>
    <row r="114" spans="1:10" ht="15.6" x14ac:dyDescent="0.25">
      <c r="A114" s="86"/>
      <c r="B114" s="87" t="s">
        <v>953</v>
      </c>
      <c r="C114" s="88"/>
      <c r="D114"/>
      <c r="E114"/>
      <c r="F114"/>
      <c r="G114"/>
      <c r="H114"/>
      <c r="I114"/>
    </row>
    <row r="115" spans="1:10" x14ac:dyDescent="0.2">
      <c r="A115" s="92"/>
      <c r="B115" s="2" t="s">
        <v>462</v>
      </c>
      <c r="C115" s="118"/>
      <c r="D115" s="92"/>
      <c r="E115" s="2"/>
      <c r="F115" s="119"/>
      <c r="G115" s="92"/>
      <c r="H115" s="2"/>
      <c r="I115" s="119"/>
    </row>
    <row r="116" spans="1:10" ht="20.399999999999999" x14ac:dyDescent="0.25">
      <c r="A116" s="93"/>
      <c r="B116" s="5" t="s">
        <v>463</v>
      </c>
      <c r="C116" s="3" t="s">
        <v>464</v>
      </c>
      <c r="D116" s="93"/>
      <c r="E116" s="5"/>
      <c r="F116" s="3" t="s">
        <v>1071</v>
      </c>
      <c r="G116" s="93"/>
      <c r="H116" s="5"/>
      <c r="I116" s="3"/>
      <c r="J116" t="s">
        <v>1070</v>
      </c>
    </row>
    <row r="117" spans="1:10" ht="20.399999999999999" x14ac:dyDescent="0.25">
      <c r="A117" s="93"/>
      <c r="B117" s="5" t="s">
        <v>465</v>
      </c>
      <c r="C117" s="10" t="s">
        <v>466</v>
      </c>
      <c r="D117" s="93"/>
      <c r="E117" s="5"/>
      <c r="F117" s="10" t="s">
        <v>927</v>
      </c>
      <c r="G117" s="93"/>
      <c r="H117" s="5"/>
      <c r="I117" s="10"/>
    </row>
    <row r="118" spans="1:10" ht="20.399999999999999" x14ac:dyDescent="0.25">
      <c r="A118" s="93"/>
      <c r="B118" s="5" t="s">
        <v>467</v>
      </c>
      <c r="C118" s="10" t="s">
        <v>468</v>
      </c>
      <c r="D118" s="93"/>
      <c r="E118" s="5"/>
      <c r="F118" s="10" t="s">
        <v>928</v>
      </c>
      <c r="G118" s="93"/>
      <c r="H118" s="5"/>
      <c r="I118" s="10"/>
    </row>
    <row r="119" spans="1:10" x14ac:dyDescent="0.25">
      <c r="A119" s="93"/>
      <c r="B119" s="5" t="s">
        <v>469</v>
      </c>
      <c r="C119" s="10" t="s">
        <v>470</v>
      </c>
      <c r="D119" s="93"/>
      <c r="E119" s="5"/>
      <c r="F119" s="10" t="s">
        <v>930</v>
      </c>
      <c r="G119" s="93"/>
      <c r="H119" s="5"/>
      <c r="I119" s="10"/>
    </row>
    <row r="120" spans="1:10" ht="15" customHeight="1" x14ac:dyDescent="0.25">
      <c r="A120" s="93"/>
      <c r="B120" s="5" t="s">
        <v>471</v>
      </c>
      <c r="C120" s="10" t="s">
        <v>472</v>
      </c>
      <c r="D120" s="93"/>
      <c r="E120" s="5"/>
      <c r="F120" s="10" t="s">
        <v>929</v>
      </c>
      <c r="G120" s="93"/>
      <c r="H120" s="5"/>
      <c r="I120" s="10"/>
    </row>
    <row r="121" spans="1:10" ht="20.399999999999999" x14ac:dyDescent="0.25">
      <c r="A121" s="93"/>
      <c r="B121" s="5" t="s">
        <v>473</v>
      </c>
      <c r="C121" s="3" t="s">
        <v>474</v>
      </c>
      <c r="D121" s="93"/>
      <c r="E121" s="5"/>
      <c r="F121" s="10" t="s">
        <v>931</v>
      </c>
      <c r="G121" s="93"/>
      <c r="H121" s="5"/>
      <c r="I121" s="3"/>
    </row>
    <row r="122" spans="1:10" x14ac:dyDescent="0.25">
      <c r="A122" s="93"/>
      <c r="B122" s="2" t="s">
        <v>475</v>
      </c>
      <c r="C122" s="119"/>
      <c r="D122" s="93"/>
      <c r="E122" s="2"/>
      <c r="F122" s="119"/>
      <c r="G122" s="93"/>
      <c r="H122" s="2"/>
      <c r="I122" s="119"/>
    </row>
    <row r="123" spans="1:10" ht="20.399999999999999" x14ac:dyDescent="0.25">
      <c r="A123" s="93"/>
      <c r="B123" s="3" t="s">
        <v>476</v>
      </c>
      <c r="C123" s="3" t="s">
        <v>477</v>
      </c>
      <c r="D123" s="3"/>
      <c r="E123" s="3"/>
      <c r="F123" s="10" t="s">
        <v>441</v>
      </c>
      <c r="G123" s="3"/>
      <c r="H123" s="3"/>
      <c r="I123" s="3"/>
    </row>
    <row r="124" spans="1:10" ht="20.399999999999999" x14ac:dyDescent="0.25">
      <c r="A124" s="93"/>
      <c r="B124" s="5" t="s">
        <v>478</v>
      </c>
      <c r="C124" s="3" t="s">
        <v>479</v>
      </c>
      <c r="D124" s="93"/>
      <c r="E124" s="5"/>
      <c r="F124" s="10" t="s">
        <v>441</v>
      </c>
      <c r="G124" s="93"/>
      <c r="H124" s="5"/>
      <c r="I124" s="3"/>
    </row>
    <row r="125" spans="1:10" ht="20.399999999999999" x14ac:dyDescent="0.25">
      <c r="A125" s="93"/>
      <c r="B125" s="5" t="s">
        <v>480</v>
      </c>
      <c r="C125" s="3" t="s">
        <v>481</v>
      </c>
      <c r="D125" s="93"/>
      <c r="E125" s="5"/>
      <c r="F125" s="10" t="s">
        <v>441</v>
      </c>
      <c r="G125" s="93"/>
      <c r="H125" s="5"/>
      <c r="I125" s="3"/>
    </row>
    <row r="126" spans="1:10" x14ac:dyDescent="0.2">
      <c r="A126" s="93"/>
      <c r="B126" s="2" t="s">
        <v>482</v>
      </c>
      <c r="C126" s="4"/>
      <c r="D126" s="93"/>
      <c r="E126" s="2"/>
      <c r="F126" s="4"/>
      <c r="G126" s="93"/>
      <c r="H126" s="2"/>
      <c r="I126" s="4"/>
    </row>
    <row r="127" spans="1:10" x14ac:dyDescent="0.2">
      <c r="A127" s="92"/>
      <c r="B127" s="5" t="s">
        <v>483</v>
      </c>
      <c r="C127" s="3" t="s">
        <v>484</v>
      </c>
      <c r="D127" s="92"/>
      <c r="E127" s="5"/>
      <c r="F127" s="10" t="s">
        <v>918</v>
      </c>
      <c r="G127" s="92"/>
      <c r="H127" s="5"/>
      <c r="I127" s="3"/>
    </row>
    <row r="128" spans="1:10" x14ac:dyDescent="0.2">
      <c r="A128" s="92"/>
      <c r="B128" s="5" t="s">
        <v>485</v>
      </c>
      <c r="C128" s="3" t="s">
        <v>486</v>
      </c>
      <c r="D128" s="92"/>
      <c r="E128" s="5"/>
      <c r="F128" s="10" t="s">
        <v>919</v>
      </c>
      <c r="G128" s="92"/>
      <c r="H128" s="5"/>
      <c r="I128" s="3"/>
    </row>
    <row r="129" spans="1:9" x14ac:dyDescent="0.2">
      <c r="A129" s="92"/>
      <c r="B129" s="2" t="s">
        <v>487</v>
      </c>
      <c r="C129" s="4"/>
      <c r="D129" s="92"/>
      <c r="E129" s="2"/>
      <c r="F129" s="4"/>
      <c r="G129" s="92"/>
      <c r="H129" s="2"/>
      <c r="I129" s="4"/>
    </row>
    <row r="130" spans="1:9" x14ac:dyDescent="0.25">
      <c r="A130" s="93"/>
      <c r="B130" s="5" t="s">
        <v>488</v>
      </c>
      <c r="C130" s="10" t="s">
        <v>489</v>
      </c>
      <c r="D130" s="93"/>
      <c r="E130" s="5"/>
      <c r="F130" s="10" t="s">
        <v>490</v>
      </c>
      <c r="G130" s="93"/>
      <c r="H130" s="5"/>
      <c r="I130" s="10"/>
    </row>
    <row r="131" spans="1:9" ht="20.399999999999999" x14ac:dyDescent="0.2">
      <c r="A131" s="92"/>
      <c r="B131" s="5" t="s">
        <v>491</v>
      </c>
      <c r="C131" s="10" t="s">
        <v>492</v>
      </c>
      <c r="D131" s="92"/>
      <c r="E131" s="5"/>
      <c r="F131" s="10" t="s">
        <v>493</v>
      </c>
      <c r="G131" s="92"/>
      <c r="H131" s="5"/>
      <c r="I131" s="10"/>
    </row>
    <row r="132" spans="1:9" ht="17.25" customHeight="1" x14ac:dyDescent="0.2">
      <c r="A132" s="92"/>
      <c r="B132" s="5" t="s">
        <v>494</v>
      </c>
      <c r="C132" s="10" t="s">
        <v>495</v>
      </c>
      <c r="D132" s="92"/>
      <c r="E132" s="5"/>
      <c r="F132" s="10" t="s">
        <v>490</v>
      </c>
      <c r="G132" s="92"/>
      <c r="H132" s="5"/>
      <c r="I132" s="10"/>
    </row>
    <row r="133" spans="1:9" ht="15.6" x14ac:dyDescent="0.25">
      <c r="A133" s="86"/>
      <c r="B133" s="87" t="s">
        <v>954</v>
      </c>
      <c r="C133" s="88"/>
      <c r="D133"/>
      <c r="E133"/>
      <c r="F133"/>
      <c r="G133"/>
      <c r="H133"/>
      <c r="I133"/>
    </row>
    <row r="134" spans="1:9" x14ac:dyDescent="0.2">
      <c r="A134" s="120"/>
      <c r="B134" s="2" t="s">
        <v>496</v>
      </c>
      <c r="C134" s="119"/>
      <c r="D134" s="120"/>
      <c r="E134" s="2"/>
      <c r="F134" s="119"/>
      <c r="G134" s="120"/>
      <c r="H134" s="2"/>
      <c r="I134" s="119"/>
    </row>
    <row r="135" spans="1:9" x14ac:dyDescent="0.25">
      <c r="A135" s="120"/>
      <c r="B135" s="5" t="s">
        <v>497</v>
      </c>
      <c r="C135" s="3" t="s">
        <v>498</v>
      </c>
      <c r="D135" s="120"/>
      <c r="E135" s="5"/>
      <c r="F135" s="3"/>
      <c r="G135" s="120"/>
      <c r="H135" s="5"/>
      <c r="I135" s="1"/>
    </row>
    <row r="136" spans="1:9" ht="20.399999999999999" x14ac:dyDescent="0.2">
      <c r="A136" s="120"/>
      <c r="B136" s="5" t="s">
        <v>499</v>
      </c>
      <c r="C136" s="3" t="s">
        <v>500</v>
      </c>
      <c r="D136" s="120"/>
      <c r="E136" s="5"/>
      <c r="F136" s="3" t="s">
        <v>1071</v>
      </c>
      <c r="G136" s="120"/>
      <c r="H136" s="5"/>
      <c r="I136" s="3"/>
    </row>
    <row r="137" spans="1:9" ht="20.399999999999999" x14ac:dyDescent="0.2">
      <c r="A137" s="120"/>
      <c r="B137" s="5" t="s">
        <v>501</v>
      </c>
      <c r="C137" s="10" t="s">
        <v>502</v>
      </c>
      <c r="D137" s="120"/>
      <c r="E137" s="5"/>
      <c r="F137" s="3" t="s">
        <v>920</v>
      </c>
      <c r="G137" s="120"/>
      <c r="H137" s="5"/>
      <c r="I137" s="10"/>
    </row>
    <row r="138" spans="1:9" ht="20.399999999999999" x14ac:dyDescent="0.2">
      <c r="A138" s="120"/>
      <c r="B138" s="5" t="s">
        <v>503</v>
      </c>
      <c r="C138" s="10" t="s">
        <v>504</v>
      </c>
      <c r="D138" s="120"/>
      <c r="E138" s="5"/>
      <c r="F138" s="3" t="s">
        <v>921</v>
      </c>
      <c r="G138" s="120"/>
      <c r="H138" s="5"/>
      <c r="I138" s="10"/>
    </row>
    <row r="139" spans="1:9" x14ac:dyDescent="0.2">
      <c r="A139" s="120"/>
      <c r="B139" s="5" t="s">
        <v>505</v>
      </c>
      <c r="C139" s="11" t="s">
        <v>506</v>
      </c>
      <c r="D139" s="120"/>
      <c r="E139" s="5"/>
      <c r="F139" s="3" t="s">
        <v>922</v>
      </c>
      <c r="G139" s="120"/>
      <c r="H139" s="5"/>
      <c r="I139" s="11"/>
    </row>
    <row r="140" spans="1:9" ht="12.75" customHeight="1" x14ac:dyDescent="0.2">
      <c r="A140" s="120"/>
      <c r="B140" s="5" t="s">
        <v>507</v>
      </c>
      <c r="C140" s="11" t="s">
        <v>508</v>
      </c>
      <c r="D140" s="120"/>
      <c r="E140" s="5"/>
      <c r="F140" s="3" t="s">
        <v>923</v>
      </c>
      <c r="G140" s="120"/>
      <c r="H140" s="5"/>
      <c r="I140" s="11"/>
    </row>
    <row r="141" spans="1:9" ht="20.399999999999999" x14ac:dyDescent="0.2">
      <c r="A141" s="120"/>
      <c r="B141" s="5" t="s">
        <v>509</v>
      </c>
      <c r="C141" s="3" t="s">
        <v>474</v>
      </c>
      <c r="D141" s="120"/>
      <c r="E141" s="5"/>
      <c r="F141" s="3" t="s">
        <v>924</v>
      </c>
      <c r="G141" s="120"/>
      <c r="H141" s="5"/>
      <c r="I141" s="3"/>
    </row>
    <row r="142" spans="1:9" x14ac:dyDescent="0.25">
      <c r="A142" s="120"/>
      <c r="B142" s="2" t="s">
        <v>510</v>
      </c>
      <c r="C142" s="119"/>
      <c r="D142" s="120"/>
      <c r="E142" s="2"/>
      <c r="F142" s="119"/>
      <c r="G142" s="120"/>
      <c r="H142" s="2"/>
      <c r="I142" s="1"/>
    </row>
    <row r="143" spans="1:9" x14ac:dyDescent="0.2">
      <c r="A143" s="120"/>
      <c r="B143" s="5" t="s">
        <v>511</v>
      </c>
      <c r="C143" s="3" t="s">
        <v>512</v>
      </c>
      <c r="D143" s="120"/>
      <c r="E143" s="5"/>
      <c r="F143" s="3" t="s">
        <v>925</v>
      </c>
      <c r="G143" s="120"/>
      <c r="H143" s="5"/>
      <c r="I143" s="3"/>
    </row>
    <row r="144" spans="1:9" ht="20.399999999999999" x14ac:dyDescent="0.2">
      <c r="A144" s="120"/>
      <c r="B144" s="5" t="s">
        <v>513</v>
      </c>
      <c r="C144" s="10" t="s">
        <v>514</v>
      </c>
      <c r="D144" s="120"/>
      <c r="E144" s="5"/>
      <c r="F144" s="3" t="s">
        <v>925</v>
      </c>
      <c r="G144" s="120"/>
      <c r="H144" s="5"/>
      <c r="I144" s="10"/>
    </row>
    <row r="145" spans="1:9" ht="40.799999999999997" x14ac:dyDescent="0.2">
      <c r="A145" s="120"/>
      <c r="B145" s="5" t="s">
        <v>515</v>
      </c>
      <c r="C145" s="3" t="s">
        <v>516</v>
      </c>
      <c r="D145" s="120"/>
      <c r="E145" s="5"/>
      <c r="F145" s="3" t="s">
        <v>926</v>
      </c>
      <c r="G145" s="120"/>
      <c r="H145" s="5"/>
      <c r="I145" s="3"/>
    </row>
    <row r="146" spans="1:9" ht="20.399999999999999" x14ac:dyDescent="0.2">
      <c r="A146" s="120"/>
      <c r="B146" s="5" t="s">
        <v>517</v>
      </c>
      <c r="C146" s="3" t="s">
        <v>518</v>
      </c>
      <c r="D146" s="120"/>
      <c r="E146" s="5"/>
      <c r="F146" s="3" t="s">
        <v>926</v>
      </c>
      <c r="G146" s="120"/>
      <c r="H146" s="5"/>
      <c r="I146" s="3"/>
    </row>
    <row r="147" spans="1:9" ht="40.799999999999997" x14ac:dyDescent="0.2">
      <c r="A147" s="120"/>
      <c r="B147" s="5" t="s">
        <v>519</v>
      </c>
      <c r="C147" s="3" t="s">
        <v>520</v>
      </c>
      <c r="D147" s="120"/>
      <c r="E147" s="5"/>
      <c r="F147" s="3" t="s">
        <v>926</v>
      </c>
      <c r="G147" s="120"/>
      <c r="H147" s="5"/>
      <c r="I147" s="3"/>
    </row>
    <row r="148" spans="1:9" ht="20.399999999999999" x14ac:dyDescent="0.2">
      <c r="A148" s="120"/>
      <c r="B148" s="12" t="s">
        <v>521</v>
      </c>
      <c r="C148" s="7" t="s">
        <v>522</v>
      </c>
      <c r="D148" s="120"/>
      <c r="E148" s="12"/>
      <c r="F148" s="3" t="s">
        <v>926</v>
      </c>
      <c r="G148" s="120"/>
      <c r="H148" s="12"/>
      <c r="I148" s="7"/>
    </row>
    <row r="149" spans="1:9" x14ac:dyDescent="0.2">
      <c r="A149" s="120"/>
      <c r="B149" s="12" t="s">
        <v>523</v>
      </c>
      <c r="C149" s="7" t="s">
        <v>524</v>
      </c>
      <c r="D149" s="120"/>
      <c r="E149" s="12"/>
      <c r="F149" s="3" t="s">
        <v>926</v>
      </c>
      <c r="G149" s="120"/>
      <c r="H149" s="12"/>
      <c r="I149" s="7"/>
    </row>
    <row r="150" spans="1:9" x14ac:dyDescent="0.2">
      <c r="A150" s="120"/>
      <c r="B150" s="12" t="s">
        <v>525</v>
      </c>
      <c r="C150" s="7" t="s">
        <v>526</v>
      </c>
      <c r="D150" s="120"/>
      <c r="E150" s="12"/>
      <c r="F150" s="3" t="s">
        <v>926</v>
      </c>
      <c r="G150" s="120"/>
      <c r="H150" s="12"/>
      <c r="I150" s="7"/>
    </row>
    <row r="151" spans="1:9" ht="20.399999999999999" x14ac:dyDescent="0.2">
      <c r="A151" s="120"/>
      <c r="B151" s="12" t="s">
        <v>527</v>
      </c>
      <c r="C151" s="7" t="s">
        <v>528</v>
      </c>
      <c r="D151" s="120"/>
      <c r="E151" s="12"/>
      <c r="F151" s="3" t="s">
        <v>926</v>
      </c>
      <c r="G151" s="120"/>
      <c r="H151" s="12"/>
      <c r="I151" s="7"/>
    </row>
    <row r="152" spans="1:9" x14ac:dyDescent="0.2">
      <c r="A152" s="92"/>
      <c r="B152" s="2" t="s">
        <v>529</v>
      </c>
      <c r="C152" s="4"/>
      <c r="D152" s="92"/>
      <c r="E152" s="2"/>
      <c r="F152" s="4"/>
      <c r="G152" s="92"/>
      <c r="H152" s="2"/>
      <c r="I152" s="4"/>
    </row>
    <row r="153" spans="1:9" x14ac:dyDescent="0.25">
      <c r="A153" s="93"/>
      <c r="B153" s="5" t="s">
        <v>530</v>
      </c>
      <c r="C153" s="3" t="s">
        <v>531</v>
      </c>
      <c r="D153" s="93"/>
      <c r="E153" s="5"/>
      <c r="F153" s="3" t="s">
        <v>532</v>
      </c>
      <c r="G153" s="93"/>
      <c r="H153" s="5"/>
      <c r="I153" s="97"/>
    </row>
    <row r="154" spans="1:9" x14ac:dyDescent="0.25">
      <c r="A154" s="93"/>
      <c r="B154" s="5" t="s">
        <v>533</v>
      </c>
      <c r="C154" s="3" t="s">
        <v>534</v>
      </c>
      <c r="D154" s="93"/>
      <c r="E154" s="5"/>
      <c r="F154" s="3" t="s">
        <v>535</v>
      </c>
      <c r="G154" s="93"/>
      <c r="H154" s="5"/>
      <c r="I154" s="97"/>
    </row>
    <row r="155" spans="1:9" ht="30.6" x14ac:dyDescent="0.2">
      <c r="A155" s="92"/>
      <c r="B155" s="5" t="s">
        <v>536</v>
      </c>
      <c r="C155" s="3" t="s">
        <v>537</v>
      </c>
      <c r="D155" s="92"/>
      <c r="E155" s="5"/>
      <c r="F155" s="3" t="s">
        <v>532</v>
      </c>
      <c r="G155" s="92"/>
      <c r="H155" s="5"/>
      <c r="I155" s="97"/>
    </row>
    <row r="156" spans="1:9" ht="20.399999999999999" x14ac:dyDescent="0.2">
      <c r="A156" s="92"/>
      <c r="B156" s="5" t="s">
        <v>538</v>
      </c>
      <c r="C156" s="3" t="s">
        <v>539</v>
      </c>
      <c r="D156" s="92"/>
      <c r="E156" s="5"/>
      <c r="F156" s="3" t="s">
        <v>535</v>
      </c>
      <c r="G156" s="92"/>
      <c r="H156" s="5"/>
      <c r="I156" s="97"/>
    </row>
    <row r="157" spans="1:9" x14ac:dyDescent="0.25">
      <c r="A157" s="92"/>
      <c r="B157" s="2" t="s">
        <v>540</v>
      </c>
      <c r="C157" s="4"/>
      <c r="D157" s="92"/>
      <c r="E157" s="2"/>
      <c r="F157" s="122"/>
      <c r="G157" s="92"/>
      <c r="H157" s="2"/>
      <c r="I157" s="1"/>
    </row>
    <row r="158" spans="1:9" x14ac:dyDescent="0.25">
      <c r="A158" s="93"/>
      <c r="B158" s="5" t="s">
        <v>541</v>
      </c>
      <c r="C158" s="10" t="s">
        <v>542</v>
      </c>
      <c r="D158" s="93"/>
      <c r="E158" s="5"/>
      <c r="F158" s="10" t="s">
        <v>490</v>
      </c>
      <c r="G158" s="93"/>
      <c r="H158" s="5"/>
      <c r="I158" s="10"/>
    </row>
    <row r="159" spans="1:9" ht="20.399999999999999" x14ac:dyDescent="0.2">
      <c r="A159" s="92"/>
      <c r="B159" s="5" t="s">
        <v>543</v>
      </c>
      <c r="C159" s="10" t="s">
        <v>544</v>
      </c>
      <c r="D159" s="92"/>
      <c r="E159" s="5"/>
      <c r="F159" s="10" t="s">
        <v>493</v>
      </c>
      <c r="G159" s="92"/>
      <c r="H159" s="5"/>
      <c r="I159" s="10"/>
    </row>
    <row r="160" spans="1:9" x14ac:dyDescent="0.2">
      <c r="A160" s="92"/>
      <c r="B160" s="5" t="s">
        <v>545</v>
      </c>
      <c r="C160" s="10" t="s">
        <v>546</v>
      </c>
      <c r="D160" s="92"/>
      <c r="E160" s="5"/>
      <c r="F160" s="10" t="s">
        <v>490</v>
      </c>
      <c r="G160" s="92"/>
      <c r="H160" s="5"/>
      <c r="I160" s="10"/>
    </row>
    <row r="161" spans="1:9" ht="15.6" x14ac:dyDescent="0.25">
      <c r="A161" s="86"/>
      <c r="B161" s="87" t="s">
        <v>955</v>
      </c>
      <c r="C161" s="88"/>
      <c r="D161"/>
      <c r="E161"/>
      <c r="F161"/>
      <c r="G161"/>
      <c r="H161"/>
      <c r="I161"/>
    </row>
    <row r="162" spans="1:9" x14ac:dyDescent="0.25">
      <c r="A162" s="92"/>
      <c r="B162" s="8" t="s">
        <v>56</v>
      </c>
      <c r="C162" s="4"/>
      <c r="D162" s="92"/>
      <c r="E162" s="8"/>
      <c r="F162" s="122"/>
      <c r="G162" s="92"/>
      <c r="H162" s="8"/>
      <c r="I162" s="1"/>
    </row>
    <row r="163" spans="1:9" ht="27.75" customHeight="1" x14ac:dyDescent="0.25">
      <c r="A163" s="93"/>
      <c r="B163" s="3" t="s">
        <v>547</v>
      </c>
      <c r="C163" s="3" t="s">
        <v>548</v>
      </c>
      <c r="D163" s="3"/>
      <c r="E163" s="3"/>
      <c r="F163" s="3" t="s">
        <v>932</v>
      </c>
      <c r="G163" s="3"/>
      <c r="H163" s="3"/>
      <c r="I163" s="3"/>
    </row>
    <row r="164" spans="1:9" ht="20.399999999999999" x14ac:dyDescent="0.25">
      <c r="A164" s="93"/>
      <c r="B164" s="5" t="s">
        <v>549</v>
      </c>
      <c r="C164" s="10" t="s">
        <v>550</v>
      </c>
      <c r="D164" s="93"/>
      <c r="E164" s="3"/>
      <c r="F164" s="3" t="s">
        <v>933</v>
      </c>
      <c r="G164" s="93"/>
      <c r="H164" s="3"/>
      <c r="I164" s="10"/>
    </row>
    <row r="165" spans="1:9" ht="14.25" customHeight="1" x14ac:dyDescent="0.2">
      <c r="A165" s="92"/>
      <c r="B165" s="5" t="s">
        <v>551</v>
      </c>
      <c r="C165" s="10" t="s">
        <v>37</v>
      </c>
      <c r="D165" s="92"/>
      <c r="E165" s="5"/>
      <c r="F165" s="3" t="s">
        <v>934</v>
      </c>
      <c r="G165" s="92"/>
      <c r="H165" s="5"/>
      <c r="I165" s="10"/>
    </row>
    <row r="166" spans="1:9" ht="14.25" customHeight="1" x14ac:dyDescent="0.2">
      <c r="A166" s="92"/>
      <c r="B166" s="5" t="s">
        <v>552</v>
      </c>
      <c r="C166" s="10" t="s">
        <v>553</v>
      </c>
      <c r="D166" s="92"/>
      <c r="E166" s="5"/>
      <c r="F166" s="3" t="s">
        <v>934</v>
      </c>
      <c r="G166" s="92"/>
      <c r="H166" s="5"/>
      <c r="I166" s="10"/>
    </row>
    <row r="167" spans="1:9" ht="20.399999999999999" x14ac:dyDescent="0.2">
      <c r="A167" s="92"/>
      <c r="B167" s="5" t="s">
        <v>554</v>
      </c>
      <c r="C167" s="10" t="s">
        <v>555</v>
      </c>
      <c r="D167" s="92"/>
      <c r="E167" s="5"/>
      <c r="F167" s="3"/>
      <c r="G167" s="92"/>
      <c r="H167" s="5"/>
      <c r="I167" s="10"/>
    </row>
    <row r="168" spans="1:9" ht="15" customHeight="1" x14ac:dyDescent="0.2">
      <c r="A168" s="92"/>
      <c r="B168" s="5" t="s">
        <v>556</v>
      </c>
      <c r="C168" s="10" t="s">
        <v>557</v>
      </c>
      <c r="D168" s="92"/>
      <c r="E168" s="5"/>
      <c r="F168" s="3"/>
      <c r="G168" s="92"/>
      <c r="H168" s="5"/>
      <c r="I168" s="10"/>
    </row>
    <row r="169" spans="1:9" ht="20.399999999999999" x14ac:dyDescent="0.2">
      <c r="A169" s="92"/>
      <c r="B169" s="5" t="s">
        <v>558</v>
      </c>
      <c r="C169" s="10" t="s">
        <v>559</v>
      </c>
      <c r="D169" s="92"/>
      <c r="E169" s="5"/>
      <c r="F169" s="3"/>
      <c r="G169" s="92"/>
      <c r="H169" s="5"/>
      <c r="I169" s="10"/>
    </row>
    <row r="170" spans="1:9" x14ac:dyDescent="0.2">
      <c r="A170" s="92"/>
      <c r="B170" s="5" t="s">
        <v>560</v>
      </c>
      <c r="C170" s="10" t="s">
        <v>561</v>
      </c>
      <c r="D170" s="92"/>
      <c r="E170" s="5"/>
      <c r="F170" s="3"/>
      <c r="G170" s="92"/>
      <c r="H170" s="5"/>
      <c r="I170" s="10"/>
    </row>
    <row r="171" spans="1:9" x14ac:dyDescent="0.2">
      <c r="A171" s="92"/>
      <c r="B171" s="8" t="s">
        <v>562</v>
      </c>
      <c r="C171" s="4"/>
      <c r="D171" s="92"/>
      <c r="E171" s="8"/>
      <c r="F171" s="4"/>
      <c r="G171" s="92"/>
      <c r="H171" s="8"/>
      <c r="I171" s="4"/>
    </row>
    <row r="172" spans="1:9" ht="20.399999999999999" x14ac:dyDescent="0.2">
      <c r="A172" s="92"/>
      <c r="B172" s="5" t="s">
        <v>563</v>
      </c>
      <c r="C172" s="3" t="s">
        <v>564</v>
      </c>
      <c r="D172" s="92"/>
      <c r="E172" s="5"/>
      <c r="F172" s="3" t="s">
        <v>935</v>
      </c>
      <c r="G172" s="92"/>
      <c r="H172" s="5"/>
      <c r="I172" s="3"/>
    </row>
    <row r="173" spans="1:9" x14ac:dyDescent="0.25">
      <c r="A173" s="93"/>
      <c r="B173" s="5" t="s">
        <v>565</v>
      </c>
      <c r="C173" s="3" t="s">
        <v>566</v>
      </c>
      <c r="D173" s="93"/>
      <c r="E173" s="5"/>
      <c r="F173" s="3"/>
      <c r="G173" s="93"/>
      <c r="H173" s="5"/>
      <c r="I173" s="3"/>
    </row>
    <row r="174" spans="1:9" x14ac:dyDescent="0.25">
      <c r="A174" s="93"/>
      <c r="B174" s="2" t="s">
        <v>567</v>
      </c>
      <c r="C174" s="4"/>
      <c r="D174" s="93"/>
      <c r="E174" s="2"/>
      <c r="F174" s="4"/>
      <c r="G174" s="93"/>
      <c r="H174" s="2"/>
      <c r="I174" s="1"/>
    </row>
    <row r="175" spans="1:9" ht="20.399999999999999" x14ac:dyDescent="0.2">
      <c r="A175" s="92"/>
      <c r="B175" s="5" t="s">
        <v>568</v>
      </c>
      <c r="C175" s="10" t="s">
        <v>569</v>
      </c>
      <c r="D175" s="92"/>
      <c r="E175" s="5"/>
      <c r="F175" s="10" t="s">
        <v>936</v>
      </c>
      <c r="G175" s="92"/>
      <c r="H175" s="5"/>
      <c r="I175" s="10"/>
    </row>
    <row r="176" spans="1:9" ht="20.399999999999999" x14ac:dyDescent="0.2">
      <c r="A176" s="92"/>
      <c r="B176" s="5" t="s">
        <v>571</v>
      </c>
      <c r="C176" s="10" t="s">
        <v>572</v>
      </c>
      <c r="D176" s="92"/>
      <c r="E176" s="5"/>
      <c r="F176" s="10" t="s">
        <v>937</v>
      </c>
      <c r="G176" s="92"/>
      <c r="H176" s="5"/>
      <c r="I176" s="10"/>
    </row>
    <row r="177" spans="1:9" ht="12.75" customHeight="1" x14ac:dyDescent="0.2">
      <c r="A177" s="92"/>
      <c r="B177" s="5" t="s">
        <v>574</v>
      </c>
      <c r="C177" s="10" t="s">
        <v>575</v>
      </c>
      <c r="D177" s="92"/>
      <c r="E177" s="5"/>
      <c r="F177" s="10" t="s">
        <v>938</v>
      </c>
      <c r="G177" s="92"/>
      <c r="H177" s="5"/>
      <c r="I177" s="10"/>
    </row>
    <row r="178" spans="1:9" ht="14.25" customHeight="1" x14ac:dyDescent="0.2">
      <c r="A178" s="92"/>
      <c r="B178" s="5" t="s">
        <v>576</v>
      </c>
      <c r="C178" s="3" t="s">
        <v>577</v>
      </c>
      <c r="D178" s="92"/>
      <c r="E178" s="5"/>
      <c r="F178" s="3"/>
      <c r="G178" s="92"/>
      <c r="H178" s="5"/>
      <c r="I178" s="3"/>
    </row>
    <row r="179" spans="1:9" x14ac:dyDescent="0.25">
      <c r="A179" s="92"/>
      <c r="B179" s="38" t="s">
        <v>578</v>
      </c>
      <c r="C179" s="6"/>
      <c r="D179" s="92"/>
      <c r="E179" s="38"/>
      <c r="G179" s="92"/>
      <c r="H179" s="38"/>
      <c r="I179" s="1"/>
    </row>
    <row r="180" spans="1:9" ht="15" customHeight="1" x14ac:dyDescent="0.25">
      <c r="A180" s="93"/>
      <c r="B180" s="123" t="s">
        <v>579</v>
      </c>
      <c r="C180" s="39" t="s">
        <v>580</v>
      </c>
      <c r="D180" s="93"/>
      <c r="E180" s="123"/>
      <c r="F180" s="3"/>
      <c r="G180" s="93"/>
      <c r="H180" s="123"/>
      <c r="I180" s="39"/>
    </row>
    <row r="181" spans="1:9" ht="14.25" customHeight="1" x14ac:dyDescent="0.25">
      <c r="A181" s="93"/>
      <c r="B181" s="123" t="s">
        <v>581</v>
      </c>
      <c r="C181" s="39" t="s">
        <v>582</v>
      </c>
      <c r="D181" s="93"/>
      <c r="E181" s="123"/>
      <c r="F181" s="3"/>
      <c r="G181" s="93"/>
      <c r="H181" s="123"/>
      <c r="I181" s="39"/>
    </row>
    <row r="182" spans="1:9" ht="30.75" customHeight="1" x14ac:dyDescent="0.25">
      <c r="A182" s="86"/>
      <c r="B182" s="954" t="s">
        <v>956</v>
      </c>
      <c r="C182" s="955"/>
      <c r="D182" s="90"/>
      <c r="E182" s="954" t="s">
        <v>957</v>
      </c>
      <c r="F182" s="955"/>
      <c r="G182" s="90"/>
      <c r="H182" s="954" t="s">
        <v>939</v>
      </c>
      <c r="I182" s="955"/>
    </row>
    <row r="183" spans="1:9" x14ac:dyDescent="0.2">
      <c r="A183" s="104"/>
      <c r="B183" s="124" t="s">
        <v>24</v>
      </c>
      <c r="C183" s="125"/>
      <c r="D183" s="92"/>
      <c r="E183" s="8" t="s">
        <v>24</v>
      </c>
      <c r="F183" s="4"/>
      <c r="G183" s="92"/>
      <c r="H183" s="8" t="s">
        <v>24</v>
      </c>
      <c r="I183" s="4"/>
    </row>
    <row r="184" spans="1:9" x14ac:dyDescent="0.2">
      <c r="A184" s="104"/>
      <c r="B184" s="124"/>
      <c r="C184" s="125"/>
      <c r="D184" s="92"/>
      <c r="E184" s="5" t="s">
        <v>199</v>
      </c>
      <c r="F184" s="10" t="s">
        <v>1</v>
      </c>
      <c r="G184" s="92"/>
      <c r="H184" s="8"/>
      <c r="I184" s="4"/>
    </row>
    <row r="185" spans="1:9" ht="24.75" customHeight="1" x14ac:dyDescent="0.2">
      <c r="A185" s="126"/>
      <c r="B185" s="107" t="s">
        <v>583</v>
      </c>
      <c r="C185" s="21" t="s">
        <v>584</v>
      </c>
      <c r="D185" s="127"/>
      <c r="F185" s="10" t="s">
        <v>399</v>
      </c>
      <c r="G185" s="92"/>
      <c r="I185" s="10" t="s">
        <v>399</v>
      </c>
    </row>
    <row r="186" spans="1:9" ht="20.399999999999999" x14ac:dyDescent="0.25">
      <c r="A186" s="101"/>
      <c r="B186" s="107" t="s">
        <v>586</v>
      </c>
      <c r="C186" s="22" t="s">
        <v>514</v>
      </c>
      <c r="D186" s="93"/>
      <c r="E186" s="5" t="s">
        <v>102</v>
      </c>
      <c r="F186" s="22" t="s">
        <v>514</v>
      </c>
      <c r="G186" s="93"/>
      <c r="H186" s="5"/>
      <c r="I186" s="10" t="s">
        <v>399</v>
      </c>
    </row>
    <row r="187" spans="1:9" x14ac:dyDescent="0.25">
      <c r="A187" s="101"/>
      <c r="B187" s="107"/>
      <c r="C187" s="22"/>
      <c r="D187" s="93"/>
      <c r="E187" s="5" t="s">
        <v>200</v>
      </c>
      <c r="F187" s="22" t="s">
        <v>201</v>
      </c>
      <c r="G187" s="93"/>
      <c r="H187" s="5"/>
      <c r="I187" s="10"/>
    </row>
    <row r="188" spans="1:9" ht="24.75" customHeight="1" x14ac:dyDescent="0.2">
      <c r="A188" s="104"/>
      <c r="B188" s="107" t="s">
        <v>587</v>
      </c>
      <c r="C188" s="22" t="s">
        <v>588</v>
      </c>
      <c r="D188" s="92"/>
      <c r="E188" s="5" t="s">
        <v>101</v>
      </c>
      <c r="F188" s="10" t="s">
        <v>202</v>
      </c>
      <c r="G188" s="92"/>
      <c r="H188" s="5" t="s">
        <v>199</v>
      </c>
      <c r="I188" s="10" t="s">
        <v>585</v>
      </c>
    </row>
    <row r="189" spans="1:9" ht="15" customHeight="1" x14ac:dyDescent="0.25">
      <c r="A189" s="129"/>
      <c r="B189" s="107" t="s">
        <v>589</v>
      </c>
      <c r="C189" s="21" t="s">
        <v>590</v>
      </c>
      <c r="D189" s="130"/>
      <c r="E189" s="5"/>
      <c r="F189" s="10" t="s">
        <v>404</v>
      </c>
      <c r="G189" s="130"/>
      <c r="H189" s="5"/>
      <c r="I189" s="10" t="s">
        <v>404</v>
      </c>
    </row>
    <row r="190" spans="1:9" ht="15" customHeight="1" x14ac:dyDescent="0.2">
      <c r="A190" s="104"/>
      <c r="B190" s="107"/>
      <c r="C190" s="22"/>
      <c r="D190" s="92"/>
      <c r="E190" s="5"/>
      <c r="F190" s="10"/>
      <c r="G190" s="92"/>
      <c r="H190" s="210" t="s">
        <v>102</v>
      </c>
      <c r="I190" s="10" t="s">
        <v>1058</v>
      </c>
    </row>
    <row r="191" spans="1:9" s="190" customFormat="1" ht="20.399999999999999" x14ac:dyDescent="0.25">
      <c r="A191" s="188"/>
      <c r="B191" s="107" t="s">
        <v>591</v>
      </c>
      <c r="C191" s="28" t="s">
        <v>592</v>
      </c>
      <c r="D191" s="189"/>
      <c r="E191" s="5" t="s">
        <v>203</v>
      </c>
      <c r="F191" s="28" t="s">
        <v>592</v>
      </c>
      <c r="G191" s="189"/>
      <c r="H191" s="5"/>
      <c r="I191" s="3"/>
    </row>
    <row r="192" spans="1:9" s="190" customFormat="1" x14ac:dyDescent="0.25">
      <c r="A192" s="188"/>
      <c r="B192" s="107"/>
      <c r="C192" s="28"/>
      <c r="D192" s="189"/>
      <c r="E192" s="5" t="s">
        <v>204</v>
      </c>
      <c r="F192" s="28" t="s">
        <v>941</v>
      </c>
      <c r="G192" s="189"/>
      <c r="H192" s="5"/>
      <c r="I192" s="3"/>
    </row>
    <row r="193" spans="1:9" s="190" customFormat="1" x14ac:dyDescent="0.25">
      <c r="A193" s="188"/>
      <c r="B193" s="107"/>
      <c r="C193" s="28"/>
      <c r="D193" s="189"/>
      <c r="E193" s="5" t="s">
        <v>290</v>
      </c>
      <c r="F193" s="28" t="s">
        <v>942</v>
      </c>
      <c r="G193" s="189"/>
      <c r="H193" s="5"/>
      <c r="I193" s="3"/>
    </row>
    <row r="194" spans="1:9" s="190" customFormat="1" x14ac:dyDescent="0.25">
      <c r="A194" s="188"/>
      <c r="B194" s="107"/>
      <c r="C194" s="28"/>
      <c r="D194" s="189"/>
      <c r="E194" s="5" t="s">
        <v>291</v>
      </c>
      <c r="F194" s="28" t="s">
        <v>943</v>
      </c>
      <c r="G194" s="189"/>
      <c r="H194" s="5"/>
      <c r="I194" s="3"/>
    </row>
    <row r="195" spans="1:9" x14ac:dyDescent="0.2">
      <c r="A195" s="104"/>
      <c r="B195" s="124" t="s">
        <v>593</v>
      </c>
      <c r="C195" s="125"/>
      <c r="D195" s="92"/>
      <c r="E195" s="8"/>
      <c r="F195" s="4"/>
      <c r="G195" s="92"/>
      <c r="H195" s="8"/>
      <c r="I195" s="3"/>
    </row>
    <row r="196" spans="1:9" ht="14.25" customHeight="1" x14ac:dyDescent="0.2">
      <c r="A196" s="126"/>
      <c r="B196" s="107" t="s">
        <v>594</v>
      </c>
      <c r="C196" s="21" t="s">
        <v>595</v>
      </c>
      <c r="D196" s="127"/>
      <c r="E196" s="5"/>
      <c r="F196" s="3"/>
      <c r="G196" s="127"/>
      <c r="H196" s="5"/>
      <c r="I196" s="3"/>
    </row>
    <row r="197" spans="1:9" x14ac:dyDescent="0.2">
      <c r="A197" s="104"/>
      <c r="B197" s="124" t="s">
        <v>596</v>
      </c>
      <c r="C197" s="125"/>
      <c r="D197" s="92"/>
      <c r="E197" s="8"/>
      <c r="F197" s="4"/>
      <c r="G197" s="92"/>
      <c r="H197" s="8"/>
      <c r="I197" s="3"/>
    </row>
    <row r="198" spans="1:9" ht="13.5" customHeight="1" x14ac:dyDescent="0.2">
      <c r="A198" s="126"/>
      <c r="B198" s="107" t="s">
        <v>597</v>
      </c>
      <c r="C198" s="21" t="s">
        <v>598</v>
      </c>
      <c r="D198" s="127"/>
      <c r="E198" s="5"/>
      <c r="F198" s="3" t="s">
        <v>599</v>
      </c>
      <c r="G198" s="127"/>
      <c r="H198" s="5"/>
      <c r="I198" s="3"/>
    </row>
    <row r="199" spans="1:9" ht="13.5" customHeight="1" x14ac:dyDescent="0.25">
      <c r="A199" s="101"/>
      <c r="B199" s="107" t="s">
        <v>600</v>
      </c>
      <c r="C199" s="22" t="s">
        <v>601</v>
      </c>
      <c r="D199" s="93"/>
      <c r="E199" s="5"/>
      <c r="F199" s="3" t="s">
        <v>599</v>
      </c>
      <c r="G199" s="93"/>
      <c r="H199" s="5"/>
      <c r="I199" s="10"/>
    </row>
    <row r="200" spans="1:9" x14ac:dyDescent="0.2">
      <c r="A200" s="104"/>
      <c r="B200" s="124" t="s">
        <v>602</v>
      </c>
      <c r="C200" s="125"/>
      <c r="D200" s="92"/>
      <c r="E200" s="8" t="s">
        <v>603</v>
      </c>
      <c r="F200" s="4"/>
      <c r="G200" s="92"/>
      <c r="H200" s="8" t="s">
        <v>604</v>
      </c>
      <c r="I200" s="4"/>
    </row>
    <row r="201" spans="1:9" ht="15.75" customHeight="1" x14ac:dyDescent="0.2">
      <c r="A201" s="126"/>
      <c r="B201" s="107" t="s">
        <v>605</v>
      </c>
      <c r="C201" s="21" t="s">
        <v>49</v>
      </c>
      <c r="D201" s="127"/>
      <c r="E201" s="5" t="s">
        <v>103</v>
      </c>
      <c r="F201" s="3" t="s">
        <v>49</v>
      </c>
      <c r="G201" s="127"/>
      <c r="H201" s="5" t="s">
        <v>103</v>
      </c>
      <c r="I201" s="3" t="s">
        <v>49</v>
      </c>
    </row>
    <row r="202" spans="1:9" ht="15.75" customHeight="1" x14ac:dyDescent="0.2">
      <c r="A202" s="211"/>
      <c r="B202" s="107"/>
      <c r="C202" s="21"/>
      <c r="D202" s="131"/>
      <c r="E202" s="12"/>
      <c r="F202" s="7"/>
      <c r="G202" s="131"/>
      <c r="H202" s="5" t="s">
        <v>1059</v>
      </c>
      <c r="I202" s="212" t="s">
        <v>1060</v>
      </c>
    </row>
    <row r="203" spans="1:9" ht="15" customHeight="1" x14ac:dyDescent="0.25">
      <c r="A203" s="131"/>
      <c r="B203" s="5" t="s">
        <v>606</v>
      </c>
      <c r="C203" s="3" t="s">
        <v>607</v>
      </c>
      <c r="D203" s="131"/>
      <c r="E203" s="12"/>
      <c r="F203" s="7"/>
      <c r="G203" s="131"/>
      <c r="H203" s="12"/>
      <c r="I203" s="40"/>
    </row>
    <row r="204" spans="1:9" ht="26.25" customHeight="1" x14ac:dyDescent="0.2">
      <c r="A204" s="104"/>
      <c r="B204" s="124"/>
      <c r="C204" s="125"/>
      <c r="D204" s="92"/>
      <c r="E204" s="974" t="s">
        <v>608</v>
      </c>
      <c r="F204" s="974"/>
      <c r="G204" s="92"/>
      <c r="H204" s="8"/>
      <c r="I204" s="4"/>
    </row>
    <row r="205" spans="1:9" ht="20.399999999999999" x14ac:dyDescent="0.2">
      <c r="A205" s="126"/>
      <c r="B205" s="107"/>
      <c r="C205" s="21"/>
      <c r="D205" s="127"/>
      <c r="E205" s="5" t="s">
        <v>205</v>
      </c>
      <c r="F205" s="3" t="s">
        <v>314</v>
      </c>
      <c r="G205" s="127"/>
      <c r="H205" s="5"/>
      <c r="I205" s="3"/>
    </row>
    <row r="206" spans="1:9" ht="28.5" customHeight="1" x14ac:dyDescent="0.25">
      <c r="A206" s="86"/>
      <c r="B206" s="177" t="s">
        <v>958</v>
      </c>
      <c r="C206" s="88"/>
      <c r="D206" s="19"/>
      <c r="E206" s="975" t="s">
        <v>959</v>
      </c>
      <c r="F206" s="976"/>
      <c r="G206" s="19"/>
      <c r="H206" s="975" t="s">
        <v>609</v>
      </c>
      <c r="I206" s="976"/>
    </row>
    <row r="207" spans="1:9" x14ac:dyDescent="0.2">
      <c r="A207" s="92"/>
      <c r="B207" s="8" t="s">
        <v>56</v>
      </c>
      <c r="C207" s="4"/>
      <c r="D207" s="92"/>
      <c r="E207" s="8" t="s">
        <v>56</v>
      </c>
      <c r="F207" s="4"/>
      <c r="G207" s="92"/>
      <c r="H207" s="8" t="s">
        <v>56</v>
      </c>
      <c r="I207" s="4"/>
    </row>
    <row r="208" spans="1:9" x14ac:dyDescent="0.2">
      <c r="A208" s="92"/>
      <c r="B208" s="8"/>
      <c r="C208" s="4"/>
      <c r="D208" s="92"/>
      <c r="E208" s="13" t="s">
        <v>206</v>
      </c>
      <c r="F208" s="41" t="s">
        <v>207</v>
      </c>
      <c r="G208" s="92"/>
      <c r="H208" s="8"/>
      <c r="I208" s="41"/>
    </row>
    <row r="209" spans="1:9" x14ac:dyDescent="0.2">
      <c r="A209" s="92"/>
      <c r="B209" s="8"/>
      <c r="C209" s="4"/>
      <c r="D209" s="92"/>
      <c r="E209" s="13" t="s">
        <v>123</v>
      </c>
      <c r="F209" s="41" t="s">
        <v>208</v>
      </c>
      <c r="G209" s="92"/>
      <c r="H209" s="8"/>
      <c r="I209" s="41"/>
    </row>
    <row r="210" spans="1:9" x14ac:dyDescent="0.2">
      <c r="A210" s="92"/>
      <c r="B210" s="8"/>
      <c r="C210" s="4"/>
      <c r="D210" s="92"/>
      <c r="E210" s="13" t="s">
        <v>95</v>
      </c>
      <c r="F210" s="28" t="s">
        <v>944</v>
      </c>
      <c r="G210" s="92"/>
      <c r="H210" s="8"/>
      <c r="I210" s="41"/>
    </row>
    <row r="211" spans="1:9" x14ac:dyDescent="0.2">
      <c r="A211" s="92"/>
      <c r="B211" s="8"/>
      <c r="C211" s="4"/>
      <c r="D211" s="92"/>
      <c r="E211" s="13" t="s">
        <v>210</v>
      </c>
      <c r="F211" s="41" t="s">
        <v>211</v>
      </c>
      <c r="G211" s="92"/>
      <c r="H211" s="8"/>
      <c r="I211" s="41"/>
    </row>
    <row r="212" spans="1:9" ht="20.399999999999999" x14ac:dyDescent="0.25">
      <c r="A212" s="93"/>
      <c r="B212" s="10" t="s">
        <v>611</v>
      </c>
      <c r="C212" s="10" t="s">
        <v>548</v>
      </c>
      <c r="D212" s="10"/>
      <c r="E212" s="133"/>
      <c r="F212" s="134" t="s">
        <v>612</v>
      </c>
      <c r="G212" s="10"/>
      <c r="H212" s="133"/>
      <c r="I212" s="134" t="s">
        <v>613</v>
      </c>
    </row>
    <row r="213" spans="1:9" ht="15" customHeight="1" x14ac:dyDescent="0.25">
      <c r="A213" s="93"/>
      <c r="B213" s="5" t="s">
        <v>614</v>
      </c>
      <c r="C213" s="3" t="s">
        <v>577</v>
      </c>
      <c r="D213" s="93"/>
      <c r="E213" s="5" t="s">
        <v>294</v>
      </c>
      <c r="F213" s="54" t="s">
        <v>301</v>
      </c>
      <c r="G213" s="93"/>
      <c r="H213" s="5"/>
      <c r="I213" s="135"/>
    </row>
    <row r="214" spans="1:9" ht="20.399999999999999" x14ac:dyDescent="0.2">
      <c r="A214" s="92"/>
      <c r="B214" s="5" t="s">
        <v>615</v>
      </c>
      <c r="C214" s="10" t="s">
        <v>616</v>
      </c>
      <c r="D214" s="92"/>
      <c r="E214" s="5" t="s">
        <v>98</v>
      </c>
      <c r="F214" s="10" t="s">
        <v>214</v>
      </c>
      <c r="G214" s="92"/>
      <c r="H214" s="5" t="s">
        <v>206</v>
      </c>
      <c r="I214" s="10" t="s">
        <v>616</v>
      </c>
    </row>
    <row r="215" spans="1:9" x14ac:dyDescent="0.2">
      <c r="A215" s="92"/>
      <c r="B215" s="5"/>
      <c r="C215" s="10"/>
      <c r="D215" s="92"/>
      <c r="E215" s="5" t="s">
        <v>215</v>
      </c>
      <c r="F215" s="11" t="s">
        <v>3</v>
      </c>
      <c r="G215" s="92"/>
      <c r="H215" s="60"/>
      <c r="I215" s="136"/>
    </row>
    <row r="216" spans="1:9" x14ac:dyDescent="0.2">
      <c r="A216" s="92"/>
      <c r="B216" s="5"/>
      <c r="C216" s="10"/>
      <c r="D216" s="92"/>
      <c r="E216" s="5" t="s">
        <v>216</v>
      </c>
      <c r="F216" s="11" t="s">
        <v>217</v>
      </c>
      <c r="G216" s="92"/>
      <c r="H216" s="60"/>
      <c r="I216" s="136"/>
    </row>
    <row r="217" spans="1:9" x14ac:dyDescent="0.2">
      <c r="A217" s="92"/>
      <c r="B217" s="5"/>
      <c r="C217" s="10"/>
      <c r="D217" s="92"/>
      <c r="E217" s="5" t="s">
        <v>218</v>
      </c>
      <c r="F217" s="11" t="s">
        <v>219</v>
      </c>
      <c r="G217" s="92"/>
      <c r="H217" s="60"/>
      <c r="I217" s="136"/>
    </row>
    <row r="218" spans="1:9" x14ac:dyDescent="0.25">
      <c r="A218" s="92"/>
      <c r="B218" s="5" t="s">
        <v>617</v>
      </c>
      <c r="C218" s="10" t="s">
        <v>37</v>
      </c>
      <c r="D218" s="92"/>
      <c r="E218" s="5" t="s">
        <v>99</v>
      </c>
      <c r="F218" s="10" t="s">
        <v>37</v>
      </c>
      <c r="G218" s="92"/>
      <c r="H218" s="1"/>
      <c r="I218" s="1"/>
    </row>
    <row r="219" spans="1:9" ht="30.6" x14ac:dyDescent="0.2">
      <c r="A219" s="92"/>
      <c r="B219" s="5" t="s">
        <v>618</v>
      </c>
      <c r="C219" s="10" t="s">
        <v>619</v>
      </c>
      <c r="D219" s="92"/>
      <c r="E219" s="94"/>
      <c r="F219" s="10" t="s">
        <v>620</v>
      </c>
      <c r="G219" s="92"/>
      <c r="H219" s="5" t="s">
        <v>123</v>
      </c>
      <c r="I219" s="10" t="s">
        <v>621</v>
      </c>
    </row>
    <row r="220" spans="1:9" x14ac:dyDescent="0.25">
      <c r="A220" s="92"/>
      <c r="B220" s="5" t="s">
        <v>622</v>
      </c>
      <c r="C220" s="10" t="s">
        <v>553</v>
      </c>
      <c r="D220" s="92"/>
      <c r="E220" s="1"/>
      <c r="F220" s="10" t="s">
        <v>620</v>
      </c>
      <c r="G220" s="92"/>
      <c r="H220" s="1"/>
      <c r="I220" s="10"/>
    </row>
    <row r="221" spans="1:9" ht="20.399999999999999" x14ac:dyDescent="0.2">
      <c r="A221" s="92"/>
      <c r="B221" s="8"/>
      <c r="C221" s="4"/>
      <c r="D221" s="92"/>
      <c r="E221" s="13" t="s">
        <v>97</v>
      </c>
      <c r="F221" s="132" t="s">
        <v>212</v>
      </c>
      <c r="G221" s="92"/>
      <c r="H221" s="8"/>
      <c r="I221" s="41"/>
    </row>
    <row r="222" spans="1:9" x14ac:dyDescent="0.25">
      <c r="A222" s="92"/>
      <c r="B222" s="8"/>
      <c r="C222" s="4"/>
      <c r="D222" s="92"/>
      <c r="E222" s="13" t="s">
        <v>96</v>
      </c>
      <c r="F222" s="41" t="s">
        <v>213</v>
      </c>
      <c r="G222" s="92"/>
      <c r="H222" s="8"/>
      <c r="I222" s="1"/>
    </row>
    <row r="223" spans="1:9" x14ac:dyDescent="0.2">
      <c r="A223" s="92"/>
      <c r="B223" s="5" t="s">
        <v>623</v>
      </c>
      <c r="C223" s="3" t="s">
        <v>293</v>
      </c>
      <c r="D223" s="92"/>
      <c r="E223" s="5" t="s">
        <v>104</v>
      </c>
      <c r="F223" s="3" t="s">
        <v>293</v>
      </c>
      <c r="G223" s="92"/>
      <c r="H223" s="5"/>
      <c r="I223" s="3"/>
    </row>
    <row r="224" spans="1:9" ht="20.399999999999999" x14ac:dyDescent="0.25">
      <c r="A224" s="92"/>
      <c r="B224" s="5" t="s">
        <v>624</v>
      </c>
      <c r="C224" s="3" t="s">
        <v>625</v>
      </c>
      <c r="D224" s="92"/>
      <c r="E224" s="10"/>
      <c r="F224" s="10" t="s">
        <v>626</v>
      </c>
      <c r="G224" s="92"/>
      <c r="H224" s="10"/>
      <c r="I224" s="1"/>
    </row>
    <row r="225" spans="1:9" ht="20.399999999999999" x14ac:dyDescent="0.2">
      <c r="A225" s="92"/>
      <c r="B225" s="5" t="s">
        <v>627</v>
      </c>
      <c r="C225" s="3" t="s">
        <v>628</v>
      </c>
      <c r="D225" s="92"/>
      <c r="E225" s="5"/>
      <c r="F225" s="10" t="s">
        <v>629</v>
      </c>
      <c r="G225" s="92"/>
      <c r="H225" s="5"/>
      <c r="I225" s="10"/>
    </row>
    <row r="226" spans="1:9" ht="26.25" customHeight="1" x14ac:dyDescent="0.25">
      <c r="A226" s="93"/>
      <c r="B226" s="961" t="s">
        <v>22</v>
      </c>
      <c r="C226" s="962"/>
      <c r="D226" s="93"/>
      <c r="E226" s="961" t="s">
        <v>22</v>
      </c>
      <c r="F226" s="962"/>
      <c r="G226" s="93"/>
      <c r="H226" s="961"/>
      <c r="I226" s="962"/>
    </row>
    <row r="227" spans="1:9" ht="20.399999999999999" x14ac:dyDescent="0.2">
      <c r="A227" s="92"/>
      <c r="B227" s="5" t="s">
        <v>630</v>
      </c>
      <c r="C227" s="3" t="s">
        <v>631</v>
      </c>
      <c r="D227" s="92"/>
      <c r="E227" s="5" t="s">
        <v>100</v>
      </c>
      <c r="F227" s="3" t="s">
        <v>198</v>
      </c>
      <c r="G227" s="92"/>
      <c r="H227" s="137"/>
      <c r="I227" s="96"/>
    </row>
    <row r="228" spans="1:9" ht="20.399999999999999" x14ac:dyDescent="0.2">
      <c r="A228" s="92"/>
      <c r="B228" s="5" t="s">
        <v>632</v>
      </c>
      <c r="C228" s="3" t="s">
        <v>633</v>
      </c>
      <c r="D228" s="92"/>
      <c r="E228" s="5" t="s">
        <v>220</v>
      </c>
      <c r="F228" s="3" t="s">
        <v>634</v>
      </c>
      <c r="G228" s="92"/>
      <c r="H228" s="5"/>
      <c r="I228" s="97"/>
    </row>
    <row r="229" spans="1:9" ht="20.399999999999999" x14ac:dyDescent="0.25">
      <c r="A229" s="93"/>
      <c r="B229" s="5" t="s">
        <v>635</v>
      </c>
      <c r="C229" s="10" t="s">
        <v>636</v>
      </c>
      <c r="D229" s="93"/>
      <c r="E229" s="5" t="s">
        <v>295</v>
      </c>
      <c r="F229" s="54" t="s">
        <v>296</v>
      </c>
      <c r="G229" s="93"/>
      <c r="H229" s="5"/>
      <c r="I229" s="1"/>
    </row>
    <row r="230" spans="1:9" s="66" customFormat="1" ht="24.75" customHeight="1" x14ac:dyDescent="0.2">
      <c r="A230" s="170"/>
      <c r="B230" s="961" t="s">
        <v>637</v>
      </c>
      <c r="C230" s="962"/>
      <c r="D230" s="170"/>
      <c r="E230" s="961" t="s">
        <v>221</v>
      </c>
      <c r="F230" s="962"/>
      <c r="G230" s="170"/>
      <c r="H230" s="961" t="s">
        <v>638</v>
      </c>
      <c r="I230" s="962"/>
    </row>
    <row r="231" spans="1:9" x14ac:dyDescent="0.25">
      <c r="A231" s="93"/>
      <c r="B231" s="5" t="s">
        <v>639</v>
      </c>
      <c r="C231" s="3" t="s">
        <v>640</v>
      </c>
      <c r="D231" s="93"/>
      <c r="E231" s="5" t="s">
        <v>124</v>
      </c>
      <c r="F231" s="3" t="s">
        <v>0</v>
      </c>
      <c r="G231" s="93"/>
      <c r="H231" s="5"/>
      <c r="I231" s="3" t="s">
        <v>641</v>
      </c>
    </row>
    <row r="232" spans="1:9" ht="20.399999999999999" x14ac:dyDescent="0.25">
      <c r="A232" s="92"/>
      <c r="B232" s="5" t="s">
        <v>642</v>
      </c>
      <c r="C232" s="3" t="s">
        <v>643</v>
      </c>
      <c r="D232" s="92"/>
      <c r="E232" s="1"/>
      <c r="F232" s="3" t="s">
        <v>641</v>
      </c>
      <c r="G232" s="92"/>
      <c r="H232" s="1"/>
      <c r="I232" s="3"/>
    </row>
    <row r="233" spans="1:9" x14ac:dyDescent="0.25">
      <c r="A233" s="93"/>
      <c r="B233" s="5" t="s">
        <v>644</v>
      </c>
      <c r="C233" s="3" t="s">
        <v>645</v>
      </c>
      <c r="D233" s="93"/>
      <c r="E233" s="5" t="s">
        <v>222</v>
      </c>
      <c r="F233" s="3" t="s">
        <v>302</v>
      </c>
      <c r="G233" s="93"/>
      <c r="H233" s="5" t="s">
        <v>100</v>
      </c>
      <c r="I233" s="3" t="s">
        <v>646</v>
      </c>
    </row>
    <row r="234" spans="1:9" x14ac:dyDescent="0.25">
      <c r="A234" s="93"/>
      <c r="B234" s="5"/>
      <c r="C234" s="3"/>
      <c r="D234" s="93"/>
      <c r="E234" s="5" t="s">
        <v>225</v>
      </c>
      <c r="F234" s="3" t="s">
        <v>223</v>
      </c>
      <c r="G234" s="93"/>
      <c r="H234" s="12"/>
      <c r="I234" s="3"/>
    </row>
    <row r="235" spans="1:9" ht="20.399999999999999" x14ac:dyDescent="0.25">
      <c r="A235" s="93"/>
      <c r="B235" s="5" t="s">
        <v>647</v>
      </c>
      <c r="C235" s="3" t="s">
        <v>648</v>
      </c>
      <c r="D235" s="93"/>
      <c r="E235" s="5"/>
      <c r="F235" s="3" t="s">
        <v>946</v>
      </c>
      <c r="G235" s="93"/>
      <c r="H235" s="1"/>
      <c r="I235" s="138"/>
    </row>
    <row r="236" spans="1:9" x14ac:dyDescent="0.25">
      <c r="A236" s="93"/>
      <c r="B236" s="5" t="s">
        <v>650</v>
      </c>
      <c r="C236" s="3" t="s">
        <v>651</v>
      </c>
      <c r="D236" s="93"/>
      <c r="E236" s="5"/>
      <c r="F236" s="3" t="s">
        <v>649</v>
      </c>
      <c r="G236" s="93"/>
      <c r="H236" s="5"/>
      <c r="I236" s="3"/>
    </row>
    <row r="237" spans="1:9" x14ac:dyDescent="0.25">
      <c r="A237" s="93"/>
      <c r="B237" s="5" t="s">
        <v>652</v>
      </c>
      <c r="C237" s="3" t="s">
        <v>13</v>
      </c>
      <c r="D237" s="93"/>
      <c r="E237" s="5" t="s">
        <v>303</v>
      </c>
      <c r="F237" s="3" t="s">
        <v>13</v>
      </c>
      <c r="G237" s="93"/>
      <c r="H237" s="5"/>
      <c r="I237" s="3"/>
    </row>
    <row r="238" spans="1:9" x14ac:dyDescent="0.25">
      <c r="A238" s="93"/>
      <c r="B238" s="5" t="s">
        <v>653</v>
      </c>
      <c r="C238" s="3" t="s">
        <v>59</v>
      </c>
      <c r="D238" s="93"/>
      <c r="E238" s="5" t="s">
        <v>224</v>
      </c>
      <c r="F238" s="3" t="s">
        <v>59</v>
      </c>
      <c r="G238" s="93"/>
      <c r="H238" s="5"/>
      <c r="I238" s="1"/>
    </row>
    <row r="239" spans="1:9" x14ac:dyDescent="0.2">
      <c r="A239" s="92"/>
      <c r="B239" s="8" t="s">
        <v>60</v>
      </c>
      <c r="C239" s="4"/>
      <c r="D239" s="92"/>
      <c r="E239" s="8" t="s">
        <v>62</v>
      </c>
      <c r="F239" s="4"/>
      <c r="G239" s="92"/>
      <c r="H239" s="8" t="s">
        <v>62</v>
      </c>
      <c r="I239" s="4"/>
    </row>
    <row r="240" spans="1:9" ht="30.6" x14ac:dyDescent="0.2">
      <c r="A240" s="92"/>
      <c r="B240" s="5" t="s">
        <v>654</v>
      </c>
      <c r="C240" s="10" t="s">
        <v>655</v>
      </c>
      <c r="D240" s="92"/>
      <c r="E240" s="5" t="s">
        <v>92</v>
      </c>
      <c r="F240" s="10" t="s">
        <v>656</v>
      </c>
      <c r="G240" s="92"/>
      <c r="H240" s="5" t="s">
        <v>92</v>
      </c>
      <c r="I240" s="10" t="s">
        <v>657</v>
      </c>
    </row>
    <row r="241" spans="1:9" ht="20.399999999999999" x14ac:dyDescent="0.25">
      <c r="A241" s="92"/>
      <c r="B241" s="5" t="s">
        <v>658</v>
      </c>
      <c r="C241" s="3" t="s">
        <v>659</v>
      </c>
      <c r="D241" s="92"/>
      <c r="E241" s="1"/>
      <c r="F241" s="3" t="s">
        <v>404</v>
      </c>
      <c r="G241" s="92"/>
      <c r="H241" s="1"/>
      <c r="I241" s="3" t="s">
        <v>404</v>
      </c>
    </row>
    <row r="242" spans="1:9" ht="20.399999999999999" x14ac:dyDescent="0.2">
      <c r="A242" s="92"/>
      <c r="B242" s="5" t="s">
        <v>660</v>
      </c>
      <c r="C242" s="10" t="s">
        <v>12</v>
      </c>
      <c r="D242" s="92"/>
      <c r="E242" s="5" t="s">
        <v>106</v>
      </c>
      <c r="F242" s="10" t="s">
        <v>12</v>
      </c>
      <c r="G242" s="92"/>
      <c r="H242" s="5" t="s">
        <v>106</v>
      </c>
      <c r="I242" s="10" t="s">
        <v>12</v>
      </c>
    </row>
    <row r="243" spans="1:9" ht="20.399999999999999" x14ac:dyDescent="0.2">
      <c r="A243" s="92"/>
      <c r="B243" s="5" t="s">
        <v>610</v>
      </c>
      <c r="C243" s="10" t="s">
        <v>661</v>
      </c>
      <c r="D243" s="92"/>
      <c r="E243" s="5" t="s">
        <v>95</v>
      </c>
      <c r="F243" s="54" t="s">
        <v>209</v>
      </c>
      <c r="G243" s="92"/>
      <c r="H243" s="5" t="s">
        <v>93</v>
      </c>
      <c r="I243" s="10" t="s">
        <v>661</v>
      </c>
    </row>
    <row r="244" spans="1:9" ht="15" customHeight="1" x14ac:dyDescent="0.2">
      <c r="A244" s="92"/>
      <c r="B244" s="5" t="s">
        <v>662</v>
      </c>
      <c r="C244" s="10" t="s">
        <v>663</v>
      </c>
      <c r="D244" s="92"/>
      <c r="E244" s="5"/>
      <c r="F244" s="10" t="s">
        <v>404</v>
      </c>
      <c r="G244" s="92"/>
      <c r="H244" s="5" t="s">
        <v>226</v>
      </c>
      <c r="I244" s="10" t="s">
        <v>664</v>
      </c>
    </row>
    <row r="245" spans="1:9" ht="20.399999999999999" x14ac:dyDescent="0.2">
      <c r="A245" s="92"/>
      <c r="B245" s="5" t="s">
        <v>665</v>
      </c>
      <c r="C245" s="10" t="s">
        <v>666</v>
      </c>
      <c r="D245" s="92"/>
      <c r="E245" s="5" t="s">
        <v>93</v>
      </c>
      <c r="F245" s="10" t="s">
        <v>227</v>
      </c>
      <c r="G245" s="92"/>
      <c r="H245" s="5" t="s">
        <v>94</v>
      </c>
      <c r="I245" s="10" t="s">
        <v>1061</v>
      </c>
    </row>
    <row r="246" spans="1:9" ht="20.399999999999999" x14ac:dyDescent="0.2">
      <c r="A246" s="92"/>
      <c r="B246" s="5"/>
      <c r="C246" s="10"/>
      <c r="D246" s="92"/>
      <c r="E246" s="5" t="s">
        <v>226</v>
      </c>
      <c r="F246" s="10" t="s">
        <v>228</v>
      </c>
      <c r="G246" s="92"/>
      <c r="H246" s="5"/>
      <c r="I246" s="10"/>
    </row>
    <row r="247" spans="1:9" x14ac:dyDescent="0.2">
      <c r="A247" s="92"/>
      <c r="B247" s="5" t="s">
        <v>667</v>
      </c>
      <c r="C247" s="10" t="s">
        <v>668</v>
      </c>
      <c r="D247" s="92"/>
      <c r="E247" s="5"/>
      <c r="F247" s="10" t="s">
        <v>669</v>
      </c>
      <c r="G247" s="92"/>
      <c r="H247" s="5" t="s">
        <v>107</v>
      </c>
      <c r="I247" s="10" t="s">
        <v>670</v>
      </c>
    </row>
    <row r="248" spans="1:9" ht="20.399999999999999" x14ac:dyDescent="0.2">
      <c r="A248" s="92"/>
      <c r="B248" s="5" t="s">
        <v>671</v>
      </c>
      <c r="C248" s="3" t="s">
        <v>672</v>
      </c>
      <c r="D248" s="92"/>
      <c r="E248" s="5" t="s">
        <v>107</v>
      </c>
      <c r="F248" s="3" t="s">
        <v>672</v>
      </c>
      <c r="G248" s="92"/>
      <c r="H248" s="5" t="s">
        <v>1063</v>
      </c>
      <c r="I248" s="28" t="s">
        <v>1062</v>
      </c>
    </row>
    <row r="249" spans="1:9" x14ac:dyDescent="0.2">
      <c r="A249" s="92"/>
      <c r="B249" s="5" t="s">
        <v>673</v>
      </c>
      <c r="C249" s="3" t="s">
        <v>674</v>
      </c>
      <c r="D249" s="92"/>
      <c r="E249" s="94"/>
      <c r="F249" s="3" t="s">
        <v>675</v>
      </c>
      <c r="G249" s="92"/>
      <c r="H249" s="94"/>
      <c r="I249" s="3"/>
    </row>
    <row r="250" spans="1:9" x14ac:dyDescent="0.25">
      <c r="A250" s="42"/>
      <c r="B250" s="5" t="s">
        <v>676</v>
      </c>
      <c r="C250" s="3" t="s">
        <v>67</v>
      </c>
      <c r="D250" s="92"/>
      <c r="E250" s="5" t="s">
        <v>94</v>
      </c>
      <c r="F250" s="10" t="s">
        <v>67</v>
      </c>
      <c r="G250" s="92"/>
      <c r="H250" s="5" t="s">
        <v>677</v>
      </c>
      <c r="I250" s="10" t="s">
        <v>67</v>
      </c>
    </row>
    <row r="251" spans="1:9" x14ac:dyDescent="0.25">
      <c r="A251" s="92"/>
      <c r="B251" s="8" t="s">
        <v>678</v>
      </c>
      <c r="C251" s="4"/>
      <c r="D251" s="92"/>
      <c r="E251" s="8" t="s">
        <v>229</v>
      </c>
      <c r="F251" s="4"/>
      <c r="G251" s="92"/>
      <c r="I251" s="1"/>
    </row>
    <row r="252" spans="1:9" ht="20.399999999999999" x14ac:dyDescent="0.25">
      <c r="A252" s="93"/>
      <c r="B252" s="5" t="s">
        <v>679</v>
      </c>
      <c r="C252" s="10" t="s">
        <v>680</v>
      </c>
      <c r="D252" s="93"/>
      <c r="E252" s="5"/>
      <c r="F252" s="10" t="s">
        <v>681</v>
      </c>
      <c r="G252" s="93"/>
      <c r="H252" s="5"/>
      <c r="I252" s="1"/>
    </row>
    <row r="253" spans="1:9" ht="20.399999999999999" x14ac:dyDescent="0.25">
      <c r="A253" s="93"/>
      <c r="B253" s="5" t="s">
        <v>682</v>
      </c>
      <c r="C253" s="10" t="s">
        <v>683</v>
      </c>
      <c r="D253" s="93"/>
      <c r="E253" s="5"/>
      <c r="F253" s="10" t="s">
        <v>684</v>
      </c>
      <c r="G253" s="93"/>
      <c r="H253" s="5"/>
      <c r="I253" s="10"/>
    </row>
    <row r="254" spans="1:9" ht="20.399999999999999" x14ac:dyDescent="0.25">
      <c r="A254" s="93"/>
      <c r="B254" s="5" t="s">
        <v>685</v>
      </c>
      <c r="C254" s="10" t="s">
        <v>16</v>
      </c>
      <c r="D254" s="93"/>
      <c r="E254" s="5" t="s">
        <v>230</v>
      </c>
      <c r="F254" s="10" t="s">
        <v>16</v>
      </c>
      <c r="G254" s="93"/>
      <c r="H254" s="5"/>
      <c r="I254" s="1"/>
    </row>
    <row r="255" spans="1:9" x14ac:dyDescent="0.25">
      <c r="A255" s="93"/>
      <c r="B255" s="5"/>
      <c r="C255" s="10"/>
      <c r="D255" s="93"/>
      <c r="E255" s="5" t="s">
        <v>297</v>
      </c>
      <c r="F255" s="10" t="s">
        <v>298</v>
      </c>
      <c r="G255" s="93"/>
      <c r="H255" s="5"/>
      <c r="I255" s="1"/>
    </row>
    <row r="256" spans="1:9" x14ac:dyDescent="0.2">
      <c r="A256" s="92"/>
      <c r="B256" s="8" t="s">
        <v>686</v>
      </c>
      <c r="C256" s="4"/>
      <c r="D256" s="92"/>
      <c r="E256" s="8" t="s">
        <v>686</v>
      </c>
      <c r="F256" s="4"/>
      <c r="G256" s="92"/>
      <c r="H256" s="8" t="s">
        <v>1064</v>
      </c>
      <c r="I256" s="4"/>
    </row>
    <row r="257" spans="1:9" ht="20.399999999999999" x14ac:dyDescent="0.25">
      <c r="A257" s="93"/>
      <c r="B257" s="5" t="s">
        <v>687</v>
      </c>
      <c r="C257" s="10" t="s">
        <v>688</v>
      </c>
      <c r="D257" s="93"/>
      <c r="E257" s="5" t="s">
        <v>204</v>
      </c>
      <c r="F257" s="10" t="s">
        <v>689</v>
      </c>
      <c r="G257" s="93"/>
      <c r="H257" s="5"/>
      <c r="I257" s="10" t="s">
        <v>690</v>
      </c>
    </row>
    <row r="258" spans="1:9" ht="20.399999999999999" x14ac:dyDescent="0.25">
      <c r="A258" s="93"/>
      <c r="B258" s="5" t="s">
        <v>691</v>
      </c>
      <c r="C258" s="10" t="s">
        <v>572</v>
      </c>
      <c r="D258" s="93"/>
      <c r="E258" s="5" t="s">
        <v>290</v>
      </c>
      <c r="F258" s="10" t="s">
        <v>292</v>
      </c>
      <c r="G258" s="93"/>
      <c r="H258" s="5"/>
      <c r="I258" s="10" t="s">
        <v>690</v>
      </c>
    </row>
    <row r="259" spans="1:9" ht="20.399999999999999" x14ac:dyDescent="0.25">
      <c r="A259" s="93"/>
      <c r="B259" s="5" t="s">
        <v>692</v>
      </c>
      <c r="C259" s="10" t="s">
        <v>693</v>
      </c>
      <c r="D259" s="93"/>
      <c r="E259" s="5" t="s">
        <v>291</v>
      </c>
      <c r="F259" s="10" t="s">
        <v>694</v>
      </c>
      <c r="G259" s="93"/>
      <c r="H259" s="53" t="s">
        <v>230</v>
      </c>
      <c r="I259" s="56" t="s">
        <v>1065</v>
      </c>
    </row>
    <row r="260" spans="1:9" x14ac:dyDescent="0.25">
      <c r="A260" s="92"/>
      <c r="B260" s="38" t="s">
        <v>695</v>
      </c>
      <c r="C260" s="6"/>
      <c r="D260" s="92"/>
      <c r="E260" s="38"/>
      <c r="G260" s="92"/>
      <c r="H260" s="38"/>
      <c r="I260" s="1"/>
    </row>
    <row r="261" spans="1:9" x14ac:dyDescent="0.25">
      <c r="A261" s="93"/>
      <c r="B261" s="123" t="s">
        <v>696</v>
      </c>
      <c r="C261" s="39" t="s">
        <v>580</v>
      </c>
      <c r="D261" s="93"/>
      <c r="E261" s="123"/>
      <c r="F261" s="39" t="s">
        <v>945</v>
      </c>
      <c r="G261" s="93"/>
      <c r="H261" s="123"/>
      <c r="I261" s="39"/>
    </row>
    <row r="262" spans="1:9" x14ac:dyDescent="0.25">
      <c r="A262" s="93"/>
      <c r="B262" s="123" t="s">
        <v>697</v>
      </c>
      <c r="C262" s="39" t="s">
        <v>582</v>
      </c>
      <c r="D262" s="93"/>
      <c r="E262" s="123"/>
      <c r="F262" s="39" t="s">
        <v>945</v>
      </c>
      <c r="G262" s="93"/>
      <c r="H262" s="123"/>
      <c r="I262" s="39"/>
    </row>
    <row r="263" spans="1:9" x14ac:dyDescent="0.25">
      <c r="A263" s="92"/>
      <c r="B263" s="38" t="s">
        <v>698</v>
      </c>
      <c r="C263" s="6"/>
      <c r="D263" s="139"/>
      <c r="E263" s="38" t="s">
        <v>231</v>
      </c>
      <c r="G263" s="139"/>
      <c r="H263" s="123"/>
      <c r="I263" s="1"/>
    </row>
    <row r="264" spans="1:9" ht="15.6" x14ac:dyDescent="0.2">
      <c r="A264" s="140"/>
      <c r="B264" s="123" t="s">
        <v>699</v>
      </c>
      <c r="C264" s="191" t="s">
        <v>700</v>
      </c>
      <c r="D264" s="139"/>
      <c r="E264" s="123" t="s">
        <v>110</v>
      </c>
      <c r="F264" s="191" t="s">
        <v>700</v>
      </c>
      <c r="G264" s="139"/>
    </row>
    <row r="265" spans="1:9" x14ac:dyDescent="0.25">
      <c r="A265" s="93"/>
      <c r="B265" s="123" t="s">
        <v>701</v>
      </c>
      <c r="C265" s="39" t="s">
        <v>7</v>
      </c>
      <c r="D265" s="139"/>
      <c r="E265" s="123" t="s">
        <v>108</v>
      </c>
      <c r="F265" s="39" t="s">
        <v>7</v>
      </c>
      <c r="G265" s="139"/>
      <c r="H265" s="123"/>
      <c r="I265" s="39"/>
    </row>
    <row r="266" spans="1:9" x14ac:dyDescent="0.25">
      <c r="A266" s="93"/>
      <c r="B266" s="123" t="s">
        <v>702</v>
      </c>
      <c r="C266" s="39" t="s">
        <v>703</v>
      </c>
      <c r="D266" s="139"/>
      <c r="E266" s="123" t="s">
        <v>109</v>
      </c>
      <c r="F266" s="39" t="s">
        <v>703</v>
      </c>
      <c r="G266" s="139"/>
      <c r="H266" s="123"/>
      <c r="I266" s="1"/>
    </row>
    <row r="267" spans="1:9" ht="33" customHeight="1" x14ac:dyDescent="0.25">
      <c r="A267" s="86"/>
      <c r="B267" s="177" t="s">
        <v>960</v>
      </c>
      <c r="C267" s="178"/>
      <c r="D267" s="179"/>
      <c r="E267" s="970" t="s">
        <v>961</v>
      </c>
      <c r="F267" s="971"/>
      <c r="G267" s="179"/>
      <c r="H267" s="970" t="s">
        <v>704</v>
      </c>
      <c r="I267" s="971"/>
    </row>
    <row r="268" spans="1:9" ht="15.6" x14ac:dyDescent="0.25">
      <c r="A268" s="141"/>
      <c r="B268" s="142" t="s">
        <v>705</v>
      </c>
      <c r="C268" s="143"/>
      <c r="D268" s="1"/>
      <c r="E268" s="144"/>
      <c r="F268" s="6" t="s">
        <v>706</v>
      </c>
      <c r="G268" s="1"/>
      <c r="H268" s="144"/>
      <c r="I268" s="6" t="s">
        <v>706</v>
      </c>
    </row>
    <row r="269" spans="1:9" ht="15.6" x14ac:dyDescent="0.25">
      <c r="A269" s="140"/>
      <c r="B269" s="23" t="s">
        <v>707</v>
      </c>
      <c r="C269" s="23" t="s">
        <v>708</v>
      </c>
      <c r="D269" s="1"/>
      <c r="F269" s="39" t="s">
        <v>102</v>
      </c>
      <c r="G269" s="1"/>
    </row>
    <row r="270" spans="1:9" ht="15.6" x14ac:dyDescent="0.25">
      <c r="A270" s="140"/>
      <c r="B270" s="23" t="s">
        <v>709</v>
      </c>
      <c r="C270" s="23" t="s">
        <v>710</v>
      </c>
      <c r="D270" s="1"/>
      <c r="F270" s="39" t="s">
        <v>102</v>
      </c>
      <c r="G270" s="1"/>
    </row>
    <row r="271" spans="1:9" ht="15.6" x14ac:dyDescent="0.25">
      <c r="A271" s="140"/>
      <c r="B271" s="23" t="s">
        <v>711</v>
      </c>
      <c r="C271" s="23" t="s">
        <v>588</v>
      </c>
      <c r="D271" s="1"/>
      <c r="F271" s="39" t="s">
        <v>101</v>
      </c>
      <c r="G271" s="1"/>
    </row>
    <row r="272" spans="1:9" ht="15.6" x14ac:dyDescent="0.25">
      <c r="A272" s="140"/>
      <c r="B272" s="23" t="s">
        <v>712</v>
      </c>
      <c r="C272" s="23" t="s">
        <v>590</v>
      </c>
      <c r="D272" s="1"/>
      <c r="F272" s="39" t="s">
        <v>101</v>
      </c>
      <c r="G272" s="1"/>
    </row>
    <row r="273" spans="1:9" ht="20.399999999999999" x14ac:dyDescent="0.25">
      <c r="A273" s="129"/>
      <c r="B273" s="23" t="s">
        <v>713</v>
      </c>
      <c r="C273" s="28" t="s">
        <v>714</v>
      </c>
      <c r="D273" s="1"/>
      <c r="F273" s="39" t="s">
        <v>203</v>
      </c>
      <c r="G273" s="1"/>
    </row>
    <row r="274" spans="1:9" ht="15.6" x14ac:dyDescent="0.25">
      <c r="A274" s="140"/>
      <c r="B274" s="24" t="s">
        <v>715</v>
      </c>
      <c r="C274" s="23"/>
      <c r="D274" s="1"/>
      <c r="E274" s="144" t="s">
        <v>232</v>
      </c>
      <c r="F274" s="145"/>
      <c r="G274" s="1"/>
      <c r="H274" s="144" t="s">
        <v>232</v>
      </c>
      <c r="I274" s="145"/>
    </row>
    <row r="275" spans="1:9" ht="20.399999999999999" x14ac:dyDescent="0.25">
      <c r="A275" s="140"/>
      <c r="B275" s="23" t="s">
        <v>716</v>
      </c>
      <c r="C275" s="23" t="s">
        <v>717</v>
      </c>
      <c r="D275" s="1"/>
      <c r="E275" s="43" t="s">
        <v>234</v>
      </c>
      <c r="F275" s="30" t="s">
        <v>321</v>
      </c>
      <c r="G275" s="40"/>
      <c r="H275" s="43" t="s">
        <v>233</v>
      </c>
      <c r="I275" s="31" t="s">
        <v>717</v>
      </c>
    </row>
    <row r="276" spans="1:9" ht="20.399999999999999" x14ac:dyDescent="0.25">
      <c r="A276" s="140"/>
      <c r="B276" s="23" t="s">
        <v>718</v>
      </c>
      <c r="C276" s="23" t="s">
        <v>719</v>
      </c>
      <c r="D276" s="1"/>
      <c r="E276" s="43" t="s">
        <v>233</v>
      </c>
      <c r="F276" s="192" t="s">
        <v>299</v>
      </c>
      <c r="G276" s="40"/>
      <c r="H276" s="43" t="s">
        <v>234</v>
      </c>
      <c r="I276" s="31" t="s">
        <v>719</v>
      </c>
    </row>
    <row r="277" spans="1:9" ht="15.6" x14ac:dyDescent="0.25">
      <c r="A277" s="140"/>
      <c r="B277" s="23" t="s">
        <v>720</v>
      </c>
      <c r="C277" s="23" t="s">
        <v>55</v>
      </c>
      <c r="D277" s="1"/>
      <c r="E277" s="128" t="s">
        <v>112</v>
      </c>
      <c r="F277" s="23" t="s">
        <v>55</v>
      </c>
      <c r="G277" s="1"/>
      <c r="H277" s="43"/>
      <c r="I277" s="31"/>
    </row>
    <row r="278" spans="1:9" s="175" customFormat="1" ht="20.399999999999999" x14ac:dyDescent="0.25">
      <c r="A278" s="171"/>
      <c r="B278" s="172" t="s">
        <v>721</v>
      </c>
      <c r="C278" s="172" t="s">
        <v>947</v>
      </c>
      <c r="D278" s="173"/>
      <c r="E278" s="172" t="s">
        <v>111</v>
      </c>
      <c r="F278" s="172" t="s">
        <v>235</v>
      </c>
      <c r="G278" s="174"/>
      <c r="H278" s="172" t="s">
        <v>111</v>
      </c>
      <c r="I278" s="172" t="s">
        <v>235</v>
      </c>
    </row>
    <row r="279" spans="1:9" ht="20.399999999999999" x14ac:dyDescent="0.25">
      <c r="A279" s="1"/>
      <c r="B279" s="128" t="s">
        <v>722</v>
      </c>
      <c r="C279" s="172" t="s">
        <v>723</v>
      </c>
      <c r="D279" s="1"/>
      <c r="E279" s="146"/>
      <c r="F279" s="184" t="s">
        <v>404</v>
      </c>
      <c r="G279" s="1"/>
      <c r="H279" s="146"/>
      <c r="I279" s="31" t="s">
        <v>404</v>
      </c>
    </row>
    <row r="280" spans="1:9" ht="20.399999999999999" x14ac:dyDescent="0.25">
      <c r="A280" s="1"/>
      <c r="B280" s="128"/>
      <c r="C280" s="172"/>
      <c r="D280" s="1"/>
      <c r="E280" s="146"/>
      <c r="F280" s="184"/>
      <c r="G280" s="1"/>
      <c r="H280" s="213" t="s">
        <v>112</v>
      </c>
      <c r="I280" s="192" t="s">
        <v>1066</v>
      </c>
    </row>
    <row r="281" spans="1:9" ht="15.6" x14ac:dyDescent="0.25">
      <c r="A281" s="140"/>
      <c r="B281" s="24" t="s">
        <v>724</v>
      </c>
      <c r="C281" s="23"/>
      <c r="D281" s="1"/>
      <c r="E281" s="144" t="s">
        <v>725</v>
      </c>
      <c r="F281" s="145"/>
      <c r="G281" s="1"/>
      <c r="H281" s="144" t="s">
        <v>725</v>
      </c>
      <c r="I281" s="145"/>
    </row>
    <row r="282" spans="1:9" ht="15.6" x14ac:dyDescent="0.25">
      <c r="A282" s="140"/>
      <c r="B282" s="23" t="s">
        <v>726</v>
      </c>
      <c r="C282" s="23" t="s">
        <v>727</v>
      </c>
      <c r="D282" s="1"/>
      <c r="E282" s="128" t="s">
        <v>113</v>
      </c>
      <c r="F282" s="55" t="s">
        <v>315</v>
      </c>
      <c r="G282" s="1"/>
      <c r="H282" s="128" t="s">
        <v>113</v>
      </c>
      <c r="I282" s="6" t="s">
        <v>1067</v>
      </c>
    </row>
    <row r="283" spans="1:9" ht="15.6" x14ac:dyDescent="0.25">
      <c r="A283" s="140"/>
      <c r="B283" s="23" t="s">
        <v>728</v>
      </c>
      <c r="C283" s="23" t="s">
        <v>729</v>
      </c>
      <c r="D283" s="1"/>
      <c r="E283" s="128" t="s">
        <v>114</v>
      </c>
      <c r="F283" s="55" t="s">
        <v>316</v>
      </c>
      <c r="G283" s="1"/>
      <c r="H283" s="128" t="s">
        <v>114</v>
      </c>
      <c r="I283" s="6" t="s">
        <v>729</v>
      </c>
    </row>
    <row r="284" spans="1:9" ht="15.6" x14ac:dyDescent="0.25">
      <c r="A284" s="140"/>
      <c r="B284" s="23" t="s">
        <v>730</v>
      </c>
      <c r="C284" s="23" t="s">
        <v>731</v>
      </c>
      <c r="D284" s="1"/>
      <c r="F284" s="23"/>
      <c r="G284" s="1"/>
    </row>
    <row r="285" spans="1:9" ht="15.6" x14ac:dyDescent="0.25">
      <c r="A285" s="140"/>
      <c r="B285" s="24" t="s">
        <v>732</v>
      </c>
      <c r="C285" s="23"/>
      <c r="D285" s="1"/>
      <c r="E285" s="24" t="s">
        <v>236</v>
      </c>
      <c r="F285" s="23"/>
      <c r="G285" s="1"/>
      <c r="H285" s="24" t="s">
        <v>236</v>
      </c>
      <c r="I285" s="23"/>
    </row>
    <row r="286" spans="1:9" ht="15.6" x14ac:dyDescent="0.25">
      <c r="A286" s="140"/>
      <c r="B286" s="23" t="s">
        <v>733</v>
      </c>
      <c r="C286" s="23" t="s">
        <v>17</v>
      </c>
      <c r="D286" s="1"/>
      <c r="E286" s="23" t="s">
        <v>115</v>
      </c>
      <c r="F286" s="23" t="s">
        <v>17</v>
      </c>
      <c r="G286" s="1"/>
      <c r="H286" s="23"/>
      <c r="I286" s="23"/>
    </row>
    <row r="287" spans="1:9" ht="15.6" x14ac:dyDescent="0.25">
      <c r="A287" s="140"/>
      <c r="B287" s="23" t="s">
        <v>734</v>
      </c>
      <c r="C287" s="23" t="s">
        <v>735</v>
      </c>
      <c r="D287" s="1"/>
      <c r="E287" s="23" t="s">
        <v>116</v>
      </c>
      <c r="F287" s="23" t="s">
        <v>736</v>
      </c>
      <c r="G287" s="40"/>
      <c r="H287" s="23" t="s">
        <v>116</v>
      </c>
      <c r="I287" s="23" t="s">
        <v>736</v>
      </c>
    </row>
    <row r="288" spans="1:9" x14ac:dyDescent="0.25">
      <c r="A288" s="1"/>
      <c r="B288" s="144" t="s">
        <v>737</v>
      </c>
      <c r="C288" s="145"/>
      <c r="D288" s="1"/>
      <c r="E288" s="144" t="s">
        <v>60</v>
      </c>
      <c r="F288" s="145"/>
      <c r="G288" s="1"/>
      <c r="H288" s="144" t="s">
        <v>60</v>
      </c>
      <c r="I288" s="145"/>
    </row>
    <row r="289" spans="1:9" x14ac:dyDescent="0.25">
      <c r="A289" s="1"/>
      <c r="B289" s="128" t="s">
        <v>738</v>
      </c>
      <c r="C289" s="6" t="s">
        <v>739</v>
      </c>
      <c r="D289" s="1"/>
      <c r="G289" s="1"/>
    </row>
    <row r="290" spans="1:9" x14ac:dyDescent="0.25">
      <c r="A290" s="1"/>
      <c r="B290" s="128" t="s">
        <v>740</v>
      </c>
      <c r="C290" s="6" t="s">
        <v>18</v>
      </c>
      <c r="D290" s="1"/>
      <c r="E290" s="128" t="s">
        <v>169</v>
      </c>
      <c r="F290" s="6" t="s">
        <v>18</v>
      </c>
      <c r="G290" s="40"/>
      <c r="H290" s="128" t="s">
        <v>169</v>
      </c>
      <c r="I290" s="6" t="s">
        <v>1068</v>
      </c>
    </row>
    <row r="291" spans="1:9" x14ac:dyDescent="0.25">
      <c r="A291" s="1"/>
      <c r="B291" s="128"/>
      <c r="C291" s="6"/>
      <c r="D291" s="1"/>
      <c r="E291" s="128" t="s">
        <v>171</v>
      </c>
      <c r="F291" s="6" t="s">
        <v>237</v>
      </c>
      <c r="G291" s="40"/>
    </row>
    <row r="292" spans="1:9" ht="21.75" customHeight="1" x14ac:dyDescent="0.25">
      <c r="A292" s="1"/>
      <c r="B292" s="128"/>
      <c r="C292" s="6"/>
      <c r="D292" s="1"/>
      <c r="E292" s="43" t="s">
        <v>173</v>
      </c>
      <c r="F292" s="44" t="s">
        <v>238</v>
      </c>
      <c r="G292" s="40"/>
    </row>
    <row r="293" spans="1:9" ht="21" x14ac:dyDescent="0.25">
      <c r="A293" s="1"/>
      <c r="B293" s="43" t="s">
        <v>741</v>
      </c>
      <c r="C293" s="147" t="s">
        <v>742</v>
      </c>
      <c r="D293" s="1"/>
      <c r="F293" s="31" t="s">
        <v>743</v>
      </c>
      <c r="G293" s="40"/>
    </row>
    <row r="294" spans="1:9" ht="25.5" customHeight="1" x14ac:dyDescent="0.25">
      <c r="A294" s="140"/>
      <c r="B294" s="195" t="s">
        <v>744</v>
      </c>
      <c r="C294" s="191"/>
      <c r="D294" s="51"/>
      <c r="E294" s="966" t="s">
        <v>239</v>
      </c>
      <c r="F294" s="966"/>
      <c r="G294" s="1"/>
      <c r="H294" s="144"/>
      <c r="I294" s="145"/>
    </row>
    <row r="295" spans="1:9" ht="15.6" x14ac:dyDescent="0.25">
      <c r="A295" s="140"/>
      <c r="B295" s="23" t="s">
        <v>745</v>
      </c>
      <c r="C295" s="23" t="s">
        <v>85</v>
      </c>
      <c r="D295" s="1"/>
      <c r="E295" s="45" t="s">
        <v>240</v>
      </c>
      <c r="F295" s="23" t="s">
        <v>85</v>
      </c>
      <c r="G295" s="1"/>
    </row>
    <row r="296" spans="1:9" ht="20.399999999999999" x14ac:dyDescent="0.25">
      <c r="A296" s="140"/>
      <c r="B296" s="191" t="s">
        <v>746</v>
      </c>
      <c r="C296" s="193" t="s">
        <v>19</v>
      </c>
      <c r="D296" s="1"/>
      <c r="E296" s="194" t="s">
        <v>241</v>
      </c>
      <c r="F296" s="193" t="s">
        <v>19</v>
      </c>
      <c r="G296" s="1"/>
    </row>
    <row r="297" spans="1:9" ht="15.6" x14ac:dyDescent="0.25">
      <c r="A297" s="140"/>
      <c r="B297" s="23" t="s">
        <v>747</v>
      </c>
      <c r="C297" s="23" t="s">
        <v>31</v>
      </c>
      <c r="D297" s="1"/>
      <c r="E297" s="45" t="s">
        <v>242</v>
      </c>
      <c r="F297" s="23" t="s">
        <v>31</v>
      </c>
      <c r="G297" s="1"/>
    </row>
    <row r="298" spans="1:9" ht="15.6" x14ac:dyDescent="0.25">
      <c r="A298" s="140"/>
      <c r="B298" s="24" t="s">
        <v>748</v>
      </c>
      <c r="C298" s="23"/>
      <c r="D298" s="1"/>
      <c r="E298" s="144"/>
      <c r="F298" s="145"/>
      <c r="G298" s="1"/>
      <c r="H298" s="144"/>
      <c r="I298" s="145"/>
    </row>
    <row r="299" spans="1:9" ht="15.6" x14ac:dyDescent="0.25">
      <c r="A299" s="148"/>
      <c r="B299" s="149" t="s">
        <v>749</v>
      </c>
      <c r="C299" s="149" t="s">
        <v>750</v>
      </c>
      <c r="D299" s="1"/>
      <c r="G299" s="1"/>
    </row>
    <row r="300" spans="1:9" x14ac:dyDescent="0.25">
      <c r="A300" s="150"/>
      <c r="B300" s="151" t="s">
        <v>751</v>
      </c>
      <c r="C300" s="152"/>
      <c r="D300" s="1"/>
      <c r="E300" s="144"/>
      <c r="F300" s="145"/>
      <c r="G300" s="1"/>
      <c r="H300" s="144"/>
      <c r="I300" s="145"/>
    </row>
    <row r="301" spans="1:9" x14ac:dyDescent="0.25">
      <c r="A301" s="1"/>
      <c r="B301" s="128" t="s">
        <v>752</v>
      </c>
      <c r="C301" s="6" t="s">
        <v>753</v>
      </c>
      <c r="D301" s="1"/>
      <c r="G301" s="1"/>
      <c r="I301" s="1"/>
    </row>
    <row r="302" spans="1:9" x14ac:dyDescent="0.25">
      <c r="A302" s="1"/>
      <c r="B302" s="128" t="s">
        <v>1035</v>
      </c>
      <c r="C302" s="6" t="s">
        <v>1037</v>
      </c>
      <c r="D302" s="1"/>
      <c r="G302" s="1"/>
      <c r="I302" s="1"/>
    </row>
    <row r="303" spans="1:9" x14ac:dyDescent="0.25">
      <c r="A303" s="1"/>
      <c r="B303" s="128" t="s">
        <v>1036</v>
      </c>
      <c r="C303" s="6" t="s">
        <v>1038</v>
      </c>
      <c r="D303" s="1"/>
      <c r="G303" s="1"/>
      <c r="I303" s="1"/>
    </row>
    <row r="304" spans="1:9" x14ac:dyDescent="0.25">
      <c r="A304" s="1"/>
      <c r="B304" s="128"/>
      <c r="C304" s="6"/>
      <c r="D304" s="1"/>
      <c r="E304" s="966" t="s">
        <v>308</v>
      </c>
      <c r="F304" s="966"/>
      <c r="G304" s="1"/>
      <c r="I304" s="1"/>
    </row>
    <row r="305" spans="1:9" ht="24.75" customHeight="1" x14ac:dyDescent="0.25">
      <c r="A305" s="1"/>
      <c r="B305" s="128"/>
      <c r="C305" s="6"/>
      <c r="D305" s="1"/>
      <c r="E305" s="59" t="s">
        <v>309</v>
      </c>
      <c r="F305" s="28" t="s">
        <v>307</v>
      </c>
      <c r="G305" s="1"/>
      <c r="I305" s="1"/>
    </row>
    <row r="306" spans="1:9" ht="20.399999999999999" x14ac:dyDescent="0.25">
      <c r="A306" s="1"/>
      <c r="B306" s="128"/>
      <c r="C306" s="6"/>
      <c r="D306" s="1"/>
      <c r="E306" s="59" t="s">
        <v>310</v>
      </c>
      <c r="F306" s="30" t="s">
        <v>320</v>
      </c>
      <c r="G306" s="1"/>
      <c r="I306" s="1"/>
    </row>
    <row r="307" spans="1:9" x14ac:dyDescent="0.25">
      <c r="A307" s="1"/>
      <c r="B307" s="128"/>
      <c r="C307" s="6"/>
      <c r="D307" s="1"/>
      <c r="E307" s="966" t="s">
        <v>311</v>
      </c>
      <c r="F307" s="966"/>
      <c r="G307" s="1"/>
      <c r="I307" s="1"/>
    </row>
    <row r="308" spans="1:9" ht="24.75" customHeight="1" x14ac:dyDescent="0.25">
      <c r="A308" s="1"/>
      <c r="B308" s="128"/>
      <c r="C308" s="6"/>
      <c r="D308" s="1"/>
      <c r="E308" s="59" t="s">
        <v>312</v>
      </c>
      <c r="F308" s="28" t="s">
        <v>331</v>
      </c>
      <c r="G308" s="1"/>
      <c r="I308" s="1"/>
    </row>
    <row r="309" spans="1:9" x14ac:dyDescent="0.25">
      <c r="A309" s="1"/>
      <c r="B309" s="128"/>
      <c r="C309" s="6"/>
      <c r="D309" s="1"/>
      <c r="E309" s="59" t="s">
        <v>313</v>
      </c>
      <c r="F309" s="27" t="s">
        <v>306</v>
      </c>
      <c r="G309" s="1"/>
      <c r="I309" s="1"/>
    </row>
    <row r="310" spans="1:9" ht="28.5" customHeight="1" x14ac:dyDescent="0.25">
      <c r="A310" s="86">
        <v>10</v>
      </c>
      <c r="B310" s="954" t="s">
        <v>962</v>
      </c>
      <c r="C310" s="955"/>
      <c r="D310" s="89"/>
      <c r="E310" s="954" t="s">
        <v>963</v>
      </c>
      <c r="F310" s="955"/>
      <c r="G310"/>
      <c r="H310"/>
      <c r="I310"/>
    </row>
    <row r="311" spans="1:9" ht="24" customHeight="1" x14ac:dyDescent="0.2">
      <c r="A311" s="46"/>
      <c r="B311" s="967" t="s">
        <v>32</v>
      </c>
      <c r="C311" s="967"/>
      <c r="D311" s="46"/>
      <c r="E311" s="46"/>
      <c r="F311" s="46" t="s">
        <v>754</v>
      </c>
      <c r="G311" s="46"/>
      <c r="H311" s="46"/>
    </row>
    <row r="312" spans="1:9" ht="20.399999999999999" x14ac:dyDescent="0.2">
      <c r="A312" s="46"/>
      <c r="B312" s="14" t="s">
        <v>755</v>
      </c>
      <c r="C312" s="7" t="s">
        <v>756</v>
      </c>
      <c r="D312" s="46"/>
      <c r="E312" s="46"/>
      <c r="F312" s="46"/>
      <c r="G312" s="46"/>
      <c r="H312" s="46"/>
      <c r="I312" s="46"/>
    </row>
    <row r="313" spans="1:9" x14ac:dyDescent="0.2">
      <c r="A313" s="46"/>
      <c r="B313" s="13" t="s">
        <v>757</v>
      </c>
      <c r="C313" s="14" t="s">
        <v>33</v>
      </c>
      <c r="D313" s="46"/>
      <c r="E313" s="46"/>
      <c r="F313" s="46"/>
      <c r="G313" s="46"/>
      <c r="H313" s="46"/>
      <c r="I313" s="46"/>
    </row>
    <row r="314" spans="1:9" x14ac:dyDescent="0.2">
      <c r="A314" s="46"/>
      <c r="B314" s="13" t="s">
        <v>758</v>
      </c>
      <c r="C314" s="15" t="s">
        <v>759</v>
      </c>
      <c r="D314" s="46"/>
      <c r="E314" s="46"/>
      <c r="F314" s="46"/>
      <c r="G314" s="46"/>
      <c r="H314" s="46"/>
      <c r="I314" s="46"/>
    </row>
    <row r="315" spans="1:9" x14ac:dyDescent="0.2">
      <c r="A315" s="46"/>
      <c r="B315" s="13" t="s">
        <v>760</v>
      </c>
      <c r="C315" s="3" t="s">
        <v>761</v>
      </c>
      <c r="D315" s="46"/>
      <c r="E315" s="46"/>
      <c r="F315" s="46" t="s">
        <v>948</v>
      </c>
      <c r="G315" s="46"/>
      <c r="H315" s="46"/>
      <c r="I315" s="46"/>
    </row>
    <row r="316" spans="1:9" ht="15.6" x14ac:dyDescent="0.3">
      <c r="A316" s="46"/>
      <c r="B316" s="13" t="s">
        <v>762</v>
      </c>
      <c r="C316" s="3" t="s">
        <v>763</v>
      </c>
      <c r="D316" s="46"/>
      <c r="E316" s="46"/>
      <c r="F316" s="153"/>
      <c r="G316" s="46"/>
      <c r="H316" s="46"/>
    </row>
    <row r="317" spans="1:9" ht="24" customHeight="1" x14ac:dyDescent="0.2">
      <c r="A317" s="46"/>
      <c r="B317" s="974" t="s">
        <v>43</v>
      </c>
      <c r="C317" s="974"/>
      <c r="D317" s="46"/>
      <c r="E317" s="46"/>
      <c r="F317" s="46"/>
      <c r="G317" s="46"/>
      <c r="H317" s="46"/>
      <c r="I317" s="46"/>
    </row>
    <row r="318" spans="1:9" ht="20.399999999999999" x14ac:dyDescent="0.2">
      <c r="A318" s="46"/>
      <c r="B318" s="13" t="s">
        <v>764</v>
      </c>
      <c r="C318" s="3" t="s">
        <v>765</v>
      </c>
      <c r="D318" s="46"/>
      <c r="E318" s="46"/>
      <c r="F318" s="46"/>
      <c r="G318" s="46"/>
      <c r="H318" s="46"/>
      <c r="I318" s="46"/>
    </row>
    <row r="319" spans="1:9" x14ac:dyDescent="0.2">
      <c r="A319" s="46"/>
      <c r="B319" s="13" t="s">
        <v>766</v>
      </c>
      <c r="C319" s="3" t="s">
        <v>767</v>
      </c>
      <c r="D319" s="46"/>
      <c r="E319" s="46"/>
      <c r="F319" s="46"/>
      <c r="G319" s="46"/>
      <c r="H319" s="46"/>
      <c r="I319" s="46"/>
    </row>
    <row r="320" spans="1:9" x14ac:dyDescent="0.2">
      <c r="A320" s="46"/>
      <c r="D320" s="46"/>
      <c r="E320" s="8" t="s">
        <v>768</v>
      </c>
      <c r="F320" s="4"/>
      <c r="G320" s="93"/>
      <c r="H320" s="8"/>
      <c r="I320" s="4"/>
    </row>
    <row r="321" spans="1:9" ht="20.399999999999999" x14ac:dyDescent="0.2">
      <c r="A321" s="46"/>
      <c r="D321" s="46"/>
      <c r="E321" s="14" t="s">
        <v>243</v>
      </c>
      <c r="F321" s="7" t="s">
        <v>244</v>
      </c>
      <c r="G321" s="14"/>
      <c r="H321" s="14"/>
      <c r="I321" s="14"/>
    </row>
    <row r="322" spans="1:9" ht="20.399999999999999" x14ac:dyDescent="0.2">
      <c r="A322" s="46"/>
      <c r="D322" s="46"/>
      <c r="E322" s="14" t="s">
        <v>245</v>
      </c>
      <c r="F322" s="7" t="s">
        <v>246</v>
      </c>
      <c r="G322" s="93"/>
      <c r="H322" s="13"/>
      <c r="I322" s="14"/>
    </row>
    <row r="323" spans="1:9" x14ac:dyDescent="0.25">
      <c r="A323" s="93"/>
      <c r="B323" s="1"/>
      <c r="C323" s="1"/>
      <c r="D323" s="93"/>
      <c r="E323" s="14" t="s">
        <v>247</v>
      </c>
      <c r="F323" s="15" t="s">
        <v>248</v>
      </c>
      <c r="G323" s="93"/>
      <c r="H323" s="13"/>
      <c r="I323" s="15"/>
    </row>
    <row r="324" spans="1:9" x14ac:dyDescent="0.25">
      <c r="A324" s="93"/>
      <c r="B324" s="1"/>
      <c r="C324" s="1"/>
      <c r="D324" s="93"/>
      <c r="E324" s="8" t="s">
        <v>43</v>
      </c>
      <c r="F324" s="4"/>
      <c r="G324" s="93"/>
      <c r="H324" s="8"/>
      <c r="I324" s="4"/>
    </row>
    <row r="325" spans="1:9" x14ac:dyDescent="0.25">
      <c r="A325" s="93"/>
      <c r="B325" s="13" t="s">
        <v>1039</v>
      </c>
      <c r="C325" s="7" t="s">
        <v>250</v>
      </c>
      <c r="D325" s="93"/>
      <c r="E325" s="13" t="s">
        <v>249</v>
      </c>
      <c r="F325" s="14" t="s">
        <v>250</v>
      </c>
      <c r="G325" s="93"/>
      <c r="H325" s="13"/>
      <c r="I325" s="14"/>
    </row>
    <row r="326" spans="1:9" x14ac:dyDescent="0.25">
      <c r="A326" s="93"/>
      <c r="B326" s="1"/>
      <c r="C326" s="1"/>
      <c r="D326" s="93"/>
      <c r="E326" s="13" t="s">
        <v>251</v>
      </c>
      <c r="F326" s="15" t="s">
        <v>252</v>
      </c>
      <c r="G326" s="93"/>
      <c r="H326" s="13"/>
      <c r="I326" s="15"/>
    </row>
    <row r="327" spans="1:9" x14ac:dyDescent="0.25">
      <c r="A327" s="93"/>
      <c r="B327" s="1"/>
      <c r="C327" s="1"/>
      <c r="D327" s="93"/>
      <c r="E327" s="13" t="s">
        <v>253</v>
      </c>
      <c r="F327" s="15" t="s">
        <v>255</v>
      </c>
      <c r="G327" s="93"/>
      <c r="H327" s="13"/>
      <c r="I327" s="15"/>
    </row>
    <row r="328" spans="1:9" x14ac:dyDescent="0.25">
      <c r="A328" s="93"/>
      <c r="B328" s="13" t="s">
        <v>769</v>
      </c>
      <c r="C328" s="14" t="s">
        <v>770</v>
      </c>
      <c r="D328" s="93"/>
      <c r="E328" s="13" t="s">
        <v>254</v>
      </c>
      <c r="F328" s="3" t="s">
        <v>258</v>
      </c>
      <c r="G328" s="93"/>
      <c r="H328" s="13"/>
      <c r="I328" s="1"/>
    </row>
    <row r="329" spans="1:9" x14ac:dyDescent="0.25">
      <c r="A329" s="92"/>
      <c r="B329" s="1"/>
      <c r="C329" s="1"/>
      <c r="D329" s="92"/>
      <c r="E329" s="13" t="s">
        <v>256</v>
      </c>
      <c r="F329" s="7" t="s">
        <v>260</v>
      </c>
      <c r="G329" s="92"/>
      <c r="H329" s="13"/>
      <c r="I329" s="95"/>
    </row>
    <row r="330" spans="1:9" x14ac:dyDescent="0.2">
      <c r="A330" s="127"/>
      <c r="D330" s="127"/>
      <c r="E330" s="13" t="s">
        <v>257</v>
      </c>
      <c r="F330" s="7" t="s">
        <v>319</v>
      </c>
      <c r="G330" s="127"/>
      <c r="H330" s="13"/>
      <c r="I330" s="3"/>
    </row>
    <row r="331" spans="1:9" x14ac:dyDescent="0.2">
      <c r="A331" s="131"/>
      <c r="B331" s="13" t="s">
        <v>771</v>
      </c>
      <c r="C331" s="15" t="s">
        <v>772</v>
      </c>
      <c r="D331" s="131"/>
      <c r="E331" s="13" t="s">
        <v>259</v>
      </c>
      <c r="F331" s="7" t="s">
        <v>263</v>
      </c>
      <c r="G331" s="131"/>
      <c r="H331" s="154"/>
      <c r="I331" s="7"/>
    </row>
    <row r="332" spans="1:9" x14ac:dyDescent="0.2">
      <c r="A332" s="131"/>
      <c r="B332" s="13" t="s">
        <v>773</v>
      </c>
      <c r="C332" s="15" t="s">
        <v>44</v>
      </c>
      <c r="D332" s="131"/>
      <c r="E332" s="13" t="s">
        <v>261</v>
      </c>
      <c r="F332" s="15" t="s">
        <v>44</v>
      </c>
      <c r="G332" s="131"/>
      <c r="H332" s="154"/>
      <c r="I332" s="7"/>
    </row>
    <row r="333" spans="1:9" ht="11.25" customHeight="1" x14ac:dyDescent="0.2">
      <c r="A333" s="131"/>
      <c r="B333" s="13" t="s">
        <v>774</v>
      </c>
      <c r="C333" s="3" t="s">
        <v>45</v>
      </c>
      <c r="D333" s="131"/>
      <c r="E333" s="13" t="s">
        <v>262</v>
      </c>
      <c r="F333" s="3" t="s">
        <v>45</v>
      </c>
      <c r="G333" s="131"/>
      <c r="H333" s="154"/>
      <c r="I333" s="7"/>
    </row>
    <row r="334" spans="1:9" s="175" customFormat="1" ht="31.5" customHeight="1" x14ac:dyDescent="0.25">
      <c r="A334" s="196">
        <v>11</v>
      </c>
      <c r="B334" s="957" t="s">
        <v>965</v>
      </c>
      <c r="C334" s="957"/>
      <c r="D334" s="196"/>
      <c r="E334" s="957" t="s">
        <v>964</v>
      </c>
      <c r="F334" s="957"/>
      <c r="G334" s="196"/>
      <c r="H334" s="957" t="s">
        <v>775</v>
      </c>
      <c r="I334" s="957"/>
    </row>
    <row r="335" spans="1:9" s="175" customFormat="1" ht="24" customHeight="1" x14ac:dyDescent="0.25">
      <c r="A335" s="57"/>
      <c r="B335" s="964" t="s">
        <v>776</v>
      </c>
      <c r="C335" s="965"/>
      <c r="D335" s="57"/>
      <c r="E335" s="964"/>
      <c r="F335" s="965"/>
      <c r="G335" s="57"/>
      <c r="H335" s="964"/>
      <c r="I335" s="965"/>
    </row>
    <row r="336" spans="1:9" s="175" customFormat="1" ht="20.399999999999999" x14ac:dyDescent="0.25">
      <c r="A336" s="57"/>
      <c r="B336" s="28" t="s">
        <v>777</v>
      </c>
      <c r="C336" s="155" t="s">
        <v>778</v>
      </c>
      <c r="D336" s="57"/>
      <c r="E336" s="28"/>
      <c r="F336" s="155" t="s">
        <v>779</v>
      </c>
      <c r="G336" s="57"/>
      <c r="H336" s="28"/>
      <c r="I336" s="155"/>
    </row>
    <row r="337" spans="1:9" x14ac:dyDescent="0.2">
      <c r="A337" s="4"/>
      <c r="B337" s="29" t="s">
        <v>780</v>
      </c>
      <c r="C337" s="28" t="s">
        <v>781</v>
      </c>
      <c r="D337" s="4"/>
      <c r="E337" s="29"/>
      <c r="F337" s="28"/>
      <c r="G337" s="4"/>
      <c r="H337" s="29"/>
      <c r="I337" s="28"/>
    </row>
    <row r="338" spans="1:9" ht="15" customHeight="1" x14ac:dyDescent="0.2">
      <c r="A338" s="4"/>
      <c r="B338" s="29" t="s">
        <v>782</v>
      </c>
      <c r="C338" s="28" t="s">
        <v>783</v>
      </c>
      <c r="D338" s="4"/>
      <c r="E338" s="29"/>
      <c r="F338" s="28"/>
      <c r="G338" s="4"/>
      <c r="H338" s="29"/>
      <c r="I338" s="28"/>
    </row>
    <row r="339" spans="1:9" ht="20.399999999999999" x14ac:dyDescent="0.25">
      <c r="A339" s="4"/>
      <c r="B339" s="29" t="s">
        <v>784</v>
      </c>
      <c r="C339" s="155" t="s">
        <v>785</v>
      </c>
      <c r="D339" s="4"/>
      <c r="E339" s="29"/>
      <c r="F339" s="28"/>
      <c r="G339" s="4"/>
      <c r="H339" s="29"/>
      <c r="I339" s="1"/>
    </row>
    <row r="340" spans="1:9" ht="20.399999999999999" x14ac:dyDescent="0.25">
      <c r="A340" s="4"/>
      <c r="B340" s="29" t="s">
        <v>1040</v>
      </c>
      <c r="C340" s="155" t="s">
        <v>1041</v>
      </c>
      <c r="D340" s="4"/>
      <c r="E340" s="29"/>
      <c r="F340" s="28"/>
      <c r="G340" s="4"/>
      <c r="H340" s="29"/>
      <c r="I340" s="1"/>
    </row>
    <row r="341" spans="1:9" x14ac:dyDescent="0.2">
      <c r="A341" s="4"/>
      <c r="B341" s="2" t="s">
        <v>786</v>
      </c>
      <c r="C341" s="17"/>
      <c r="D341" s="4"/>
      <c r="E341" s="2" t="s">
        <v>264</v>
      </c>
      <c r="F341" s="17"/>
      <c r="G341" s="4"/>
      <c r="H341" s="2" t="s">
        <v>264</v>
      </c>
      <c r="I341" s="17"/>
    </row>
    <row r="342" spans="1:9" ht="12.75" customHeight="1" x14ac:dyDescent="0.2">
      <c r="A342" s="4"/>
      <c r="B342" s="5" t="s">
        <v>787</v>
      </c>
      <c r="C342" s="10" t="s">
        <v>50</v>
      </c>
      <c r="D342" s="4"/>
      <c r="E342" s="5" t="s">
        <v>117</v>
      </c>
      <c r="F342" s="10" t="s">
        <v>788</v>
      </c>
      <c r="G342" s="4"/>
      <c r="H342" s="5" t="s">
        <v>117</v>
      </c>
      <c r="I342" s="10" t="s">
        <v>50</v>
      </c>
    </row>
    <row r="343" spans="1:9" ht="12.75" customHeight="1" x14ac:dyDescent="0.25">
      <c r="A343" s="93"/>
      <c r="B343" s="5" t="s">
        <v>789</v>
      </c>
      <c r="C343" s="10" t="s">
        <v>52</v>
      </c>
      <c r="D343" s="93"/>
      <c r="E343" s="5" t="s">
        <v>118</v>
      </c>
      <c r="F343" s="10" t="s">
        <v>52</v>
      </c>
      <c r="G343" s="93"/>
      <c r="H343" s="5" t="s">
        <v>118</v>
      </c>
      <c r="I343" s="10" t="s">
        <v>52</v>
      </c>
    </row>
    <row r="344" spans="1:9" ht="12.75" customHeight="1" x14ac:dyDescent="0.25">
      <c r="A344" s="93"/>
      <c r="B344" s="5" t="s">
        <v>790</v>
      </c>
      <c r="C344" s="10" t="s">
        <v>791</v>
      </c>
      <c r="D344" s="93"/>
      <c r="E344" s="5"/>
      <c r="F344" s="10" t="s">
        <v>966</v>
      </c>
      <c r="G344" s="93"/>
      <c r="H344" s="5"/>
      <c r="I344" s="10"/>
    </row>
    <row r="345" spans="1:9" x14ac:dyDescent="0.2">
      <c r="A345" s="4"/>
      <c r="B345" s="156" t="s">
        <v>792</v>
      </c>
      <c r="C345" s="157"/>
      <c r="D345" s="4"/>
      <c r="E345" s="156" t="s">
        <v>265</v>
      </c>
      <c r="F345" s="157"/>
      <c r="G345" s="4"/>
      <c r="H345" s="156" t="s">
        <v>265</v>
      </c>
      <c r="I345" s="157"/>
    </row>
    <row r="346" spans="1:9" ht="30.6" x14ac:dyDescent="0.2">
      <c r="A346" s="4"/>
      <c r="B346" s="5" t="s">
        <v>793</v>
      </c>
      <c r="C346" s="10" t="s">
        <v>794</v>
      </c>
      <c r="D346" s="4"/>
      <c r="E346" s="5" t="s">
        <v>119</v>
      </c>
      <c r="F346" s="10" t="s">
        <v>794</v>
      </c>
      <c r="G346" s="4"/>
      <c r="H346" s="5" t="s">
        <v>119</v>
      </c>
      <c r="I346" s="10" t="s">
        <v>794</v>
      </c>
    </row>
    <row r="347" spans="1:9" ht="30.6" x14ac:dyDescent="0.2">
      <c r="A347" s="4"/>
      <c r="B347" s="197" t="s">
        <v>795</v>
      </c>
      <c r="C347" s="198" t="s">
        <v>796</v>
      </c>
      <c r="D347" s="4"/>
      <c r="E347" s="5"/>
      <c r="F347" s="10" t="s">
        <v>404</v>
      </c>
      <c r="G347" s="4"/>
      <c r="H347" s="5"/>
      <c r="I347" s="10" t="s">
        <v>404</v>
      </c>
    </row>
    <row r="348" spans="1:9" ht="20.399999999999999" x14ac:dyDescent="0.2">
      <c r="A348" s="4"/>
      <c r="B348" s="5" t="s">
        <v>797</v>
      </c>
      <c r="C348" s="10" t="s">
        <v>798</v>
      </c>
      <c r="D348" s="4"/>
      <c r="E348" s="5"/>
      <c r="F348" s="10" t="s">
        <v>799</v>
      </c>
      <c r="G348" s="4"/>
      <c r="H348" s="5"/>
      <c r="I348" s="10" t="s">
        <v>800</v>
      </c>
    </row>
    <row r="349" spans="1:9" ht="30.6" x14ac:dyDescent="0.2">
      <c r="A349" s="4"/>
      <c r="B349" s="5" t="s">
        <v>801</v>
      </c>
      <c r="C349" s="10" t="s">
        <v>51</v>
      </c>
      <c r="D349" s="4"/>
      <c r="E349" s="5" t="s">
        <v>120</v>
      </c>
      <c r="F349" s="10" t="s">
        <v>51</v>
      </c>
      <c r="G349" s="4"/>
      <c r="H349" s="5" t="s">
        <v>120</v>
      </c>
      <c r="I349" s="10" t="s">
        <v>51</v>
      </c>
    </row>
    <row r="350" spans="1:9" ht="20.399999999999999" x14ac:dyDescent="0.2">
      <c r="A350" s="4"/>
      <c r="B350" s="5" t="s">
        <v>802</v>
      </c>
      <c r="C350" s="47" t="s">
        <v>803</v>
      </c>
      <c r="D350" s="4"/>
      <c r="E350" s="5" t="s">
        <v>121</v>
      </c>
      <c r="F350" s="47" t="s">
        <v>803</v>
      </c>
      <c r="G350" s="4"/>
      <c r="H350" s="5" t="s">
        <v>121</v>
      </c>
      <c r="I350" s="47" t="s">
        <v>803</v>
      </c>
    </row>
    <row r="351" spans="1:9" x14ac:dyDescent="0.25">
      <c r="A351" s="4"/>
      <c r="B351" s="5" t="s">
        <v>804</v>
      </c>
      <c r="C351" s="47" t="s">
        <v>29</v>
      </c>
      <c r="D351" s="4"/>
      <c r="E351" s="5" t="s">
        <v>266</v>
      </c>
      <c r="F351" s="47" t="s">
        <v>29</v>
      </c>
      <c r="G351" s="4"/>
      <c r="H351" s="5"/>
      <c r="I351" s="1"/>
    </row>
    <row r="352" spans="1:9" x14ac:dyDescent="0.2">
      <c r="A352" s="4"/>
      <c r="B352" s="156" t="s">
        <v>805</v>
      </c>
      <c r="C352" s="158"/>
      <c r="D352" s="4"/>
      <c r="E352" s="156" t="s">
        <v>805</v>
      </c>
      <c r="F352" s="158"/>
      <c r="G352" s="4"/>
      <c r="H352" s="156" t="s">
        <v>805</v>
      </c>
      <c r="I352" s="158"/>
    </row>
    <row r="353" spans="1:9" ht="20.399999999999999" x14ac:dyDescent="0.2">
      <c r="A353" s="4"/>
      <c r="B353" s="5" t="s">
        <v>806</v>
      </c>
      <c r="C353" s="10" t="s">
        <v>807</v>
      </c>
      <c r="D353" s="4"/>
      <c r="E353" s="5"/>
      <c r="F353" s="10" t="s">
        <v>808</v>
      </c>
      <c r="G353" s="4"/>
      <c r="H353" s="5"/>
      <c r="I353" s="10" t="s">
        <v>800</v>
      </c>
    </row>
    <row r="354" spans="1:9" ht="20.399999999999999" x14ac:dyDescent="0.2">
      <c r="A354" s="4"/>
      <c r="B354" s="5" t="s">
        <v>809</v>
      </c>
      <c r="C354" s="3" t="s">
        <v>810</v>
      </c>
      <c r="D354" s="4"/>
      <c r="E354" s="5"/>
      <c r="F354" s="10" t="s">
        <v>808</v>
      </c>
      <c r="G354" s="4"/>
      <c r="H354" s="5"/>
      <c r="I354" s="10" t="s">
        <v>800</v>
      </c>
    </row>
    <row r="355" spans="1:9" x14ac:dyDescent="0.2">
      <c r="A355" s="4"/>
      <c r="B355" s="5" t="s">
        <v>811</v>
      </c>
      <c r="C355" s="10" t="s">
        <v>812</v>
      </c>
      <c r="D355" s="4"/>
      <c r="E355" s="5"/>
      <c r="F355" s="10" t="s">
        <v>813</v>
      </c>
      <c r="G355" s="4"/>
      <c r="H355" s="5"/>
      <c r="I355" s="10"/>
    </row>
    <row r="356" spans="1:9" ht="20.399999999999999" x14ac:dyDescent="0.2">
      <c r="A356" s="4"/>
      <c r="B356" s="5" t="s">
        <v>814</v>
      </c>
      <c r="C356" s="10" t="s">
        <v>815</v>
      </c>
      <c r="D356" s="4"/>
      <c r="E356" s="5"/>
      <c r="F356" s="10" t="s">
        <v>813</v>
      </c>
      <c r="G356" s="4"/>
      <c r="H356" s="5"/>
      <c r="I356" s="10"/>
    </row>
    <row r="357" spans="1:9" ht="20.399999999999999" x14ac:dyDescent="0.2">
      <c r="A357" s="4"/>
      <c r="B357" s="5" t="s">
        <v>816</v>
      </c>
      <c r="C357" s="10" t="s">
        <v>817</v>
      </c>
      <c r="D357" s="4"/>
      <c r="E357" s="5" t="s">
        <v>122</v>
      </c>
      <c r="F357" s="10" t="s">
        <v>818</v>
      </c>
      <c r="G357" s="4"/>
      <c r="H357" s="5" t="s">
        <v>122</v>
      </c>
      <c r="I357" s="10" t="s">
        <v>818</v>
      </c>
    </row>
    <row r="358" spans="1:9" ht="20.399999999999999" x14ac:dyDescent="0.2">
      <c r="A358" s="4"/>
      <c r="B358" s="5" t="s">
        <v>819</v>
      </c>
      <c r="C358" s="10" t="s">
        <v>1043</v>
      </c>
      <c r="D358" s="4"/>
      <c r="E358" s="94"/>
      <c r="F358" s="10" t="s">
        <v>820</v>
      </c>
      <c r="G358" s="4"/>
      <c r="H358" s="94"/>
      <c r="I358" s="10" t="s">
        <v>821</v>
      </c>
    </row>
    <row r="359" spans="1:9" ht="12.75" customHeight="1" x14ac:dyDescent="0.2">
      <c r="A359" s="4"/>
      <c r="B359" s="5" t="s">
        <v>822</v>
      </c>
      <c r="C359" s="10" t="s">
        <v>1044</v>
      </c>
      <c r="D359" s="4"/>
      <c r="E359" s="94"/>
      <c r="F359" s="10"/>
      <c r="G359" s="4"/>
      <c r="H359" s="94"/>
      <c r="I359" s="10"/>
    </row>
    <row r="360" spans="1:9" ht="20.399999999999999" x14ac:dyDescent="0.2">
      <c r="A360" s="4"/>
      <c r="B360" s="5" t="s">
        <v>1042</v>
      </c>
      <c r="C360" s="10" t="s">
        <v>823</v>
      </c>
      <c r="D360" s="4"/>
      <c r="E360" s="113"/>
      <c r="F360" s="10" t="s">
        <v>824</v>
      </c>
      <c r="G360" s="4"/>
      <c r="H360" s="113"/>
      <c r="I360" s="121"/>
    </row>
    <row r="361" spans="1:9" ht="20.399999999999999" x14ac:dyDescent="0.2">
      <c r="A361" s="4"/>
      <c r="B361" s="5"/>
      <c r="C361" s="10"/>
      <c r="D361" s="4"/>
      <c r="E361" s="53" t="s">
        <v>323</v>
      </c>
      <c r="F361" s="64" t="s">
        <v>324</v>
      </c>
      <c r="G361" s="4"/>
      <c r="H361" s="113"/>
      <c r="I361" s="199"/>
    </row>
    <row r="362" spans="1:9" x14ac:dyDescent="0.25">
      <c r="A362" s="4"/>
      <c r="B362" s="156" t="s">
        <v>825</v>
      </c>
      <c r="C362" s="158"/>
      <c r="D362" s="4"/>
      <c r="E362" s="156"/>
      <c r="F362" s="158"/>
      <c r="G362" s="4"/>
      <c r="H362" s="156"/>
      <c r="I362" s="1"/>
    </row>
    <row r="363" spans="1:9" ht="20.399999999999999" x14ac:dyDescent="0.2">
      <c r="A363" s="4"/>
      <c r="B363" s="5" t="s">
        <v>826</v>
      </c>
      <c r="C363" s="155" t="s">
        <v>827</v>
      </c>
      <c r="D363" s="4"/>
      <c r="E363" s="5"/>
      <c r="F363" s="10" t="s">
        <v>570</v>
      </c>
      <c r="G363" s="4"/>
      <c r="H363" s="5"/>
      <c r="I363" s="155"/>
    </row>
    <row r="364" spans="1:9" ht="20.399999999999999" x14ac:dyDescent="0.2">
      <c r="A364" s="4"/>
      <c r="B364" s="5" t="s">
        <v>828</v>
      </c>
      <c r="C364" s="155" t="s">
        <v>829</v>
      </c>
      <c r="D364" s="4"/>
      <c r="E364" s="5"/>
      <c r="F364" s="10" t="s">
        <v>573</v>
      </c>
      <c r="G364" s="4"/>
      <c r="H364" s="5"/>
      <c r="I364" s="155"/>
    </row>
    <row r="365" spans="1:9" ht="20.399999999999999" x14ac:dyDescent="0.2">
      <c r="A365" s="4"/>
      <c r="B365" s="5" t="s">
        <v>830</v>
      </c>
      <c r="C365" s="155" t="s">
        <v>831</v>
      </c>
      <c r="D365" s="4"/>
      <c r="E365" s="5"/>
      <c r="F365" s="10" t="s">
        <v>599</v>
      </c>
      <c r="G365" s="4"/>
      <c r="H365" s="5"/>
      <c r="I365" s="96"/>
    </row>
    <row r="366" spans="1:9" x14ac:dyDescent="0.2">
      <c r="A366" s="46"/>
      <c r="B366" s="12"/>
      <c r="C366" s="155"/>
      <c r="D366" s="46"/>
      <c r="E366" s="8" t="s">
        <v>329</v>
      </c>
      <c r="F366" s="11"/>
      <c r="G366" s="46"/>
      <c r="H366" s="12"/>
      <c r="I366" s="200"/>
    </row>
    <row r="367" spans="1:9" x14ac:dyDescent="0.2">
      <c r="A367" s="46"/>
      <c r="B367" s="12"/>
      <c r="C367" s="155"/>
      <c r="D367" s="46"/>
      <c r="E367" s="53" t="s">
        <v>325</v>
      </c>
      <c r="F367" s="64" t="s">
        <v>326</v>
      </c>
      <c r="G367" s="46"/>
      <c r="H367" s="12"/>
      <c r="I367" s="200"/>
    </row>
    <row r="368" spans="1:9" ht="20.399999999999999" x14ac:dyDescent="0.2">
      <c r="A368" s="46"/>
      <c r="B368" s="12"/>
      <c r="C368" s="155"/>
      <c r="D368" s="46"/>
      <c r="E368" s="53" t="s">
        <v>327</v>
      </c>
      <c r="F368" s="64" t="s">
        <v>328</v>
      </c>
      <c r="G368" s="46"/>
      <c r="H368" s="12"/>
      <c r="I368" s="200"/>
    </row>
    <row r="369" spans="1:11" ht="30" x14ac:dyDescent="0.25">
      <c r="A369" s="159">
        <v>12</v>
      </c>
      <c r="B369" s="159" t="s">
        <v>967</v>
      </c>
      <c r="C369" s="89"/>
      <c r="D369"/>
      <c r="E369"/>
      <c r="F369" s="201" t="s">
        <v>834</v>
      </c>
      <c r="G369"/>
      <c r="H369"/>
      <c r="I369" s="201" t="s">
        <v>834</v>
      </c>
      <c r="K369" t="s">
        <v>940</v>
      </c>
    </row>
    <row r="370" spans="1:11" x14ac:dyDescent="0.2">
      <c r="A370" s="92"/>
      <c r="B370" s="8" t="s">
        <v>56</v>
      </c>
      <c r="C370" s="4"/>
      <c r="D370" s="92"/>
      <c r="E370" s="8"/>
      <c r="F370" s="4"/>
      <c r="G370" s="92"/>
      <c r="H370" s="8"/>
      <c r="I370" s="4"/>
    </row>
    <row r="371" spans="1:11" ht="25.5" customHeight="1" x14ac:dyDescent="0.25">
      <c r="A371" s="93"/>
      <c r="B371" s="10" t="s">
        <v>832</v>
      </c>
      <c r="C371" s="10" t="s">
        <v>548</v>
      </c>
      <c r="D371" s="93"/>
      <c r="E371" s="10"/>
      <c r="F371" s="10"/>
      <c r="G371" s="93"/>
      <c r="H371" s="10"/>
      <c r="I371" s="10"/>
    </row>
    <row r="372" spans="1:11" ht="20.399999999999999" x14ac:dyDescent="0.2">
      <c r="A372" s="92"/>
      <c r="B372" s="10" t="s">
        <v>833</v>
      </c>
      <c r="C372" s="10" t="s">
        <v>616</v>
      </c>
      <c r="D372" s="92"/>
      <c r="E372" s="10"/>
      <c r="F372" s="160"/>
      <c r="G372" s="92"/>
      <c r="H372" s="10"/>
    </row>
    <row r="373" spans="1:11" ht="15.75" customHeight="1" x14ac:dyDescent="0.2">
      <c r="A373" s="92"/>
      <c r="B373" s="10" t="s">
        <v>835</v>
      </c>
      <c r="C373" s="10" t="s">
        <v>37</v>
      </c>
      <c r="D373" s="92"/>
      <c r="E373" s="10"/>
      <c r="F373" s="10"/>
      <c r="G373" s="92"/>
      <c r="H373" s="10"/>
      <c r="I373" s="10"/>
    </row>
    <row r="374" spans="1:11" ht="15.75" customHeight="1" x14ac:dyDescent="0.2">
      <c r="A374" s="92"/>
      <c r="B374" s="10" t="s">
        <v>836</v>
      </c>
      <c r="C374" s="10" t="s">
        <v>553</v>
      </c>
      <c r="D374" s="92"/>
      <c r="E374" s="10"/>
      <c r="F374" s="10"/>
      <c r="G374" s="92"/>
      <c r="H374" s="10"/>
      <c r="I374" s="10"/>
    </row>
    <row r="375" spans="1:11" ht="20.399999999999999" x14ac:dyDescent="0.2">
      <c r="A375" s="92"/>
      <c r="B375" s="10" t="s">
        <v>837</v>
      </c>
      <c r="C375" s="10" t="s">
        <v>838</v>
      </c>
      <c r="D375" s="92"/>
      <c r="E375" s="10"/>
      <c r="F375" s="10"/>
      <c r="G375" s="92"/>
      <c r="H375" s="10"/>
      <c r="I375" s="10"/>
    </row>
    <row r="376" spans="1:11" ht="20.399999999999999" x14ac:dyDescent="0.2">
      <c r="A376" s="92"/>
      <c r="B376" s="10" t="s">
        <v>1045</v>
      </c>
      <c r="C376" s="10" t="s">
        <v>1046</v>
      </c>
      <c r="D376" s="92"/>
      <c r="E376" s="10"/>
      <c r="F376" s="10"/>
      <c r="G376" s="92"/>
      <c r="H376" s="10"/>
      <c r="I376" s="10"/>
    </row>
    <row r="377" spans="1:11" x14ac:dyDescent="0.2">
      <c r="A377" s="93"/>
      <c r="B377" s="8" t="s">
        <v>22</v>
      </c>
      <c r="C377" s="4"/>
      <c r="D377" s="93"/>
      <c r="E377" s="8"/>
      <c r="F377" s="4"/>
      <c r="G377" s="93"/>
      <c r="H377" s="8"/>
      <c r="I377" s="4"/>
    </row>
    <row r="378" spans="1:11" ht="20.399999999999999" x14ac:dyDescent="0.2">
      <c r="A378" s="92"/>
      <c r="B378" s="5" t="s">
        <v>839</v>
      </c>
      <c r="C378" s="3" t="s">
        <v>840</v>
      </c>
      <c r="D378" s="92"/>
      <c r="E378" s="5"/>
      <c r="F378" s="3"/>
      <c r="G378" s="92"/>
      <c r="H378" s="5"/>
      <c r="I378" s="3"/>
    </row>
    <row r="379" spans="1:11" ht="20.399999999999999" x14ac:dyDescent="0.2">
      <c r="A379" s="92"/>
      <c r="B379" s="5" t="s">
        <v>841</v>
      </c>
      <c r="C379" s="155" t="s">
        <v>636</v>
      </c>
      <c r="D379" s="92"/>
      <c r="E379" s="5"/>
      <c r="F379" s="155"/>
      <c r="G379" s="92"/>
      <c r="H379" s="5"/>
      <c r="I379" s="155"/>
    </row>
    <row r="380" spans="1:11" x14ac:dyDescent="0.2">
      <c r="A380" s="92"/>
      <c r="B380" s="8" t="s">
        <v>62</v>
      </c>
      <c r="C380" s="4"/>
      <c r="D380" s="92"/>
      <c r="E380" s="8"/>
      <c r="F380" s="4"/>
      <c r="G380" s="92"/>
      <c r="H380" s="8"/>
      <c r="I380" s="4"/>
    </row>
    <row r="381" spans="1:11" x14ac:dyDescent="0.2">
      <c r="A381" s="92"/>
      <c r="B381" s="5" t="s">
        <v>842</v>
      </c>
      <c r="C381" s="10" t="s">
        <v>843</v>
      </c>
      <c r="D381" s="92"/>
      <c r="E381" s="5"/>
      <c r="F381" s="10"/>
      <c r="G381" s="92"/>
      <c r="H381" s="5"/>
      <c r="I381" s="10"/>
    </row>
    <row r="382" spans="1:11" ht="20.399999999999999" x14ac:dyDescent="0.2">
      <c r="A382" s="92"/>
      <c r="B382" s="5" t="s">
        <v>844</v>
      </c>
      <c r="C382" s="3" t="s">
        <v>845</v>
      </c>
      <c r="D382" s="92"/>
      <c r="E382" s="5"/>
      <c r="F382" s="3"/>
      <c r="G382" s="92"/>
      <c r="H382" s="5"/>
      <c r="I382" s="3"/>
    </row>
    <row r="383" spans="1:11" ht="20.399999999999999" x14ac:dyDescent="0.2">
      <c r="A383" s="92"/>
      <c r="B383" s="161" t="s">
        <v>846</v>
      </c>
      <c r="C383" s="202" t="s">
        <v>847</v>
      </c>
      <c r="D383" s="92"/>
      <c r="E383" s="161"/>
      <c r="F383" s="162"/>
      <c r="G383" s="92"/>
      <c r="H383" s="161"/>
      <c r="I383" s="162"/>
    </row>
    <row r="384" spans="1:11" x14ac:dyDescent="0.2">
      <c r="A384" s="92"/>
      <c r="B384" s="161" t="s">
        <v>848</v>
      </c>
      <c r="C384" s="10" t="s">
        <v>666</v>
      </c>
      <c r="D384" s="92"/>
      <c r="E384" s="161"/>
      <c r="F384" s="10"/>
      <c r="G384" s="92"/>
      <c r="H384" s="161"/>
      <c r="I384" s="10"/>
    </row>
    <row r="385" spans="1:9" ht="20.399999999999999" x14ac:dyDescent="0.2">
      <c r="A385" s="92"/>
      <c r="B385" s="161" t="s">
        <v>849</v>
      </c>
      <c r="C385" s="3" t="s">
        <v>672</v>
      </c>
      <c r="D385" s="92"/>
      <c r="E385" s="161"/>
      <c r="F385" s="3"/>
      <c r="G385" s="92"/>
      <c r="H385" s="161"/>
      <c r="I385" s="3"/>
    </row>
    <row r="386" spans="1:9" x14ac:dyDescent="0.2">
      <c r="A386" s="92"/>
      <c r="B386" s="8" t="s">
        <v>1047</v>
      </c>
      <c r="C386" s="4"/>
      <c r="D386" s="92"/>
      <c r="E386" s="8"/>
      <c r="F386" s="4"/>
      <c r="G386" s="92"/>
      <c r="H386" s="8"/>
      <c r="I386" s="4"/>
    </row>
    <row r="387" spans="1:9" x14ac:dyDescent="0.25">
      <c r="A387" s="93"/>
      <c r="B387" s="161" t="s">
        <v>850</v>
      </c>
      <c r="C387" s="3" t="s">
        <v>1048</v>
      </c>
      <c r="D387" s="93"/>
      <c r="E387" s="5"/>
      <c r="F387" s="10"/>
      <c r="G387" s="93"/>
      <c r="H387" s="5"/>
      <c r="I387" s="10"/>
    </row>
    <row r="388" spans="1:9" x14ac:dyDescent="0.25">
      <c r="A388" s="93"/>
      <c r="B388" s="161" t="s">
        <v>1049</v>
      </c>
      <c r="C388" s="3" t="s">
        <v>1050</v>
      </c>
      <c r="D388" s="93"/>
      <c r="E388" s="5"/>
      <c r="F388" s="10"/>
      <c r="G388" s="93"/>
      <c r="H388" s="5"/>
      <c r="I388" s="10"/>
    </row>
    <row r="389" spans="1:9" x14ac:dyDescent="0.25">
      <c r="A389" s="93"/>
      <c r="B389" s="161" t="s">
        <v>1051</v>
      </c>
      <c r="C389" s="3" t="s">
        <v>1052</v>
      </c>
      <c r="D389" s="93"/>
      <c r="E389" s="5"/>
      <c r="F389" s="10"/>
      <c r="G389" s="93"/>
      <c r="H389" s="5"/>
      <c r="I389" s="10"/>
    </row>
    <row r="390" spans="1:9" x14ac:dyDescent="0.2">
      <c r="A390" s="92"/>
      <c r="B390" s="8" t="s">
        <v>851</v>
      </c>
      <c r="C390" s="4"/>
      <c r="D390" s="92"/>
      <c r="E390" s="8"/>
      <c r="F390" s="4"/>
      <c r="G390" s="92"/>
      <c r="H390" s="8"/>
      <c r="I390" s="4"/>
    </row>
    <row r="391" spans="1:9" ht="20.399999999999999" x14ac:dyDescent="0.25">
      <c r="A391" s="93"/>
      <c r="B391" s="5" t="s">
        <v>852</v>
      </c>
      <c r="C391" s="10" t="s">
        <v>688</v>
      </c>
      <c r="D391" s="93"/>
      <c r="E391" s="5"/>
      <c r="F391" s="10"/>
      <c r="G391" s="93"/>
      <c r="H391" s="5"/>
      <c r="I391" s="10"/>
    </row>
    <row r="392" spans="1:9" ht="20.399999999999999" x14ac:dyDescent="0.25">
      <c r="A392" s="93"/>
      <c r="B392" s="5" t="s">
        <v>853</v>
      </c>
      <c r="C392" s="155" t="s">
        <v>829</v>
      </c>
      <c r="D392" s="93"/>
      <c r="E392" s="5"/>
      <c r="F392" s="1"/>
      <c r="G392" s="93"/>
      <c r="H392" s="5"/>
      <c r="I392" s="1"/>
    </row>
    <row r="393" spans="1:9" x14ac:dyDescent="0.25">
      <c r="A393" s="93"/>
      <c r="B393" s="5" t="s">
        <v>854</v>
      </c>
      <c r="C393" s="10" t="s">
        <v>693</v>
      </c>
      <c r="D393" s="93"/>
      <c r="E393" s="5"/>
      <c r="F393" s="10"/>
      <c r="G393" s="93"/>
      <c r="H393" s="5"/>
      <c r="I393" s="10"/>
    </row>
    <row r="394" spans="1:9" ht="15.6" x14ac:dyDescent="0.25">
      <c r="A394" s="86">
        <v>13</v>
      </c>
      <c r="B394" s="87" t="s">
        <v>970</v>
      </c>
      <c r="C394" s="88"/>
      <c r="D394" s="86">
        <v>13</v>
      </c>
      <c r="E394" s="87" t="s">
        <v>969</v>
      </c>
      <c r="F394" s="88"/>
      <c r="G394" s="86">
        <v>13</v>
      </c>
      <c r="H394" s="87"/>
      <c r="I394" s="88"/>
    </row>
    <row r="395" spans="1:9" ht="15.6" x14ac:dyDescent="0.25">
      <c r="A395" s="204"/>
      <c r="B395" s="207" t="s">
        <v>1026</v>
      </c>
      <c r="C395" s="206"/>
      <c r="D395" s="205"/>
      <c r="E395" s="205"/>
      <c r="F395" s="206" t="s">
        <v>1033</v>
      </c>
      <c r="G395" s="203"/>
      <c r="H395" s="204"/>
      <c r="I395" s="205"/>
    </row>
    <row r="396" spans="1:9" ht="15.6" x14ac:dyDescent="0.25">
      <c r="A396" s="203"/>
      <c r="B396" s="206" t="s">
        <v>971</v>
      </c>
      <c r="C396" s="208" t="s">
        <v>972</v>
      </c>
      <c r="D396" s="205"/>
      <c r="E396" s="205"/>
      <c r="F396" s="205"/>
      <c r="G396" s="203"/>
      <c r="H396" s="204"/>
      <c r="I396" s="205"/>
    </row>
    <row r="397" spans="1:9" ht="15.6" x14ac:dyDescent="0.25">
      <c r="A397" s="203"/>
      <c r="B397" s="206" t="s">
        <v>973</v>
      </c>
      <c r="C397" s="208" t="s">
        <v>974</v>
      </c>
      <c r="D397" s="205"/>
      <c r="E397" s="205"/>
      <c r="F397" s="205"/>
      <c r="G397" s="203"/>
      <c r="H397" s="204"/>
      <c r="I397" s="205"/>
    </row>
    <row r="398" spans="1:9" ht="15.6" x14ac:dyDescent="0.25">
      <c r="A398" s="203"/>
      <c r="B398" s="206" t="s">
        <v>975</v>
      </c>
      <c r="C398" s="208" t="s">
        <v>976</v>
      </c>
      <c r="D398" s="205"/>
      <c r="E398" s="205"/>
      <c r="F398" s="205"/>
      <c r="G398" s="203"/>
      <c r="H398" s="204"/>
      <c r="I398" s="205"/>
    </row>
    <row r="399" spans="1:9" ht="15.6" x14ac:dyDescent="0.25">
      <c r="A399" s="203"/>
      <c r="B399" s="206" t="s">
        <v>977</v>
      </c>
      <c r="C399" s="208" t="s">
        <v>978</v>
      </c>
      <c r="D399" s="205"/>
      <c r="E399" s="205"/>
      <c r="F399" s="205"/>
      <c r="G399" s="203"/>
      <c r="H399" s="204"/>
      <c r="I399" s="205"/>
    </row>
    <row r="400" spans="1:9" ht="15.6" x14ac:dyDescent="0.25">
      <c r="A400" s="203"/>
      <c r="B400" s="207" t="s">
        <v>1027</v>
      </c>
      <c r="C400" s="208"/>
      <c r="D400" s="205"/>
      <c r="E400" s="205"/>
      <c r="F400" s="205"/>
      <c r="G400" s="203"/>
      <c r="H400" s="204"/>
      <c r="I400" s="205"/>
    </row>
    <row r="401" spans="1:9" ht="20.399999999999999" x14ac:dyDescent="0.25">
      <c r="A401" s="203"/>
      <c r="B401" s="209" t="s">
        <v>979</v>
      </c>
      <c r="C401" s="208" t="s">
        <v>980</v>
      </c>
      <c r="D401" s="205"/>
      <c r="E401" s="205"/>
      <c r="F401" s="205"/>
      <c r="G401" s="203"/>
      <c r="H401" s="204"/>
      <c r="I401" s="205"/>
    </row>
    <row r="402" spans="1:9" ht="20.399999999999999" x14ac:dyDescent="0.25">
      <c r="A402" s="203"/>
      <c r="B402" s="209" t="s">
        <v>981</v>
      </c>
      <c r="C402" s="208" t="s">
        <v>982</v>
      </c>
      <c r="D402" s="205"/>
      <c r="E402" s="205"/>
      <c r="F402" s="205"/>
      <c r="G402" s="203"/>
      <c r="H402" s="204"/>
      <c r="I402" s="205"/>
    </row>
    <row r="403" spans="1:9" ht="20.399999999999999" x14ac:dyDescent="0.25">
      <c r="A403" s="203"/>
      <c r="B403" s="209" t="s">
        <v>983</v>
      </c>
      <c r="C403" s="208" t="s">
        <v>984</v>
      </c>
      <c r="D403" s="205"/>
      <c r="E403" s="205"/>
      <c r="F403" s="205"/>
      <c r="G403" s="203"/>
      <c r="H403" s="204"/>
      <c r="I403" s="205"/>
    </row>
    <row r="404" spans="1:9" ht="20.399999999999999" x14ac:dyDescent="0.25">
      <c r="A404" s="203"/>
      <c r="B404" s="209" t="s">
        <v>985</v>
      </c>
      <c r="C404" s="208" t="s">
        <v>322</v>
      </c>
      <c r="D404" s="205"/>
      <c r="E404" s="205"/>
      <c r="F404" s="205"/>
      <c r="G404" s="203"/>
      <c r="H404" s="204"/>
      <c r="I404" s="205"/>
    </row>
    <row r="405" spans="1:9" ht="27" customHeight="1" x14ac:dyDescent="0.25">
      <c r="A405" s="203"/>
      <c r="B405" s="969" t="s">
        <v>1028</v>
      </c>
      <c r="C405" s="969"/>
      <c r="D405" s="205"/>
      <c r="E405" s="205"/>
      <c r="F405" s="205"/>
      <c r="G405" s="203"/>
      <c r="H405" s="204"/>
      <c r="I405" s="205"/>
    </row>
    <row r="406" spans="1:9" ht="15.6" x14ac:dyDescent="0.25">
      <c r="A406" s="203"/>
      <c r="B406" s="209" t="s">
        <v>986</v>
      </c>
      <c r="C406" s="208" t="s">
        <v>987</v>
      </c>
      <c r="D406" s="205"/>
      <c r="E406" s="205"/>
      <c r="F406" s="205"/>
      <c r="G406" s="203"/>
      <c r="H406" s="204"/>
      <c r="I406" s="205"/>
    </row>
    <row r="407" spans="1:9" ht="20.399999999999999" x14ac:dyDescent="0.25">
      <c r="A407" s="203"/>
      <c r="B407" s="209" t="s">
        <v>988</v>
      </c>
      <c r="C407" s="208" t="s">
        <v>989</v>
      </c>
      <c r="D407" s="205"/>
      <c r="E407" s="205"/>
      <c r="F407" s="205"/>
      <c r="G407" s="203"/>
      <c r="H407" s="204"/>
      <c r="I407" s="205"/>
    </row>
    <row r="408" spans="1:9" ht="30.6" x14ac:dyDescent="0.25">
      <c r="A408" s="203"/>
      <c r="B408" s="209" t="s">
        <v>990</v>
      </c>
      <c r="C408" s="208" t="s">
        <v>991</v>
      </c>
      <c r="D408" s="205"/>
      <c r="E408" s="205"/>
      <c r="F408" s="205"/>
      <c r="G408" s="203"/>
      <c r="H408" s="204"/>
      <c r="I408" s="205"/>
    </row>
    <row r="409" spans="1:9" ht="20.399999999999999" x14ac:dyDescent="0.25">
      <c r="A409" s="203"/>
      <c r="B409" s="209" t="s">
        <v>992</v>
      </c>
      <c r="C409" s="208" t="s">
        <v>993</v>
      </c>
      <c r="D409" s="205"/>
      <c r="E409" s="205"/>
      <c r="F409" s="205"/>
      <c r="G409" s="203"/>
      <c r="H409" s="204"/>
      <c r="I409" s="205"/>
    </row>
    <row r="410" spans="1:9" ht="20.399999999999999" x14ac:dyDescent="0.25">
      <c r="A410" s="203"/>
      <c r="B410" s="209" t="s">
        <v>994</v>
      </c>
      <c r="C410" s="208" t="s">
        <v>995</v>
      </c>
      <c r="D410" s="205"/>
      <c r="E410" s="205"/>
      <c r="F410" s="205"/>
      <c r="G410" s="203"/>
      <c r="H410" s="204"/>
      <c r="I410" s="205"/>
    </row>
    <row r="411" spans="1:9" ht="15.6" x14ac:dyDescent="0.25">
      <c r="A411" s="203"/>
      <c r="B411" s="207" t="s">
        <v>1029</v>
      </c>
      <c r="C411" s="208"/>
      <c r="D411" s="205"/>
      <c r="E411" s="205"/>
      <c r="F411" s="205"/>
      <c r="G411" s="203"/>
      <c r="H411" s="204"/>
      <c r="I411" s="205"/>
    </row>
    <row r="412" spans="1:9" ht="20.399999999999999" x14ac:dyDescent="0.25">
      <c r="A412" s="203"/>
      <c r="B412" s="209" t="s">
        <v>996</v>
      </c>
      <c r="C412" s="208" t="s">
        <v>997</v>
      </c>
      <c r="D412" s="205"/>
      <c r="E412" s="205"/>
      <c r="F412" s="205"/>
      <c r="G412" s="203"/>
      <c r="H412" s="204"/>
      <c r="I412" s="205"/>
    </row>
    <row r="413" spans="1:9" ht="20.399999999999999" x14ac:dyDescent="0.25">
      <c r="A413" s="203"/>
      <c r="B413" s="209" t="s">
        <v>998</v>
      </c>
      <c r="C413" s="208" t="s">
        <v>999</v>
      </c>
      <c r="D413" s="205"/>
      <c r="E413" s="205"/>
      <c r="F413" s="205"/>
      <c r="G413" s="203"/>
      <c r="H413" s="204"/>
      <c r="I413" s="205"/>
    </row>
    <row r="414" spans="1:9" ht="20.399999999999999" x14ac:dyDescent="0.25">
      <c r="A414" s="203"/>
      <c r="B414" s="209" t="s">
        <v>1000</v>
      </c>
      <c r="C414" s="208" t="s">
        <v>1001</v>
      </c>
      <c r="D414" s="205"/>
      <c r="E414" s="205"/>
      <c r="F414" s="205"/>
      <c r="G414" s="203"/>
      <c r="H414" s="204"/>
      <c r="I414" s="205"/>
    </row>
    <row r="415" spans="1:9" ht="20.399999999999999" x14ac:dyDescent="0.25">
      <c r="A415" s="203"/>
      <c r="B415" s="209" t="s">
        <v>1002</v>
      </c>
      <c r="C415" s="208" t="s">
        <v>1003</v>
      </c>
      <c r="D415" s="205"/>
      <c r="E415" s="205"/>
      <c r="F415" s="205"/>
      <c r="G415" s="203"/>
      <c r="H415" s="204"/>
      <c r="I415" s="205"/>
    </row>
    <row r="416" spans="1:9" ht="15.6" x14ac:dyDescent="0.25">
      <c r="A416" s="203"/>
      <c r="B416" s="207" t="s">
        <v>1030</v>
      </c>
      <c r="C416" s="208"/>
      <c r="D416" s="205"/>
      <c r="E416" s="205"/>
      <c r="F416" s="205"/>
      <c r="G416" s="203"/>
      <c r="H416" s="204"/>
      <c r="I416" s="205"/>
    </row>
    <row r="417" spans="1:9" ht="20.399999999999999" x14ac:dyDescent="0.25">
      <c r="A417" s="203"/>
      <c r="B417" s="209" t="s">
        <v>1004</v>
      </c>
      <c r="C417" s="208" t="s">
        <v>1005</v>
      </c>
      <c r="D417" s="205"/>
      <c r="E417" s="205"/>
      <c r="F417" s="205"/>
      <c r="G417" s="203"/>
      <c r="H417" s="204"/>
      <c r="I417" s="205"/>
    </row>
    <row r="418" spans="1:9" ht="20.399999999999999" x14ac:dyDescent="0.25">
      <c r="A418" s="203"/>
      <c r="B418" s="209" t="s">
        <v>1006</v>
      </c>
      <c r="C418" s="208" t="s">
        <v>1007</v>
      </c>
      <c r="D418" s="205"/>
      <c r="E418" s="205"/>
      <c r="F418" s="205"/>
      <c r="G418" s="203"/>
      <c r="H418" s="204"/>
      <c r="I418" s="205"/>
    </row>
    <row r="419" spans="1:9" ht="20.399999999999999" x14ac:dyDescent="0.25">
      <c r="A419" s="203"/>
      <c r="B419" s="209" t="s">
        <v>1008</v>
      </c>
      <c r="C419" s="208" t="s">
        <v>1009</v>
      </c>
      <c r="D419" s="205"/>
      <c r="E419" s="205"/>
      <c r="F419" s="205"/>
      <c r="G419" s="203"/>
      <c r="H419" s="204"/>
      <c r="I419" s="205"/>
    </row>
    <row r="420" spans="1:9" ht="20.399999999999999" x14ac:dyDescent="0.25">
      <c r="A420" s="203"/>
      <c r="B420" s="209" t="s">
        <v>1010</v>
      </c>
      <c r="C420" s="208" t="s">
        <v>1011</v>
      </c>
      <c r="D420" s="205"/>
      <c r="E420" s="205"/>
      <c r="F420" s="205"/>
      <c r="G420" s="203"/>
      <c r="H420" s="204"/>
      <c r="I420" s="205"/>
    </row>
    <row r="421" spans="1:9" ht="15.6" x14ac:dyDescent="0.25">
      <c r="A421" s="203"/>
      <c r="B421" s="207" t="s">
        <v>1031</v>
      </c>
      <c r="C421" s="208"/>
      <c r="D421" s="205"/>
      <c r="E421" s="205"/>
      <c r="F421" s="205"/>
      <c r="G421" s="203"/>
      <c r="H421" s="204"/>
      <c r="I421" s="205"/>
    </row>
    <row r="422" spans="1:9" ht="20.399999999999999" x14ac:dyDescent="0.25">
      <c r="A422" s="203"/>
      <c r="B422" s="209" t="s">
        <v>1012</v>
      </c>
      <c r="C422" s="208" t="s">
        <v>1013</v>
      </c>
      <c r="D422" s="205"/>
      <c r="E422" s="205"/>
      <c r="F422" s="205"/>
      <c r="G422" s="203"/>
      <c r="H422" s="204"/>
      <c r="I422" s="205"/>
    </row>
    <row r="423" spans="1:9" ht="30.6" x14ac:dyDescent="0.25">
      <c r="A423" s="203"/>
      <c r="B423" s="209" t="s">
        <v>1014</v>
      </c>
      <c r="C423" s="208" t="s">
        <v>1015</v>
      </c>
      <c r="D423" s="205"/>
      <c r="E423" s="205"/>
      <c r="F423" s="205"/>
      <c r="G423" s="203"/>
      <c r="H423" s="204"/>
      <c r="I423" s="205"/>
    </row>
    <row r="424" spans="1:9" ht="20.399999999999999" x14ac:dyDescent="0.25">
      <c r="A424" s="203"/>
      <c r="B424" s="209" t="s">
        <v>1016</v>
      </c>
      <c r="C424" s="208" t="s">
        <v>1017</v>
      </c>
      <c r="D424" s="205"/>
      <c r="E424" s="205"/>
      <c r="F424" s="205"/>
      <c r="G424" s="203"/>
      <c r="H424" s="204"/>
      <c r="I424" s="205"/>
    </row>
    <row r="425" spans="1:9" ht="20.399999999999999" x14ac:dyDescent="0.25">
      <c r="A425" s="203"/>
      <c r="B425" s="209" t="s">
        <v>1018</v>
      </c>
      <c r="C425" s="208" t="s">
        <v>1019</v>
      </c>
      <c r="D425" s="205"/>
      <c r="E425" s="205"/>
      <c r="F425" s="205"/>
      <c r="G425" s="203"/>
      <c r="H425" s="204"/>
      <c r="I425" s="205"/>
    </row>
    <row r="426" spans="1:9" ht="15.6" x14ac:dyDescent="0.25">
      <c r="A426" s="203"/>
      <c r="B426" s="207" t="s">
        <v>1032</v>
      </c>
      <c r="C426" s="208"/>
      <c r="D426" s="205"/>
      <c r="E426" s="205"/>
      <c r="F426" s="205"/>
      <c r="G426" s="203"/>
      <c r="H426" s="204"/>
      <c r="I426" s="205"/>
    </row>
    <row r="427" spans="1:9" ht="20.399999999999999" x14ac:dyDescent="0.25">
      <c r="A427" s="203"/>
      <c r="B427" s="209" t="s">
        <v>1020</v>
      </c>
      <c r="C427" s="208" t="s">
        <v>1021</v>
      </c>
      <c r="D427" s="205"/>
      <c r="E427" s="205"/>
      <c r="F427" s="205"/>
      <c r="G427" s="203"/>
      <c r="H427" s="204"/>
      <c r="I427" s="205"/>
    </row>
    <row r="428" spans="1:9" ht="20.399999999999999" x14ac:dyDescent="0.25">
      <c r="A428" s="203"/>
      <c r="B428" s="209" t="s">
        <v>1022</v>
      </c>
      <c r="C428" s="208" t="s">
        <v>1023</v>
      </c>
      <c r="D428" s="205"/>
      <c r="E428" s="205"/>
      <c r="F428" s="205"/>
      <c r="G428" s="203"/>
      <c r="H428" s="204"/>
      <c r="I428" s="205"/>
    </row>
    <row r="429" spans="1:9" ht="20.399999999999999" x14ac:dyDescent="0.25">
      <c r="A429" s="203"/>
      <c r="B429" s="209" t="s">
        <v>1024</v>
      </c>
      <c r="C429" s="208" t="s">
        <v>1025</v>
      </c>
      <c r="D429" s="205"/>
      <c r="E429" s="205"/>
      <c r="F429" s="205"/>
      <c r="G429" s="203"/>
      <c r="H429" s="204"/>
      <c r="I429" s="205"/>
    </row>
    <row r="430" spans="1:9" x14ac:dyDescent="0.25">
      <c r="A430" s="4"/>
      <c r="B430" s="48"/>
      <c r="C430" s="40"/>
      <c r="D430" s="4"/>
      <c r="E430" s="48" t="s">
        <v>267</v>
      </c>
      <c r="F430" s="40"/>
      <c r="G430" s="4"/>
      <c r="H430" s="48"/>
      <c r="I430" s="40"/>
    </row>
    <row r="431" spans="1:9" ht="20.399999999999999" x14ac:dyDescent="0.2">
      <c r="A431" s="4"/>
      <c r="B431" s="163"/>
      <c r="C431" s="49"/>
      <c r="D431" s="4"/>
      <c r="E431" s="163" t="s">
        <v>268</v>
      </c>
      <c r="F431" s="49" t="s">
        <v>269</v>
      </c>
      <c r="G431" s="4"/>
      <c r="H431" s="163"/>
      <c r="I431" s="49"/>
    </row>
    <row r="432" spans="1:9" x14ac:dyDescent="0.2">
      <c r="A432" s="4"/>
      <c r="B432" s="163"/>
      <c r="C432" s="49"/>
      <c r="D432" s="4"/>
      <c r="E432" s="163" t="s">
        <v>270</v>
      </c>
      <c r="F432" s="49" t="s">
        <v>4</v>
      </c>
      <c r="G432" s="4"/>
      <c r="H432" s="163"/>
      <c r="I432" s="49"/>
    </row>
    <row r="433" spans="1:9" x14ac:dyDescent="0.2">
      <c r="A433" s="4"/>
      <c r="B433" s="163"/>
      <c r="C433" s="49"/>
      <c r="D433" s="4"/>
      <c r="E433" s="163" t="s">
        <v>271</v>
      </c>
      <c r="F433" s="49" t="s">
        <v>272</v>
      </c>
      <c r="G433" s="4"/>
      <c r="H433" s="163"/>
      <c r="I433" s="49"/>
    </row>
    <row r="434" spans="1:9" x14ac:dyDescent="0.2">
      <c r="A434" s="4"/>
      <c r="B434" s="163"/>
      <c r="C434" s="49"/>
      <c r="D434" s="4"/>
      <c r="E434" s="163" t="s">
        <v>273</v>
      </c>
      <c r="F434" s="49" t="s">
        <v>274</v>
      </c>
      <c r="G434" s="4"/>
      <c r="H434" s="163"/>
      <c r="I434" s="49"/>
    </row>
    <row r="435" spans="1:9" x14ac:dyDescent="0.25">
      <c r="A435" s="4"/>
      <c r="B435" s="48"/>
      <c r="C435" s="40"/>
      <c r="D435" s="4"/>
      <c r="E435" s="163" t="s">
        <v>275</v>
      </c>
      <c r="F435" s="35" t="s">
        <v>276</v>
      </c>
      <c r="G435" s="4"/>
      <c r="H435" s="48"/>
      <c r="I435" s="40"/>
    </row>
    <row r="436" spans="1:9" x14ac:dyDescent="0.2">
      <c r="A436" s="4"/>
      <c r="B436" s="163"/>
      <c r="C436" s="49"/>
      <c r="D436" s="4"/>
      <c r="E436" s="972" t="s">
        <v>277</v>
      </c>
      <c r="F436" s="973"/>
      <c r="G436" s="4"/>
      <c r="H436" s="163"/>
      <c r="I436" s="49"/>
    </row>
    <row r="437" spans="1:9" x14ac:dyDescent="0.2">
      <c r="A437" s="4"/>
      <c r="B437" s="163"/>
      <c r="C437" s="49"/>
      <c r="D437" s="4"/>
      <c r="E437" s="163" t="s">
        <v>278</v>
      </c>
      <c r="F437" s="49" t="s">
        <v>5</v>
      </c>
      <c r="G437" s="4"/>
      <c r="H437" s="163"/>
      <c r="I437" s="49"/>
    </row>
    <row r="438" spans="1:9" ht="20.399999999999999" x14ac:dyDescent="0.2">
      <c r="A438" s="4"/>
      <c r="B438" s="163"/>
      <c r="C438" s="49"/>
      <c r="D438" s="4"/>
      <c r="E438" s="163" t="s">
        <v>279</v>
      </c>
      <c r="F438" s="49" t="s">
        <v>280</v>
      </c>
      <c r="G438" s="4"/>
      <c r="H438" s="163"/>
      <c r="I438" s="49"/>
    </row>
    <row r="439" spans="1:9" x14ac:dyDescent="0.2">
      <c r="A439" s="4"/>
      <c r="B439" s="163"/>
      <c r="C439" s="49"/>
      <c r="D439" s="4"/>
      <c r="E439" s="163" t="s">
        <v>281</v>
      </c>
      <c r="F439" s="49" t="s">
        <v>282</v>
      </c>
      <c r="G439" s="4"/>
      <c r="H439" s="163"/>
      <c r="I439" s="49"/>
    </row>
    <row r="440" spans="1:9" x14ac:dyDescent="0.25">
      <c r="A440" s="4"/>
      <c r="B440" s="48"/>
      <c r="C440" s="40"/>
      <c r="D440" s="4"/>
      <c r="E440" s="48" t="s">
        <v>283</v>
      </c>
      <c r="F440" s="40"/>
      <c r="G440" s="4"/>
      <c r="H440" s="48"/>
      <c r="I440" s="40"/>
    </row>
    <row r="441" spans="1:9" ht="30.6" x14ac:dyDescent="0.25">
      <c r="A441" s="1"/>
      <c r="B441" s="164"/>
      <c r="C441" s="47"/>
      <c r="D441" s="1"/>
      <c r="E441" s="164" t="s">
        <v>284</v>
      </c>
      <c r="F441" s="49" t="s">
        <v>285</v>
      </c>
      <c r="G441" s="1"/>
      <c r="H441" s="164"/>
      <c r="I441" s="47"/>
    </row>
    <row r="442" spans="1:9" ht="20.399999999999999" x14ac:dyDescent="0.25">
      <c r="A442" s="1"/>
      <c r="B442" s="164"/>
      <c r="C442" s="47"/>
      <c r="D442" s="1"/>
      <c r="E442" s="164" t="s">
        <v>286</v>
      </c>
      <c r="F442" s="49" t="s">
        <v>287</v>
      </c>
      <c r="G442" s="1"/>
      <c r="H442" s="164"/>
      <c r="I442" s="47"/>
    </row>
    <row r="443" spans="1:9" ht="20.399999999999999" x14ac:dyDescent="0.25">
      <c r="A443" s="1"/>
      <c r="B443" s="163"/>
      <c r="C443" s="49"/>
      <c r="D443" s="1"/>
      <c r="E443" s="164" t="s">
        <v>288</v>
      </c>
      <c r="F443" s="49" t="s">
        <v>289</v>
      </c>
      <c r="G443" s="1"/>
      <c r="H443" s="163"/>
      <c r="I443" s="49"/>
    </row>
    <row r="444" spans="1:9" ht="30" customHeight="1" x14ac:dyDescent="0.2">
      <c r="A444" s="159">
        <v>14</v>
      </c>
      <c r="B444" s="968" t="s">
        <v>968</v>
      </c>
      <c r="C444" s="968"/>
    </row>
    <row r="445" spans="1:9" x14ac:dyDescent="0.2">
      <c r="A445" s="165"/>
      <c r="B445" s="48" t="s">
        <v>855</v>
      </c>
      <c r="C445" s="48"/>
      <c r="F445" s="963"/>
    </row>
    <row r="446" spans="1:9" ht="15" customHeight="1" x14ac:dyDescent="0.2">
      <c r="A446" s="165"/>
      <c r="B446" s="166" t="s">
        <v>856</v>
      </c>
      <c r="C446" s="167" t="s">
        <v>857</v>
      </c>
      <c r="F446" s="963"/>
    </row>
    <row r="447" spans="1:9" ht="15" customHeight="1" x14ac:dyDescent="0.2">
      <c r="A447" s="165"/>
      <c r="B447" s="166" t="s">
        <v>858</v>
      </c>
      <c r="C447" s="167" t="s">
        <v>859</v>
      </c>
      <c r="F447" s="963"/>
    </row>
    <row r="448" spans="1:9" ht="20.399999999999999" x14ac:dyDescent="0.2">
      <c r="A448" s="165"/>
      <c r="B448" s="166" t="s">
        <v>860</v>
      </c>
      <c r="C448" s="167" t="s">
        <v>861</v>
      </c>
    </row>
    <row r="449" spans="1:3" ht="15.75" customHeight="1" x14ac:dyDescent="0.2">
      <c r="A449" s="165"/>
      <c r="B449" s="166" t="s">
        <v>862</v>
      </c>
      <c r="C449" s="167" t="s">
        <v>863</v>
      </c>
    </row>
    <row r="450" spans="1:3" ht="15.75" customHeight="1" x14ac:dyDescent="0.2">
      <c r="A450" s="165"/>
      <c r="B450" s="166" t="s">
        <v>864</v>
      </c>
      <c r="C450" s="167" t="s">
        <v>865</v>
      </c>
    </row>
    <row r="451" spans="1:3" ht="15.75" customHeight="1" x14ac:dyDescent="0.2">
      <c r="A451" s="165"/>
      <c r="B451" s="166" t="s">
        <v>866</v>
      </c>
      <c r="C451" s="167" t="s">
        <v>867</v>
      </c>
    </row>
    <row r="452" spans="1:3" ht="15.75" customHeight="1" x14ac:dyDescent="0.2">
      <c r="A452" s="165"/>
      <c r="B452" s="166" t="s">
        <v>868</v>
      </c>
      <c r="C452" s="167" t="s">
        <v>869</v>
      </c>
    </row>
    <row r="453" spans="1:3" ht="20.399999999999999" x14ac:dyDescent="0.2">
      <c r="A453" s="165"/>
      <c r="B453" s="166" t="s">
        <v>870</v>
      </c>
      <c r="C453" s="167" t="s">
        <v>871</v>
      </c>
    </row>
    <row r="454" spans="1:3" x14ac:dyDescent="0.2">
      <c r="A454" s="165"/>
      <c r="B454" s="48" t="s">
        <v>872</v>
      </c>
      <c r="C454" s="50"/>
    </row>
    <row r="455" spans="1:3" ht="12.75" customHeight="1" x14ac:dyDescent="0.2">
      <c r="A455" s="165"/>
      <c r="B455" s="166" t="s">
        <v>873</v>
      </c>
      <c r="C455" s="167" t="s">
        <v>874</v>
      </c>
    </row>
    <row r="456" spans="1:3" ht="12.75" customHeight="1" x14ac:dyDescent="0.2">
      <c r="A456" s="165"/>
      <c r="B456" s="166" t="s">
        <v>875</v>
      </c>
      <c r="C456" s="167" t="s">
        <v>876</v>
      </c>
    </row>
    <row r="457" spans="1:3" ht="12.75" customHeight="1" x14ac:dyDescent="0.2">
      <c r="A457" s="165"/>
      <c r="B457" s="166" t="s">
        <v>877</v>
      </c>
      <c r="C457" s="167" t="s">
        <v>878</v>
      </c>
    </row>
    <row r="458" spans="1:3" x14ac:dyDescent="0.2">
      <c r="A458" s="165"/>
      <c r="B458" s="166" t="s">
        <v>879</v>
      </c>
      <c r="C458" s="167" t="s">
        <v>880</v>
      </c>
    </row>
    <row r="459" spans="1:3" ht="12.75" customHeight="1" x14ac:dyDescent="0.2">
      <c r="A459" s="165"/>
      <c r="B459" s="166" t="s">
        <v>881</v>
      </c>
      <c r="C459" s="167" t="s">
        <v>882</v>
      </c>
    </row>
    <row r="460" spans="1:3" x14ac:dyDescent="0.2">
      <c r="A460" s="165"/>
      <c r="B460" s="48" t="s">
        <v>883</v>
      </c>
      <c r="C460" s="50"/>
    </row>
    <row r="461" spans="1:3" ht="20.399999999999999" x14ac:dyDescent="0.2">
      <c r="A461" s="165"/>
      <c r="B461" s="166" t="s">
        <v>884</v>
      </c>
      <c r="C461" s="167" t="s">
        <v>885</v>
      </c>
    </row>
    <row r="462" spans="1:3" ht="12.75" customHeight="1" x14ac:dyDescent="0.2">
      <c r="A462" s="165"/>
      <c r="B462" s="166" t="s">
        <v>886</v>
      </c>
      <c r="C462" s="167" t="s">
        <v>887</v>
      </c>
    </row>
    <row r="463" spans="1:3" ht="12.75" customHeight="1" x14ac:dyDescent="0.2">
      <c r="A463" s="165"/>
      <c r="B463" s="166" t="s">
        <v>888</v>
      </c>
      <c r="C463" s="167" t="s">
        <v>889</v>
      </c>
    </row>
    <row r="464" spans="1:3" x14ac:dyDescent="0.2">
      <c r="A464" s="165"/>
      <c r="B464" s="48" t="s">
        <v>890</v>
      </c>
      <c r="C464" s="50"/>
    </row>
    <row r="465" spans="1:3" ht="12.75" customHeight="1" x14ac:dyDescent="0.2">
      <c r="A465" s="165"/>
      <c r="B465" s="166" t="s">
        <v>891</v>
      </c>
      <c r="C465" s="167" t="s">
        <v>892</v>
      </c>
    </row>
    <row r="466" spans="1:3" ht="12.75" customHeight="1" x14ac:dyDescent="0.2">
      <c r="A466" s="165"/>
      <c r="B466" s="166" t="s">
        <v>893</v>
      </c>
      <c r="C466" s="167" t="s">
        <v>894</v>
      </c>
    </row>
    <row r="467" spans="1:3" ht="12.75" customHeight="1" x14ac:dyDescent="0.2">
      <c r="A467" s="165"/>
      <c r="B467" s="166" t="s">
        <v>895</v>
      </c>
      <c r="C467" s="167" t="s">
        <v>896</v>
      </c>
    </row>
    <row r="468" spans="1:3" ht="12.75" customHeight="1" x14ac:dyDescent="0.2">
      <c r="A468" s="165"/>
      <c r="B468" s="166" t="s">
        <v>897</v>
      </c>
      <c r="C468" s="167" t="s">
        <v>898</v>
      </c>
    </row>
    <row r="469" spans="1:3" x14ac:dyDescent="0.2">
      <c r="A469" s="165"/>
      <c r="B469" s="48" t="s">
        <v>899</v>
      </c>
      <c r="C469" s="50"/>
    </row>
    <row r="470" spans="1:3" x14ac:dyDescent="0.2">
      <c r="A470" s="165"/>
      <c r="B470" s="166" t="s">
        <v>900</v>
      </c>
      <c r="C470" s="167" t="s">
        <v>901</v>
      </c>
    </row>
    <row r="471" spans="1:3" x14ac:dyDescent="0.2">
      <c r="A471" s="165"/>
      <c r="B471" s="166" t="s">
        <v>902</v>
      </c>
      <c r="C471" s="167" t="s">
        <v>903</v>
      </c>
    </row>
    <row r="472" spans="1:3" x14ac:dyDescent="0.2">
      <c r="A472" s="165"/>
      <c r="B472" s="166" t="s">
        <v>904</v>
      </c>
      <c r="C472" s="167" t="s">
        <v>905</v>
      </c>
    </row>
    <row r="473" spans="1:3" x14ac:dyDescent="0.2">
      <c r="A473" s="165"/>
      <c r="B473" s="166" t="s">
        <v>906</v>
      </c>
      <c r="C473" s="167" t="s">
        <v>907</v>
      </c>
    </row>
    <row r="474" spans="1:3" x14ac:dyDescent="0.2">
      <c r="A474" s="165"/>
      <c r="B474" s="166" t="s">
        <v>908</v>
      </c>
      <c r="C474" s="167" t="s">
        <v>909</v>
      </c>
    </row>
    <row r="475" spans="1:3" x14ac:dyDescent="0.2">
      <c r="A475" s="165"/>
      <c r="B475" s="166" t="s">
        <v>910</v>
      </c>
      <c r="C475" s="167" t="s">
        <v>911</v>
      </c>
    </row>
    <row r="476" spans="1:3" x14ac:dyDescent="0.2">
      <c r="A476" s="165"/>
      <c r="B476" s="168"/>
      <c r="C476" s="168"/>
    </row>
  </sheetData>
  <sheetProtection sheet="1" objects="1" scenarios="1"/>
  <mergeCells count="40">
    <mergeCell ref="H267:I267"/>
    <mergeCell ref="E436:F436"/>
    <mergeCell ref="E204:F204"/>
    <mergeCell ref="B317:C317"/>
    <mergeCell ref="B334:C334"/>
    <mergeCell ref="E334:F334"/>
    <mergeCell ref="H334:I334"/>
    <mergeCell ref="H206:I206"/>
    <mergeCell ref="E206:F206"/>
    <mergeCell ref="B226:C226"/>
    <mergeCell ref="E226:F226"/>
    <mergeCell ref="H226:I226"/>
    <mergeCell ref="F445:F447"/>
    <mergeCell ref="B230:C230"/>
    <mergeCell ref="E230:F230"/>
    <mergeCell ref="H230:I230"/>
    <mergeCell ref="B335:C335"/>
    <mergeCell ref="E335:F335"/>
    <mergeCell ref="H335:I335"/>
    <mergeCell ref="B310:C310"/>
    <mergeCell ref="E310:F310"/>
    <mergeCell ref="E294:F294"/>
    <mergeCell ref="E304:F304"/>
    <mergeCell ref="E307:F307"/>
    <mergeCell ref="B311:C311"/>
    <mergeCell ref="B444:C444"/>
    <mergeCell ref="B405:C405"/>
    <mergeCell ref="E267:F267"/>
    <mergeCell ref="B182:C182"/>
    <mergeCell ref="E182:F182"/>
    <mergeCell ref="H182:I182"/>
    <mergeCell ref="A2:C2"/>
    <mergeCell ref="E2:G2"/>
    <mergeCell ref="H2:I2"/>
    <mergeCell ref="E59:F59"/>
    <mergeCell ref="H59:I59"/>
    <mergeCell ref="B66:C66"/>
    <mergeCell ref="H66:I66"/>
    <mergeCell ref="E110:F110"/>
    <mergeCell ref="H110:I110"/>
  </mergeCells>
  <conditionalFormatting sqref="F361 F367:F368">
    <cfRule type="expression" dxfId="35" priority="9">
      <formula>AND(NOT($J361=""),$J$1=1)</formula>
    </cfRule>
    <cfRule type="expression" dxfId="34" priority="10">
      <formula>LEN($A361)=2</formula>
    </cfRule>
  </conditionalFormatting>
  <conditionalFormatting sqref="F361">
    <cfRule type="expression" dxfId="33" priority="8">
      <formula>LEN($A361)=4</formula>
    </cfRule>
  </conditionalFormatting>
  <conditionalFormatting sqref="F367:F368">
    <cfRule type="expression" dxfId="32" priority="5">
      <formula>LEN($A367)=4</formula>
    </cfRule>
  </conditionalFormatting>
  <pageMargins left="0.31496062992125984" right="0.31496062992125984" top="0.35433070866141736" bottom="0.35433070866141736" header="0" footer="0"/>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D1E60-041E-4D96-AE2F-1FE47368DB5F}">
  <sheetPr codeName="Feuil15"/>
  <dimension ref="A1:Z49"/>
  <sheetViews>
    <sheetView showRowColHeaders="0" zoomScale="175" zoomScaleNormal="175" workbookViewId="0">
      <selection activeCell="C3" sqref="C3"/>
    </sheetView>
  </sheetViews>
  <sheetFormatPr baseColWidth="10" defaultColWidth="0" defaultRowHeight="13.2" zeroHeight="1" x14ac:dyDescent="0.25"/>
  <cols>
    <col min="1" max="1" width="48.33203125" style="615" customWidth="1"/>
    <col min="2" max="2" width="18.109375" style="615" customWidth="1"/>
    <col min="3" max="26" width="11.44140625" style="615" customWidth="1"/>
    <col min="27" max="16384" width="11.44140625" style="615" hidden="1"/>
  </cols>
  <sheetData>
    <row r="1" spans="1:2" ht="111" customHeight="1" x14ac:dyDescent="0.25"/>
    <row r="2" spans="1:2" ht="16.5" customHeight="1" x14ac:dyDescent="0.25">
      <c r="A2" s="642" t="s">
        <v>2234</v>
      </c>
      <c r="B2" s="642" t="s">
        <v>2235</v>
      </c>
    </row>
    <row r="3" spans="1:2" x14ac:dyDescent="0.25">
      <c r="A3" s="690" t="s">
        <v>2214</v>
      </c>
      <c r="B3" s="690" t="s">
        <v>2237</v>
      </c>
    </row>
    <row r="4" spans="1:2" x14ac:dyDescent="0.25">
      <c r="A4" s="690" t="s">
        <v>1690</v>
      </c>
      <c r="B4" s="690" t="s">
        <v>2238</v>
      </c>
    </row>
    <row r="5" spans="1:2" x14ac:dyDescent="0.25">
      <c r="A5" s="690" t="s">
        <v>1715</v>
      </c>
      <c r="B5" s="690" t="s">
        <v>1715</v>
      </c>
    </row>
    <row r="6" spans="1:2" x14ac:dyDescent="0.25">
      <c r="A6" s="690" t="s">
        <v>2243</v>
      </c>
      <c r="B6" s="690" t="s">
        <v>2217</v>
      </c>
    </row>
    <row r="7" spans="1:2" x14ac:dyDescent="0.25">
      <c r="A7" s="690" t="s">
        <v>2270</v>
      </c>
      <c r="B7" s="690" t="s">
        <v>2220</v>
      </c>
    </row>
    <row r="8" spans="1:2" x14ac:dyDescent="0.25">
      <c r="A8" s="690" t="s">
        <v>2244</v>
      </c>
      <c r="B8" s="690" t="s">
        <v>2272</v>
      </c>
    </row>
    <row r="9" spans="1:2" x14ac:dyDescent="0.25">
      <c r="A9" s="690" t="s">
        <v>2222</v>
      </c>
      <c r="B9" s="690" t="s">
        <v>2222</v>
      </c>
    </row>
    <row r="10" spans="1:2" x14ac:dyDescent="0.25">
      <c r="A10" s="690" t="s">
        <v>2224</v>
      </c>
      <c r="B10" s="690" t="s">
        <v>2224</v>
      </c>
    </row>
    <row r="11" spans="1:2" x14ac:dyDescent="0.25">
      <c r="A11" s="690" t="s">
        <v>2226</v>
      </c>
      <c r="B11" s="690" t="s">
        <v>2226</v>
      </c>
    </row>
    <row r="12" spans="1:2" x14ac:dyDescent="0.25">
      <c r="A12" s="690" t="s">
        <v>2236</v>
      </c>
      <c r="B12" s="690" t="s">
        <v>2227</v>
      </c>
    </row>
    <row r="13" spans="1:2" x14ac:dyDescent="0.25">
      <c r="A13" s="690" t="s">
        <v>1578</v>
      </c>
      <c r="B13" s="690" t="s">
        <v>1578</v>
      </c>
    </row>
    <row r="14" spans="1:2" x14ac:dyDescent="0.25">
      <c r="A14" s="690" t="s">
        <v>1577</v>
      </c>
      <c r="B14" s="690" t="s">
        <v>1577</v>
      </c>
    </row>
    <row r="15" spans="1:2" x14ac:dyDescent="0.25"/>
    <row r="16" spans="1:2"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heet="1" objects="1" scenarios="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25D1-CAB7-4C32-8AEB-75CDDDFBD552}">
  <sheetPr codeName="Feuil16">
    <tabColor theme="4" tint="-0.249977111117893"/>
  </sheetPr>
  <dimension ref="A1:D23"/>
  <sheetViews>
    <sheetView showRowColHeaders="0" tabSelected="1" zoomScaleNormal="100" workbookViewId="0">
      <pane ySplit="1" topLeftCell="A2" activePane="bottomLeft" state="frozen"/>
      <selection pane="bottomLeft" activeCell="D31" sqref="D31"/>
    </sheetView>
  </sheetViews>
  <sheetFormatPr baseColWidth="10" defaultColWidth="11.44140625" defaultRowHeight="13.2" x14ac:dyDescent="0.25"/>
  <cols>
    <col min="1" max="1" width="4.109375" style="677" customWidth="1"/>
    <col min="2" max="2" width="38" style="278" customWidth="1"/>
    <col min="3" max="3" width="67.5546875" style="278" customWidth="1"/>
    <col min="4" max="4" width="19.5546875" style="278" customWidth="1"/>
    <col min="5" max="16384" width="11.44140625" style="278"/>
  </cols>
  <sheetData>
    <row r="1" spans="1:4" ht="90" customHeight="1" x14ac:dyDescent="0.25">
      <c r="A1" s="675"/>
      <c r="B1" s="667"/>
      <c r="C1" s="669" t="s">
        <v>2806</v>
      </c>
      <c r="D1" s="668"/>
    </row>
    <row r="2" spans="1:4" ht="39.6" x14ac:dyDescent="0.25">
      <c r="A2" s="675"/>
      <c r="B2" s="670" t="s">
        <v>2213</v>
      </c>
      <c r="C2" s="671" t="s">
        <v>2247</v>
      </c>
      <c r="D2" s="672"/>
    </row>
    <row r="3" spans="1:4" s="681" customFormat="1" ht="20.100000000000001" customHeight="1" x14ac:dyDescent="0.25">
      <c r="A3" s="678"/>
      <c r="B3" s="679" t="s">
        <v>1679</v>
      </c>
      <c r="C3" s="680"/>
      <c r="D3" s="680"/>
    </row>
    <row r="4" spans="1:4" ht="50.1" customHeight="1" x14ac:dyDescent="0.25">
      <c r="A4" s="675"/>
      <c r="B4" s="690" t="s">
        <v>2214</v>
      </c>
      <c r="C4" s="673" t="s">
        <v>2232</v>
      </c>
      <c r="D4" s="672"/>
    </row>
    <row r="5" spans="1:4" ht="50.1" customHeight="1" x14ac:dyDescent="0.25">
      <c r="A5" s="675"/>
      <c r="B5" s="690" t="s">
        <v>1690</v>
      </c>
      <c r="C5" s="673" t="s">
        <v>2215</v>
      </c>
      <c r="D5" s="672"/>
    </row>
    <row r="6" spans="1:4" ht="50.1" customHeight="1" x14ac:dyDescent="0.25">
      <c r="A6" s="675"/>
      <c r="B6" s="690" t="s">
        <v>1715</v>
      </c>
      <c r="C6" s="673" t="s">
        <v>2216</v>
      </c>
      <c r="D6" s="672"/>
    </row>
    <row r="7" spans="1:4" ht="50.1" customHeight="1" x14ac:dyDescent="0.25">
      <c r="A7" s="675"/>
      <c r="B7" s="751" t="s">
        <v>2245</v>
      </c>
      <c r="C7" s="673" t="s">
        <v>2218</v>
      </c>
      <c r="D7" s="672"/>
    </row>
    <row r="8" spans="1:4" s="681" customFormat="1" ht="20.100000000000001" customHeight="1" x14ac:dyDescent="0.25">
      <c r="A8" s="678"/>
      <c r="B8" s="679" t="s">
        <v>2219</v>
      </c>
      <c r="C8" s="680"/>
      <c r="D8" s="680"/>
    </row>
    <row r="9" spans="1:4" ht="67.5" customHeight="1" x14ac:dyDescent="0.25">
      <c r="A9" s="675"/>
      <c r="B9" s="690" t="s">
        <v>2246</v>
      </c>
      <c r="C9" s="673" t="s">
        <v>2276</v>
      </c>
      <c r="D9" s="672"/>
    </row>
    <row r="10" spans="1:4" ht="60" customHeight="1" x14ac:dyDescent="0.25">
      <c r="A10" s="675"/>
      <c r="B10" s="690" t="s">
        <v>2271</v>
      </c>
      <c r="C10" s="673" t="s">
        <v>2221</v>
      </c>
      <c r="D10" s="672"/>
    </row>
    <row r="11" spans="1:4" ht="60" customHeight="1" x14ac:dyDescent="0.25">
      <c r="A11" s="675"/>
      <c r="B11" s="690" t="s">
        <v>2222</v>
      </c>
      <c r="C11" s="673" t="s">
        <v>2223</v>
      </c>
      <c r="D11" s="672"/>
    </row>
    <row r="12" spans="1:4" s="681" customFormat="1" ht="19.5" customHeight="1" x14ac:dyDescent="0.25">
      <c r="A12" s="678"/>
      <c r="B12" s="679" t="s">
        <v>2225</v>
      </c>
      <c r="C12" s="680"/>
      <c r="D12" s="680"/>
    </row>
    <row r="13" spans="1:4" ht="50.1" customHeight="1" x14ac:dyDescent="0.25">
      <c r="A13" s="675"/>
      <c r="B13" s="690" t="s">
        <v>2226</v>
      </c>
      <c r="C13" s="674" t="s">
        <v>2233</v>
      </c>
      <c r="D13" s="672"/>
    </row>
    <row r="14" spans="1:4" ht="50.1" customHeight="1" x14ac:dyDescent="0.25">
      <c r="A14" s="675"/>
      <c r="B14" s="690" t="s">
        <v>2236</v>
      </c>
      <c r="C14" s="673" t="s">
        <v>2248</v>
      </c>
      <c r="D14" s="672"/>
    </row>
    <row r="15" spans="1:4" s="681" customFormat="1" ht="20.100000000000001" customHeight="1" x14ac:dyDescent="0.25">
      <c r="A15" s="678"/>
      <c r="B15" s="679" t="s">
        <v>2228</v>
      </c>
      <c r="C15" s="680"/>
      <c r="D15" s="680"/>
    </row>
    <row r="16" spans="1:4" ht="39.9" customHeight="1" x14ac:dyDescent="0.25">
      <c r="A16" s="675"/>
      <c r="B16" s="690" t="s">
        <v>1578</v>
      </c>
      <c r="C16" s="674" t="s">
        <v>2229</v>
      </c>
      <c r="D16" s="672"/>
    </row>
    <row r="17" spans="1:4" ht="39.9" customHeight="1" x14ac:dyDescent="0.25">
      <c r="A17" s="675"/>
      <c r="B17" s="690" t="s">
        <v>1577</v>
      </c>
      <c r="C17" s="673" t="s">
        <v>2230</v>
      </c>
      <c r="D17" s="672"/>
    </row>
    <row r="18" spans="1:4" ht="30" customHeight="1" x14ac:dyDescent="0.25">
      <c r="A18" s="676"/>
      <c r="B18" s="684" t="s">
        <v>2210</v>
      </c>
      <c r="C18" s="685"/>
      <c r="D18" s="685"/>
    </row>
    <row r="19" spans="1:4" ht="20.100000000000001" customHeight="1" x14ac:dyDescent="0.25">
      <c r="A19" s="676"/>
      <c r="B19" s="679" t="s">
        <v>2231</v>
      </c>
      <c r="C19" s="686"/>
      <c r="D19" s="686"/>
    </row>
    <row r="20" spans="1:4" ht="15.9" customHeight="1" x14ac:dyDescent="0.25">
      <c r="A20" s="676"/>
      <c r="B20" s="687" t="s">
        <v>1579</v>
      </c>
      <c r="C20" s="978" t="s">
        <v>1580</v>
      </c>
      <c r="D20" s="978"/>
    </row>
    <row r="21" spans="1:4" ht="15.9" customHeight="1" x14ac:dyDescent="0.25">
      <c r="A21" s="676"/>
      <c r="B21" s="688" t="s">
        <v>2282</v>
      </c>
      <c r="C21" s="977" t="s">
        <v>2268</v>
      </c>
      <c r="D21" s="977"/>
    </row>
    <row r="22" spans="1:4" ht="24.6" customHeight="1" x14ac:dyDescent="0.25">
      <c r="A22" s="676"/>
      <c r="B22" s="688" t="s">
        <v>2807</v>
      </c>
      <c r="C22" s="944" t="s">
        <v>2808</v>
      </c>
      <c r="D22" s="944"/>
    </row>
    <row r="23" spans="1:4" x14ac:dyDescent="0.25">
      <c r="A23" s="676"/>
      <c r="B23" s="408"/>
      <c r="C23" s="408"/>
      <c r="D23" s="408"/>
    </row>
  </sheetData>
  <sheetProtection sheet="1" objects="1" scenarios="1"/>
  <mergeCells count="2">
    <mergeCell ref="C20:D20"/>
    <mergeCell ref="C21:D21"/>
  </mergeCells>
  <phoneticPr fontId="5" type="noConversion"/>
  <hyperlinks>
    <hyperlink ref="B18" location="ADMIN!A1" display="ADMIN" xr:uid="{BD8F49F8-1B6A-4062-B69E-5A47BB4BD0D3}"/>
  </hyperlinks>
  <pageMargins left="0.78740157499999996" right="0.78740157499999996" top="0.984251969" bottom="0.984251969" header="0.4921259845" footer="0.4921259845"/>
  <pageSetup paperSize="9" orientation="portrait" horizontalDpi="4294967293"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C5740-5C11-4612-A07C-A653AB73B4FE}">
  <sheetPr codeName="Feuil7"/>
  <dimension ref="A1:B95"/>
  <sheetViews>
    <sheetView showGridLines="0" showRowColHeaders="0" zoomScaleNormal="100" workbookViewId="0">
      <pane ySplit="2" topLeftCell="A3" activePane="bottomLeft" state="frozen"/>
      <selection pane="bottomLeft" activeCell="B12" sqref="B12"/>
    </sheetView>
  </sheetViews>
  <sheetFormatPr baseColWidth="10" defaultRowHeight="13.2" x14ac:dyDescent="0.25"/>
  <cols>
    <col min="1" max="1" width="6" style="291" customWidth="1"/>
    <col min="2" max="2" width="93.44140625" style="291" customWidth="1"/>
  </cols>
  <sheetData>
    <row r="1" spans="1:2" ht="19.2" x14ac:dyDescent="0.25">
      <c r="A1" s="980" t="s">
        <v>1581</v>
      </c>
      <c r="B1" s="980"/>
    </row>
    <row r="2" spans="1:2" ht="32.25" customHeight="1" x14ac:dyDescent="0.25">
      <c r="A2" s="981" t="s">
        <v>1582</v>
      </c>
      <c r="B2" s="981"/>
    </row>
    <row r="3" spans="1:2" x14ac:dyDescent="0.25">
      <c r="A3" s="982"/>
      <c r="B3" s="982"/>
    </row>
    <row r="4" spans="1:2" x14ac:dyDescent="0.25">
      <c r="A4" s="979" t="s">
        <v>1583</v>
      </c>
      <c r="B4" s="979"/>
    </row>
    <row r="5" spans="1:2" x14ac:dyDescent="0.25">
      <c r="A5" s="983" t="s">
        <v>1584</v>
      </c>
      <c r="B5" s="983"/>
    </row>
    <row r="6" spans="1:2" ht="52.8" x14ac:dyDescent="0.25">
      <c r="A6" s="279" t="s">
        <v>1585</v>
      </c>
      <c r="B6" s="280" t="s">
        <v>1586</v>
      </c>
    </row>
    <row r="7" spans="1:2" ht="26.4" x14ac:dyDescent="0.25">
      <c r="A7" s="279" t="s">
        <v>1587</v>
      </c>
      <c r="B7" s="280" t="s">
        <v>1588</v>
      </c>
    </row>
    <row r="8" spans="1:2" ht="52.8" x14ac:dyDescent="0.25">
      <c r="A8" s="279" t="s">
        <v>1589</v>
      </c>
      <c r="B8" s="280" t="s">
        <v>1590</v>
      </c>
    </row>
    <row r="9" spans="1:2" ht="39.6" x14ac:dyDescent="0.25">
      <c r="A9" s="279" t="s">
        <v>1591</v>
      </c>
      <c r="B9" s="280" t="s">
        <v>1592</v>
      </c>
    </row>
    <row r="10" spans="1:2" ht="26.4" x14ac:dyDescent="0.25">
      <c r="A10" s="279" t="s">
        <v>1593</v>
      </c>
      <c r="B10" s="280" t="s">
        <v>1594</v>
      </c>
    </row>
    <row r="11" spans="1:2" ht="26.4" x14ac:dyDescent="0.25">
      <c r="A11" s="279" t="s">
        <v>1595</v>
      </c>
      <c r="B11" s="280" t="s">
        <v>1596</v>
      </c>
    </row>
    <row r="12" spans="1:2" ht="26.4" x14ac:dyDescent="0.25">
      <c r="A12" s="279" t="s">
        <v>1597</v>
      </c>
      <c r="B12" s="280" t="s">
        <v>1598</v>
      </c>
    </row>
    <row r="13" spans="1:2" ht="39.6" x14ac:dyDescent="0.25">
      <c r="A13" s="279" t="s">
        <v>1599</v>
      </c>
      <c r="B13" s="280" t="s">
        <v>1600</v>
      </c>
    </row>
    <row r="14" spans="1:2" ht="26.4" x14ac:dyDescent="0.25">
      <c r="A14" s="279" t="s">
        <v>1601</v>
      </c>
      <c r="B14" s="280" t="s">
        <v>1602</v>
      </c>
    </row>
    <row r="15" spans="1:2" ht="52.8" x14ac:dyDescent="0.25">
      <c r="A15" s="279" t="s">
        <v>1603</v>
      </c>
      <c r="B15" s="280" t="s">
        <v>1604</v>
      </c>
    </row>
    <row r="16" spans="1:2" ht="39.6" x14ac:dyDescent="0.25">
      <c r="A16" s="279" t="s">
        <v>1605</v>
      </c>
      <c r="B16" s="280" t="s">
        <v>1606</v>
      </c>
    </row>
    <row r="17" spans="1:2" ht="26.4" x14ac:dyDescent="0.25">
      <c r="A17" s="279" t="s">
        <v>1607</v>
      </c>
      <c r="B17" s="280" t="s">
        <v>1608</v>
      </c>
    </row>
    <row r="18" spans="1:2" x14ac:dyDescent="0.25">
      <c r="A18" s="281" t="s">
        <v>1609</v>
      </c>
      <c r="B18" s="282"/>
    </row>
    <row r="19" spans="1:2" x14ac:dyDescent="0.25">
      <c r="A19" s="283" t="s">
        <v>1585</v>
      </c>
      <c r="B19" s="284" t="s">
        <v>1610</v>
      </c>
    </row>
    <row r="20" spans="1:2" ht="39.6" x14ac:dyDescent="0.25">
      <c r="A20" s="282"/>
      <c r="B20" s="285" t="s">
        <v>1611</v>
      </c>
    </row>
    <row r="21" spans="1:2" x14ac:dyDescent="0.25">
      <c r="A21" s="282"/>
      <c r="B21" s="286" t="s">
        <v>1612</v>
      </c>
    </row>
    <row r="22" spans="1:2" x14ac:dyDescent="0.25">
      <c r="A22" s="282"/>
      <c r="B22" s="286" t="s">
        <v>1613</v>
      </c>
    </row>
    <row r="23" spans="1:2" x14ac:dyDescent="0.25">
      <c r="A23" s="282"/>
      <c r="B23" s="286"/>
    </row>
    <row r="24" spans="1:2" ht="39.6" x14ac:dyDescent="0.25">
      <c r="A24" s="282"/>
      <c r="B24" s="287" t="s">
        <v>1614</v>
      </c>
    </row>
    <row r="25" spans="1:2" x14ac:dyDescent="0.25">
      <c r="A25" s="282"/>
      <c r="B25" s="286"/>
    </row>
    <row r="26" spans="1:2" x14ac:dyDescent="0.25">
      <c r="A26" s="282"/>
      <c r="B26" s="287" t="s">
        <v>1615</v>
      </c>
    </row>
    <row r="27" spans="1:2" x14ac:dyDescent="0.25">
      <c r="A27" s="282"/>
      <c r="B27" s="286"/>
    </row>
    <row r="28" spans="1:2" ht="105.6" x14ac:dyDescent="0.25">
      <c r="A28" s="282"/>
      <c r="B28" s="287" t="s">
        <v>1616</v>
      </c>
    </row>
    <row r="29" spans="1:2" x14ac:dyDescent="0.25">
      <c r="A29" s="282"/>
      <c r="B29" s="286"/>
    </row>
    <row r="30" spans="1:2" x14ac:dyDescent="0.25">
      <c r="A30" s="282"/>
      <c r="B30" s="287" t="s">
        <v>1617</v>
      </c>
    </row>
    <row r="31" spans="1:2" ht="39.6" x14ac:dyDescent="0.25">
      <c r="A31" s="282"/>
      <c r="B31" s="288" t="s">
        <v>1618</v>
      </c>
    </row>
    <row r="32" spans="1:2" ht="52.8" x14ac:dyDescent="0.25">
      <c r="A32" s="282"/>
      <c r="B32" s="288" t="s">
        <v>1619</v>
      </c>
    </row>
    <row r="33" spans="1:2" ht="52.8" x14ac:dyDescent="0.25">
      <c r="A33" s="282"/>
      <c r="B33" s="288" t="s">
        <v>1620</v>
      </c>
    </row>
    <row r="34" spans="1:2" x14ac:dyDescent="0.25">
      <c r="A34" s="282"/>
      <c r="B34" s="286"/>
    </row>
    <row r="35" spans="1:2" ht="52.8" x14ac:dyDescent="0.25">
      <c r="A35" s="282"/>
      <c r="B35" s="287" t="s">
        <v>1621</v>
      </c>
    </row>
    <row r="36" spans="1:2" x14ac:dyDescent="0.25">
      <c r="A36" s="283" t="s">
        <v>1587</v>
      </c>
      <c r="B36" s="284" t="s">
        <v>1622</v>
      </c>
    </row>
    <row r="37" spans="1:2" ht="66" x14ac:dyDescent="0.25">
      <c r="A37" s="282"/>
      <c r="B37" s="289" t="s">
        <v>1623</v>
      </c>
    </row>
    <row r="38" spans="1:2" x14ac:dyDescent="0.25">
      <c r="A38" s="282"/>
      <c r="B38" s="289" t="s">
        <v>1624</v>
      </c>
    </row>
    <row r="39" spans="1:2" ht="66" x14ac:dyDescent="0.25">
      <c r="A39" s="282"/>
      <c r="B39" s="289" t="s">
        <v>1625</v>
      </c>
    </row>
    <row r="40" spans="1:2" x14ac:dyDescent="0.25">
      <c r="A40" s="281" t="s">
        <v>1626</v>
      </c>
      <c r="B40" s="282"/>
    </row>
    <row r="41" spans="1:2" x14ac:dyDescent="0.25">
      <c r="A41" s="290" t="s">
        <v>1627</v>
      </c>
      <c r="B41" s="282"/>
    </row>
    <row r="42" spans="1:2" x14ac:dyDescent="0.25">
      <c r="A42" s="283" t="s">
        <v>1585</v>
      </c>
      <c r="B42" s="284" t="s">
        <v>1628</v>
      </c>
    </row>
    <row r="43" spans="1:2" x14ac:dyDescent="0.25">
      <c r="A43" s="282"/>
      <c r="B43" s="285" t="s">
        <v>1629</v>
      </c>
    </row>
    <row r="44" spans="1:2" ht="26.4" x14ac:dyDescent="0.25">
      <c r="B44" s="286" t="s">
        <v>1630</v>
      </c>
    </row>
    <row r="45" spans="1:2" ht="39.6" x14ac:dyDescent="0.25">
      <c r="B45" s="292" t="s">
        <v>1631</v>
      </c>
    </row>
    <row r="46" spans="1:2" x14ac:dyDescent="0.25">
      <c r="B46" s="292" t="s">
        <v>1632</v>
      </c>
    </row>
    <row r="47" spans="1:2" x14ac:dyDescent="0.25">
      <c r="B47" s="292" t="s">
        <v>1633</v>
      </c>
    </row>
    <row r="48" spans="1:2" x14ac:dyDescent="0.25">
      <c r="B48" s="292" t="s">
        <v>1634</v>
      </c>
    </row>
    <row r="49" spans="1:2" x14ac:dyDescent="0.25">
      <c r="B49" s="293" t="s">
        <v>1635</v>
      </c>
    </row>
    <row r="50" spans="1:2" x14ac:dyDescent="0.25">
      <c r="B50" s="286" t="s">
        <v>1636</v>
      </c>
    </row>
    <row r="51" spans="1:2" x14ac:dyDescent="0.25">
      <c r="B51" s="292" t="s">
        <v>1637</v>
      </c>
    </row>
    <row r="52" spans="1:2" x14ac:dyDescent="0.25">
      <c r="B52" s="292" t="s">
        <v>1638</v>
      </c>
    </row>
    <row r="53" spans="1:2" x14ac:dyDescent="0.25">
      <c r="B53" s="292" t="s">
        <v>1639</v>
      </c>
    </row>
    <row r="54" spans="1:2" ht="26.4" x14ac:dyDescent="0.25">
      <c r="B54" s="293" t="s">
        <v>1640</v>
      </c>
    </row>
    <row r="55" spans="1:2" ht="26.4" x14ac:dyDescent="0.25">
      <c r="B55" s="286" t="s">
        <v>1641</v>
      </c>
    </row>
    <row r="56" spans="1:2" x14ac:dyDescent="0.25">
      <c r="A56" s="282"/>
      <c r="B56" s="286"/>
    </row>
    <row r="57" spans="1:2" ht="52.8" x14ac:dyDescent="0.25">
      <c r="B57" s="285" t="s">
        <v>1642</v>
      </c>
    </row>
    <row r="58" spans="1:2" x14ac:dyDescent="0.25">
      <c r="A58" s="282"/>
      <c r="B58" s="286"/>
    </row>
    <row r="59" spans="1:2" ht="26.4" x14ac:dyDescent="0.25">
      <c r="B59" s="289" t="s">
        <v>1643</v>
      </c>
    </row>
    <row r="60" spans="1:2" x14ac:dyDescent="0.25">
      <c r="A60" s="283" t="s">
        <v>1587</v>
      </c>
      <c r="B60" s="284" t="s">
        <v>1644</v>
      </c>
    </row>
    <row r="61" spans="1:2" ht="26.4" x14ac:dyDescent="0.25">
      <c r="B61" s="291" t="s">
        <v>1645</v>
      </c>
    </row>
    <row r="62" spans="1:2" x14ac:dyDescent="0.25">
      <c r="B62" s="294"/>
    </row>
    <row r="63" spans="1:2" x14ac:dyDescent="0.25">
      <c r="B63" s="285" t="s">
        <v>1646</v>
      </c>
    </row>
    <row r="64" spans="1:2" x14ac:dyDescent="0.25">
      <c r="A64" s="282"/>
      <c r="B64" s="286"/>
    </row>
    <row r="65" spans="1:2" ht="39.6" x14ac:dyDescent="0.25">
      <c r="B65" s="289" t="s">
        <v>1647</v>
      </c>
    </row>
    <row r="66" spans="1:2" x14ac:dyDescent="0.25">
      <c r="A66" s="282"/>
      <c r="B66" s="286"/>
    </row>
    <row r="67" spans="1:2" ht="39.6" x14ac:dyDescent="0.25">
      <c r="B67" s="289" t="s">
        <v>1648</v>
      </c>
    </row>
    <row r="68" spans="1:2" x14ac:dyDescent="0.25">
      <c r="A68" s="281" t="s">
        <v>1649</v>
      </c>
    </row>
    <row r="69" spans="1:2" x14ac:dyDescent="0.25">
      <c r="A69" s="984" t="s">
        <v>1650</v>
      </c>
      <c r="B69" s="985"/>
    </row>
    <row r="70" spans="1:2" ht="26.4" x14ac:dyDescent="0.25">
      <c r="A70" s="279" t="s">
        <v>1651</v>
      </c>
      <c r="B70" s="295" t="s">
        <v>1652</v>
      </c>
    </row>
    <row r="71" spans="1:2" ht="52.8" x14ac:dyDescent="0.25">
      <c r="A71" s="279" t="s">
        <v>1653</v>
      </c>
      <c r="B71" s="296" t="s">
        <v>1654</v>
      </c>
    </row>
    <row r="72" spans="1:2" ht="26.4" x14ac:dyDescent="0.25">
      <c r="A72" s="279" t="s">
        <v>1655</v>
      </c>
      <c r="B72" s="295" t="s">
        <v>1656</v>
      </c>
    </row>
    <row r="73" spans="1:2" x14ac:dyDescent="0.25">
      <c r="A73" s="979" t="s">
        <v>1657</v>
      </c>
      <c r="B73" s="979"/>
    </row>
    <row r="74" spans="1:2" x14ac:dyDescent="0.25">
      <c r="A74" s="281" t="s">
        <v>1658</v>
      </c>
    </row>
    <row r="75" spans="1:2" ht="92.4" x14ac:dyDescent="0.25">
      <c r="A75" s="297" t="s">
        <v>1651</v>
      </c>
      <c r="B75" s="298" t="s">
        <v>1659</v>
      </c>
    </row>
    <row r="76" spans="1:2" ht="92.4" x14ac:dyDescent="0.25">
      <c r="A76" s="297" t="s">
        <v>1587</v>
      </c>
      <c r="B76" s="299" t="s">
        <v>1660</v>
      </c>
    </row>
    <row r="77" spans="1:2" x14ac:dyDescent="0.25">
      <c r="B77" s="300"/>
    </row>
    <row r="78" spans="1:2" ht="26.4" x14ac:dyDescent="0.25">
      <c r="A78" s="279" t="s">
        <v>1589</v>
      </c>
      <c r="B78" s="301" t="s">
        <v>1661</v>
      </c>
    </row>
    <row r="79" spans="1:2" x14ac:dyDescent="0.25">
      <c r="A79" s="281" t="s">
        <v>1662</v>
      </c>
    </row>
    <row r="80" spans="1:2" ht="39.6" x14ac:dyDescent="0.25">
      <c r="A80" s="279" t="s">
        <v>1651</v>
      </c>
      <c r="B80" s="301" t="s">
        <v>1663</v>
      </c>
    </row>
    <row r="81" spans="1:2" x14ac:dyDescent="0.25">
      <c r="A81" s="279" t="s">
        <v>1653</v>
      </c>
      <c r="B81" s="302" t="s">
        <v>1664</v>
      </c>
    </row>
    <row r="82" spans="1:2" ht="26.4" x14ac:dyDescent="0.25">
      <c r="B82" s="289" t="s">
        <v>1665</v>
      </c>
    </row>
    <row r="83" spans="1:2" x14ac:dyDescent="0.25">
      <c r="B83" s="289" t="s">
        <v>1666</v>
      </c>
    </row>
    <row r="84" spans="1:2" ht="26.4" x14ac:dyDescent="0.25">
      <c r="B84" s="296" t="s">
        <v>1667</v>
      </c>
    </row>
    <row r="85" spans="1:2" x14ac:dyDescent="0.25">
      <c r="B85" s="300"/>
    </row>
    <row r="86" spans="1:2" ht="39.6" x14ac:dyDescent="0.25">
      <c r="A86" s="279" t="s">
        <v>1655</v>
      </c>
      <c r="B86" s="301" t="s">
        <v>1668</v>
      </c>
    </row>
    <row r="87" spans="1:2" x14ac:dyDescent="0.25">
      <c r="A87" s="279" t="s">
        <v>1669</v>
      </c>
      <c r="B87" s="301" t="s">
        <v>1670</v>
      </c>
    </row>
    <row r="88" spans="1:2" x14ac:dyDescent="0.25">
      <c r="A88" s="281" t="s">
        <v>1671</v>
      </c>
    </row>
    <row r="89" spans="1:2" x14ac:dyDescent="0.25">
      <c r="A89" s="279" t="s">
        <v>1651</v>
      </c>
      <c r="B89" s="301" t="s">
        <v>1672</v>
      </c>
    </row>
    <row r="90" spans="1:2" ht="26.4" x14ac:dyDescent="0.25">
      <c r="A90" s="279" t="s">
        <v>1653</v>
      </c>
      <c r="B90" s="301" t="s">
        <v>1673</v>
      </c>
    </row>
    <row r="91" spans="1:2" x14ac:dyDescent="0.25">
      <c r="A91" s="281" t="s">
        <v>1674</v>
      </c>
    </row>
    <row r="92" spans="1:2" ht="39.6" x14ac:dyDescent="0.25">
      <c r="A92" s="279" t="s">
        <v>1651</v>
      </c>
      <c r="B92" s="301" t="s">
        <v>1675</v>
      </c>
    </row>
    <row r="93" spans="1:2" ht="39.6" x14ac:dyDescent="0.25">
      <c r="A93" s="279" t="s">
        <v>1653</v>
      </c>
      <c r="B93" s="301" t="s">
        <v>1676</v>
      </c>
    </row>
    <row r="94" spans="1:2" ht="26.4" x14ac:dyDescent="0.25">
      <c r="A94" s="279" t="s">
        <v>1655</v>
      </c>
      <c r="B94" s="301" t="s">
        <v>1677</v>
      </c>
    </row>
    <row r="95" spans="1:2" ht="52.8" x14ac:dyDescent="0.25">
      <c r="A95" s="279" t="s">
        <v>1669</v>
      </c>
      <c r="B95" s="301" t="s">
        <v>1678</v>
      </c>
    </row>
  </sheetData>
  <sheetProtection sheet="1" objects="1" scenarios="1"/>
  <mergeCells count="7">
    <mergeCell ref="A73:B73"/>
    <mergeCell ref="A1:B1"/>
    <mergeCell ref="A2:B2"/>
    <mergeCell ref="A3:B3"/>
    <mergeCell ref="A4:B4"/>
    <mergeCell ref="A5:B5"/>
    <mergeCell ref="A69:B69"/>
  </mergeCells>
  <pageMargins left="0.7" right="0.7" top="0.75" bottom="0.75" header="0.3" footer="0.3"/>
  <pageSetup paperSize="9" scale="88" orientation="portrait" verticalDpi="0" r:id="rId1"/>
  <rowBreaks count="3" manualBreakCount="3">
    <brk id="29" max="16383" man="1"/>
    <brk id="59" max="16383" man="1"/>
    <brk id="90"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6CBBA-99E8-41B6-84AB-DEC799F372BF}">
  <sheetPr codeName="Feuil6"/>
  <dimension ref="A1:I28"/>
  <sheetViews>
    <sheetView showGridLines="0" showRowColHeaders="0" zoomScaleNormal="100" workbookViewId="0">
      <pane ySplit="4" topLeftCell="A5" activePane="bottomLeft" state="frozen"/>
      <selection pane="bottomLeft" activeCell="E25" sqref="E25"/>
    </sheetView>
  </sheetViews>
  <sheetFormatPr baseColWidth="10" defaultColWidth="11.44140625" defaultRowHeight="13.2" x14ac:dyDescent="0.25"/>
  <cols>
    <col min="1" max="1" width="11.44140625" style="266"/>
    <col min="2" max="2" width="29" style="266" customWidth="1"/>
    <col min="3" max="3" width="22.33203125" style="266" customWidth="1"/>
    <col min="4" max="4" width="2.44140625" style="266" customWidth="1"/>
    <col min="5" max="5" width="78.5546875" style="266" customWidth="1"/>
    <col min="6" max="16384" width="11.44140625" style="266"/>
  </cols>
  <sheetData>
    <row r="1" spans="1:9" ht="36.75" customHeight="1" x14ac:dyDescent="0.25">
      <c r="A1" s="682"/>
      <c r="B1" s="682"/>
      <c r="C1" s="682"/>
      <c r="D1" s="682"/>
      <c r="E1" s="682"/>
    </row>
    <row r="2" spans="1:9" ht="25.95" customHeight="1" x14ac:dyDescent="0.4">
      <c r="A2" s="682"/>
      <c r="B2" s="682"/>
      <c r="C2" s="683" t="s">
        <v>1545</v>
      </c>
      <c r="D2" s="683"/>
      <c r="E2" s="682"/>
    </row>
    <row r="3" spans="1:9" ht="25.95" customHeight="1" x14ac:dyDescent="0.25">
      <c r="A3" s="682"/>
      <c r="B3" s="682"/>
      <c r="C3" s="682"/>
      <c r="D3" s="682"/>
      <c r="E3" s="682"/>
    </row>
    <row r="4" spans="1:9" ht="17.399999999999999" x14ac:dyDescent="0.3">
      <c r="A4" s="986" t="s">
        <v>1546</v>
      </c>
      <c r="B4" s="986"/>
      <c r="C4" s="986"/>
      <c r="D4" s="986"/>
      <c r="E4" s="986"/>
    </row>
    <row r="6" spans="1:9" ht="58.2" customHeight="1" x14ac:dyDescent="0.25">
      <c r="A6" s="987" t="s">
        <v>1547</v>
      </c>
      <c r="B6" s="987"/>
      <c r="C6" s="987"/>
      <c r="D6" s="987"/>
      <c r="E6" s="987"/>
      <c r="F6" s="267"/>
      <c r="G6" s="267"/>
      <c r="H6" s="267"/>
      <c r="I6" s="267"/>
    </row>
    <row r="7" spans="1:9" ht="20.25" customHeight="1" thickBot="1" x14ac:dyDescent="0.3">
      <c r="A7" s="275"/>
      <c r="B7" s="275"/>
      <c r="C7" s="275"/>
      <c r="D7" s="275"/>
      <c r="E7" s="275"/>
      <c r="F7" s="267"/>
      <c r="G7" s="267"/>
      <c r="H7" s="267"/>
      <c r="I7" s="267"/>
    </row>
    <row r="8" spans="1:9" ht="32.25" customHeight="1" thickTop="1" thickBot="1" x14ac:dyDescent="0.3">
      <c r="A8" s="275"/>
      <c r="B8" s="271" t="s">
        <v>1548</v>
      </c>
      <c r="C8" s="275"/>
      <c r="D8" s="275"/>
      <c r="E8" s="275"/>
      <c r="F8" s="267"/>
      <c r="G8" s="267"/>
      <c r="H8" s="267"/>
      <c r="I8" s="267"/>
    </row>
    <row r="9" spans="1:9" ht="24.75" customHeight="1" thickTop="1" thickBot="1" x14ac:dyDescent="0.5">
      <c r="B9" s="270" t="s">
        <v>1539</v>
      </c>
    </row>
    <row r="10" spans="1:9" ht="40.5" customHeight="1" thickTop="1" thickBot="1" x14ac:dyDescent="0.3">
      <c r="B10" s="271" t="s">
        <v>1549</v>
      </c>
      <c r="E10" s="267" t="s">
        <v>1550</v>
      </c>
    </row>
    <row r="11" spans="1:9" ht="25.5" customHeight="1" thickTop="1" thickBot="1" x14ac:dyDescent="0.5">
      <c r="B11" s="270" t="s">
        <v>1539</v>
      </c>
    </row>
    <row r="12" spans="1:9" ht="28.5" customHeight="1" thickTop="1" thickBot="1" x14ac:dyDescent="0.3">
      <c r="B12" s="268" t="s">
        <v>1540</v>
      </c>
      <c r="E12" s="267" t="s">
        <v>1541</v>
      </c>
    </row>
    <row r="13" spans="1:9" ht="25.5" customHeight="1" thickTop="1" thickBot="1" x14ac:dyDescent="0.5">
      <c r="B13" s="270" t="s">
        <v>1539</v>
      </c>
    </row>
    <row r="14" spans="1:9" ht="42.6" customHeight="1" thickTop="1" thickBot="1" x14ac:dyDescent="0.3">
      <c r="B14" s="271" t="s">
        <v>1551</v>
      </c>
      <c r="E14" s="269" t="s">
        <v>1552</v>
      </c>
    </row>
    <row r="15" spans="1:9" ht="25.5" customHeight="1" thickTop="1" thickBot="1" x14ac:dyDescent="0.5">
      <c r="B15" s="270" t="s">
        <v>1539</v>
      </c>
    </row>
    <row r="16" spans="1:9" ht="42.75" customHeight="1" thickTop="1" thickBot="1" x14ac:dyDescent="0.3">
      <c r="B16" s="271" t="s">
        <v>1542</v>
      </c>
      <c r="E16" s="267" t="s">
        <v>1553</v>
      </c>
    </row>
    <row r="17" spans="2:5" ht="25.5" customHeight="1" thickTop="1" thickBot="1" x14ac:dyDescent="0.5">
      <c r="B17" s="270" t="s">
        <v>1539</v>
      </c>
    </row>
    <row r="18" spans="2:5" ht="60" customHeight="1" thickTop="1" thickBot="1" x14ac:dyDescent="0.3">
      <c r="B18" s="271" t="s">
        <v>1543</v>
      </c>
      <c r="E18" s="267" t="s">
        <v>1554</v>
      </c>
    </row>
    <row r="19" spans="2:5" ht="25.5" customHeight="1" thickTop="1" thickBot="1" x14ac:dyDescent="0.5">
      <c r="B19" s="270" t="s">
        <v>1539</v>
      </c>
    </row>
    <row r="20" spans="2:5" ht="64.95" customHeight="1" thickTop="1" thickBot="1" x14ac:dyDescent="0.3">
      <c r="B20" s="271" t="s">
        <v>1544</v>
      </c>
      <c r="E20" s="267" t="s">
        <v>1555</v>
      </c>
    </row>
    <row r="21" spans="2:5" ht="13.8" thickTop="1" x14ac:dyDescent="0.25"/>
    <row r="22" spans="2:5" ht="44.25" customHeight="1" x14ac:dyDescent="0.25">
      <c r="B22" s="988" t="s">
        <v>2278</v>
      </c>
      <c r="C22" s="988"/>
      <c r="D22" s="988"/>
      <c r="E22" s="988"/>
    </row>
    <row r="23" spans="2:5" ht="29.25" customHeight="1" x14ac:dyDescent="0.25">
      <c r="E23" s="272"/>
    </row>
    <row r="27" spans="2:5" ht="54.6" customHeight="1" x14ac:dyDescent="0.25">
      <c r="C27" s="273"/>
      <c r="D27" s="273"/>
    </row>
    <row r="28" spans="2:5" x14ac:dyDescent="0.25">
      <c r="C28" s="274"/>
      <c r="D28" s="274"/>
    </row>
  </sheetData>
  <sheetProtection sheet="1" objects="1" scenarios="1"/>
  <mergeCells count="3">
    <mergeCell ref="A4:E4"/>
    <mergeCell ref="A6:E6"/>
    <mergeCell ref="B22:E2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4">
    <tabColor rgb="FFFFFF00"/>
    <pageSetUpPr fitToPage="1"/>
  </sheetPr>
  <dimension ref="B1:U21"/>
  <sheetViews>
    <sheetView showGridLines="0" showRowColHeaders="0" zoomScale="80" zoomScaleNormal="80" workbookViewId="0">
      <pane ySplit="4" topLeftCell="A5" activePane="bottomLeft" state="frozen"/>
      <selection pane="bottomLeft" activeCell="I15" sqref="I15"/>
    </sheetView>
  </sheetViews>
  <sheetFormatPr baseColWidth="10" defaultRowHeight="13.2" x14ac:dyDescent="0.25"/>
  <cols>
    <col min="1" max="1" width="2.88671875" customWidth="1"/>
    <col min="2" max="2" width="21.6640625" customWidth="1"/>
    <col min="3" max="3" width="7.88671875" customWidth="1"/>
    <col min="4" max="4" width="55.6640625" customWidth="1"/>
    <col min="5" max="5" width="44.6640625" customWidth="1"/>
    <col min="6" max="9" width="6.33203125" customWidth="1"/>
    <col min="10" max="10" width="10.44140625" customWidth="1"/>
    <col min="11" max="16" width="10.44140625" hidden="1" customWidth="1"/>
    <col min="17" max="19" width="0" hidden="1" customWidth="1"/>
    <col min="20" max="21" width="11.44140625" hidden="1" customWidth="1"/>
  </cols>
  <sheetData>
    <row r="1" spans="2:21" ht="12.75" customHeight="1" x14ac:dyDescent="0.25"/>
    <row r="2" spans="2:21" ht="94.5" customHeight="1" thickBot="1" x14ac:dyDescent="0.45">
      <c r="B2" s="641" t="s">
        <v>2241</v>
      </c>
      <c r="C2" s="632"/>
      <c r="D2" s="633"/>
      <c r="E2" s="633"/>
      <c r="F2" s="634"/>
      <c r="G2" s="634"/>
      <c r="H2" s="634"/>
      <c r="I2" s="634"/>
      <c r="K2" s="62" t="s">
        <v>2250</v>
      </c>
    </row>
    <row r="3" spans="2:21" ht="36" customHeight="1" thickBot="1" x14ac:dyDescent="0.3">
      <c r="B3" s="945" t="s">
        <v>1104</v>
      </c>
      <c r="C3" s="946"/>
      <c r="D3" s="947"/>
      <c r="E3" s="948"/>
      <c r="F3" s="990" t="s">
        <v>1930</v>
      </c>
      <c r="G3" s="990"/>
      <c r="H3" s="990"/>
      <c r="I3" s="990"/>
      <c r="K3" s="997" t="s">
        <v>2480</v>
      </c>
      <c r="L3" s="997"/>
      <c r="M3" s="997"/>
      <c r="N3" s="997"/>
      <c r="Q3" s="997" t="s">
        <v>2559</v>
      </c>
      <c r="R3" s="997"/>
      <c r="S3" s="997"/>
      <c r="T3" s="997"/>
    </row>
    <row r="4" spans="2:21" ht="25.5" customHeight="1" thickBot="1" x14ac:dyDescent="0.3">
      <c r="B4" s="949" t="s">
        <v>1819</v>
      </c>
      <c r="C4" s="950" t="s">
        <v>74</v>
      </c>
      <c r="D4" s="951" t="s">
        <v>1089</v>
      </c>
      <c r="E4" s="952" t="s">
        <v>1088</v>
      </c>
      <c r="F4" s="952" t="s">
        <v>76</v>
      </c>
      <c r="G4" s="952" t="s">
        <v>23</v>
      </c>
      <c r="H4" s="952" t="s">
        <v>34</v>
      </c>
      <c r="I4" s="953" t="s">
        <v>41</v>
      </c>
      <c r="K4" s="245" t="s">
        <v>1373</v>
      </c>
      <c r="L4" s="245" t="s">
        <v>76</v>
      </c>
      <c r="M4" s="245" t="s">
        <v>23</v>
      </c>
      <c r="N4" s="245" t="s">
        <v>34</v>
      </c>
      <c r="O4" s="248" t="s">
        <v>41</v>
      </c>
      <c r="Q4" s="692" t="s">
        <v>1373</v>
      </c>
      <c r="R4" s="692" t="s">
        <v>76</v>
      </c>
      <c r="S4" s="692" t="s">
        <v>23</v>
      </c>
      <c r="T4" s="692" t="s">
        <v>34</v>
      </c>
      <c r="U4" s="692" t="s">
        <v>41</v>
      </c>
    </row>
    <row r="5" spans="2:21" ht="28.5" customHeight="1" x14ac:dyDescent="0.25">
      <c r="B5" s="991" t="s">
        <v>1085</v>
      </c>
      <c r="C5" s="473" t="s">
        <v>75</v>
      </c>
      <c r="D5" s="474" t="s">
        <v>1931</v>
      </c>
      <c r="E5" s="474" t="s">
        <v>1932</v>
      </c>
      <c r="F5" s="372"/>
      <c r="G5" s="620"/>
      <c r="H5" s="620"/>
      <c r="I5" s="405"/>
      <c r="K5">
        <f>SUM(L5:N5)</f>
        <v>24</v>
      </c>
      <c r="L5" s="465">
        <v>14</v>
      </c>
      <c r="M5" s="465">
        <v>5</v>
      </c>
      <c r="N5" s="465">
        <v>5</v>
      </c>
      <c r="O5" s="465"/>
      <c r="Q5" s="906">
        <f t="shared" ref="Q5:Q14" si="0">SUM(R5:T5)</f>
        <v>37</v>
      </c>
      <c r="R5" s="906">
        <v>19</v>
      </c>
      <c r="S5" s="906">
        <v>10</v>
      </c>
      <c r="T5" s="906">
        <v>8</v>
      </c>
      <c r="U5" s="906"/>
    </row>
    <row r="6" spans="2:21" ht="45.75" customHeight="1" x14ac:dyDescent="0.25">
      <c r="B6" s="992"/>
      <c r="C6" s="621" t="s">
        <v>38</v>
      </c>
      <c r="D6" s="616" t="s">
        <v>1933</v>
      </c>
      <c r="E6" s="616" t="s">
        <v>1934</v>
      </c>
      <c r="F6" s="914"/>
      <c r="G6" s="915"/>
      <c r="H6" s="915"/>
      <c r="I6" s="622"/>
      <c r="K6">
        <f>SUM(L6:N6)</f>
        <v>28</v>
      </c>
      <c r="L6" s="465">
        <v>14</v>
      </c>
      <c r="M6" s="465">
        <v>4</v>
      </c>
      <c r="N6" s="465">
        <v>10</v>
      </c>
      <c r="O6" s="465"/>
      <c r="Q6" s="906">
        <f t="shared" si="0"/>
        <v>40</v>
      </c>
      <c r="R6" s="906">
        <v>17</v>
      </c>
      <c r="S6" s="906">
        <v>7</v>
      </c>
      <c r="T6" s="906">
        <v>16</v>
      </c>
      <c r="U6" s="906"/>
    </row>
    <row r="7" spans="2:21" ht="53.25" customHeight="1" x14ac:dyDescent="0.25">
      <c r="B7" s="992"/>
      <c r="C7" s="621" t="s">
        <v>39</v>
      </c>
      <c r="D7" s="616" t="s">
        <v>1090</v>
      </c>
      <c r="E7" s="616" t="s">
        <v>1376</v>
      </c>
      <c r="F7" s="914"/>
      <c r="G7" s="915"/>
      <c r="H7" s="915"/>
      <c r="I7" s="622"/>
      <c r="K7">
        <f t="shared" ref="K7:K14" si="1">SUM(L7:N7)</f>
        <v>6</v>
      </c>
      <c r="L7" s="465">
        <v>3</v>
      </c>
      <c r="M7" s="465">
        <v>1</v>
      </c>
      <c r="N7" s="465">
        <v>2</v>
      </c>
      <c r="O7" s="465"/>
      <c r="Q7" s="906">
        <f t="shared" si="0"/>
        <v>11</v>
      </c>
      <c r="R7" s="906">
        <v>5</v>
      </c>
      <c r="S7" s="906">
        <v>1</v>
      </c>
      <c r="T7" s="906">
        <v>5</v>
      </c>
      <c r="U7" s="906"/>
    </row>
    <row r="8" spans="2:21" ht="30.75" customHeight="1" x14ac:dyDescent="0.25">
      <c r="B8" s="992"/>
      <c r="C8" s="621" t="s">
        <v>70</v>
      </c>
      <c r="D8" s="623" t="s">
        <v>1935</v>
      </c>
      <c r="E8" s="616" t="s">
        <v>1101</v>
      </c>
      <c r="F8" s="914"/>
      <c r="G8" s="915"/>
      <c r="H8" s="915"/>
      <c r="I8" s="622"/>
      <c r="K8">
        <f>SUM(L8:N8)</f>
        <v>10</v>
      </c>
      <c r="L8" s="465">
        <v>4</v>
      </c>
      <c r="M8" s="465">
        <v>3</v>
      </c>
      <c r="N8" s="465">
        <v>3</v>
      </c>
      <c r="O8" s="465"/>
      <c r="Q8" s="906">
        <f t="shared" si="0"/>
        <v>11</v>
      </c>
      <c r="R8" s="906">
        <v>5</v>
      </c>
      <c r="S8" s="906">
        <v>3</v>
      </c>
      <c r="T8" s="906">
        <v>3</v>
      </c>
      <c r="U8" s="906"/>
    </row>
    <row r="9" spans="2:21" ht="21.75" customHeight="1" x14ac:dyDescent="0.25">
      <c r="B9" s="992"/>
      <c r="C9" s="621" t="s">
        <v>35</v>
      </c>
      <c r="D9" s="623" t="s">
        <v>1091</v>
      </c>
      <c r="E9" s="616" t="s">
        <v>1094</v>
      </c>
      <c r="F9" s="914"/>
      <c r="G9" s="916"/>
      <c r="H9" s="915"/>
      <c r="I9" s="622"/>
      <c r="K9">
        <f t="shared" si="1"/>
        <v>10</v>
      </c>
      <c r="L9" s="465">
        <v>8</v>
      </c>
      <c r="M9" s="465">
        <v>0</v>
      </c>
      <c r="N9" s="465">
        <v>2</v>
      </c>
      <c r="O9" s="465"/>
      <c r="Q9" s="906">
        <f t="shared" si="0"/>
        <v>11</v>
      </c>
      <c r="R9" s="906">
        <v>8</v>
      </c>
      <c r="S9" s="906">
        <v>0</v>
      </c>
      <c r="T9" s="906">
        <v>3</v>
      </c>
      <c r="U9" s="906"/>
    </row>
    <row r="10" spans="2:21" ht="21.75" customHeight="1" x14ac:dyDescent="0.25">
      <c r="B10" s="992"/>
      <c r="C10" s="621" t="s">
        <v>1133</v>
      </c>
      <c r="D10" s="623" t="s">
        <v>1092</v>
      </c>
      <c r="E10" s="616" t="s">
        <v>1093</v>
      </c>
      <c r="F10" s="914"/>
      <c r="G10" s="915"/>
      <c r="H10" s="917"/>
      <c r="I10" s="622"/>
      <c r="K10">
        <f t="shared" si="1"/>
        <v>2</v>
      </c>
      <c r="L10" s="465">
        <v>1</v>
      </c>
      <c r="M10" s="465">
        <v>1</v>
      </c>
      <c r="N10" s="465">
        <v>0</v>
      </c>
      <c r="O10" s="465"/>
      <c r="Q10" s="906">
        <f t="shared" si="0"/>
        <v>3</v>
      </c>
      <c r="R10" s="906">
        <v>1</v>
      </c>
      <c r="S10" s="906">
        <v>2</v>
      </c>
      <c r="T10" s="906">
        <v>0</v>
      </c>
      <c r="U10" s="906"/>
    </row>
    <row r="11" spans="2:21" ht="27.75" customHeight="1" x14ac:dyDescent="0.25">
      <c r="B11" s="992"/>
      <c r="C11" s="624" t="s">
        <v>71</v>
      </c>
      <c r="D11" s="623" t="s">
        <v>1216</v>
      </c>
      <c r="E11" s="616" t="s">
        <v>1936</v>
      </c>
      <c r="F11" s="918"/>
      <c r="G11" s="913"/>
      <c r="H11" s="913"/>
      <c r="I11" s="622"/>
      <c r="K11">
        <f t="shared" si="1"/>
        <v>9</v>
      </c>
      <c r="L11" s="465">
        <v>3</v>
      </c>
      <c r="M11" s="465">
        <v>3</v>
      </c>
      <c r="N11" s="465">
        <v>3</v>
      </c>
      <c r="O11" s="465"/>
      <c r="Q11" s="906">
        <f t="shared" si="0"/>
        <v>10</v>
      </c>
      <c r="R11" s="906">
        <v>4</v>
      </c>
      <c r="S11" s="906">
        <v>3</v>
      </c>
      <c r="T11" s="906">
        <v>3</v>
      </c>
      <c r="U11" s="906"/>
    </row>
    <row r="12" spans="2:21" ht="27.75" customHeight="1" x14ac:dyDescent="0.25">
      <c r="B12" s="993" t="s">
        <v>1086</v>
      </c>
      <c r="C12" s="621" t="s">
        <v>53</v>
      </c>
      <c r="D12" s="625" t="s">
        <v>1081</v>
      </c>
      <c r="E12" s="616" t="s">
        <v>1095</v>
      </c>
      <c r="F12" s="914"/>
      <c r="G12" s="618"/>
      <c r="H12" s="618"/>
      <c r="I12" s="622"/>
      <c r="K12">
        <f t="shared" si="1"/>
        <v>33</v>
      </c>
      <c r="L12" s="465">
        <v>26</v>
      </c>
      <c r="M12" s="465">
        <v>5</v>
      </c>
      <c r="N12" s="465">
        <v>2</v>
      </c>
      <c r="O12" s="465"/>
      <c r="Q12" s="906">
        <f t="shared" si="0"/>
        <v>47</v>
      </c>
      <c r="R12" s="906">
        <v>29</v>
      </c>
      <c r="S12" s="906">
        <v>12</v>
      </c>
      <c r="T12" s="906">
        <v>6</v>
      </c>
      <c r="U12" s="906"/>
    </row>
    <row r="13" spans="2:21" ht="30" customHeight="1" x14ac:dyDescent="0.25">
      <c r="B13" s="992"/>
      <c r="C13" s="621" t="s">
        <v>69</v>
      </c>
      <c r="D13" s="617" t="s">
        <v>1148</v>
      </c>
      <c r="E13" s="617" t="s">
        <v>1937</v>
      </c>
      <c r="F13" s="635"/>
      <c r="G13" s="618"/>
      <c r="H13" s="619"/>
      <c r="I13" s="622"/>
      <c r="K13">
        <f t="shared" si="1"/>
        <v>3</v>
      </c>
      <c r="L13" s="465">
        <v>2</v>
      </c>
      <c r="M13" s="465">
        <v>1</v>
      </c>
      <c r="N13" s="465">
        <v>0</v>
      </c>
      <c r="O13" s="465"/>
      <c r="Q13" s="906">
        <f t="shared" si="0"/>
        <v>3</v>
      </c>
      <c r="R13" s="906">
        <v>2</v>
      </c>
      <c r="S13" s="906">
        <v>1</v>
      </c>
      <c r="T13" s="906">
        <v>0</v>
      </c>
      <c r="U13" s="906"/>
    </row>
    <row r="14" spans="2:21" ht="21.75" customHeight="1" x14ac:dyDescent="0.25">
      <c r="B14" s="994"/>
      <c r="C14" s="621" t="s">
        <v>36</v>
      </c>
      <c r="D14" s="617" t="s">
        <v>1096</v>
      </c>
      <c r="E14" s="616" t="s">
        <v>1097</v>
      </c>
      <c r="F14" s="635"/>
      <c r="G14" s="618"/>
      <c r="H14" s="619"/>
      <c r="I14" s="622"/>
      <c r="K14">
        <f t="shared" si="1"/>
        <v>2</v>
      </c>
      <c r="L14" s="465">
        <v>1</v>
      </c>
      <c r="M14" s="465">
        <v>1</v>
      </c>
      <c r="N14" s="465">
        <v>0</v>
      </c>
      <c r="O14" s="465"/>
      <c r="Q14" s="906">
        <f t="shared" si="0"/>
        <v>4</v>
      </c>
      <c r="R14" s="906">
        <v>1</v>
      </c>
      <c r="S14" s="906">
        <v>3</v>
      </c>
      <c r="T14" s="906">
        <v>0</v>
      </c>
      <c r="U14" s="906"/>
    </row>
    <row r="15" spans="2:21" ht="30" customHeight="1" x14ac:dyDescent="0.25">
      <c r="B15" s="995" t="s">
        <v>1087</v>
      </c>
      <c r="C15" s="621" t="s">
        <v>1214</v>
      </c>
      <c r="D15" s="617" t="s">
        <v>1098</v>
      </c>
      <c r="E15" s="616" t="s">
        <v>1808</v>
      </c>
      <c r="F15" s="636"/>
      <c r="G15" s="619"/>
      <c r="H15" s="619"/>
      <c r="I15" s="626"/>
      <c r="K15">
        <f>SUM(L15:O15)</f>
        <v>3</v>
      </c>
      <c r="L15" s="465">
        <v>0</v>
      </c>
      <c r="M15" s="465">
        <v>0</v>
      </c>
      <c r="N15" s="465">
        <v>0</v>
      </c>
      <c r="O15" s="465">
        <v>3</v>
      </c>
      <c r="Q15" s="906">
        <f>SUM(R15:U15)</f>
        <v>3</v>
      </c>
      <c r="R15" s="906">
        <v>0</v>
      </c>
      <c r="S15" s="906">
        <v>0</v>
      </c>
      <c r="T15" s="906">
        <v>0</v>
      </c>
      <c r="U15" s="906">
        <v>3</v>
      </c>
    </row>
    <row r="16" spans="2:21" ht="41.25" customHeight="1" thickBot="1" x14ac:dyDescent="0.3">
      <c r="B16" s="996"/>
      <c r="C16" s="627" t="s">
        <v>1215</v>
      </c>
      <c r="D16" s="628" t="s">
        <v>1374</v>
      </c>
      <c r="E16" s="629" t="s">
        <v>1375</v>
      </c>
      <c r="F16" s="637"/>
      <c r="G16" s="630"/>
      <c r="H16" s="630"/>
      <c r="I16" s="631"/>
      <c r="K16">
        <f>SUM(L16:O16)</f>
        <v>3</v>
      </c>
      <c r="L16" s="465">
        <v>0</v>
      </c>
      <c r="M16" s="465">
        <v>0</v>
      </c>
      <c r="N16" s="465">
        <v>0</v>
      </c>
      <c r="O16" s="465">
        <v>3</v>
      </c>
      <c r="Q16" s="907">
        <f>SUM(R16:U16)</f>
        <v>3</v>
      </c>
      <c r="R16" s="906">
        <v>0</v>
      </c>
      <c r="S16" s="906">
        <v>0</v>
      </c>
      <c r="T16" s="906">
        <v>0</v>
      </c>
      <c r="U16" s="906">
        <v>3</v>
      </c>
    </row>
    <row r="17" spans="2:17" ht="41.4" customHeight="1" x14ac:dyDescent="0.25">
      <c r="D17" s="264"/>
      <c r="E17" s="264"/>
      <c r="F17" s="264"/>
      <c r="G17" s="310"/>
    </row>
    <row r="18" spans="2:17" x14ac:dyDescent="0.25">
      <c r="E18" s="406"/>
      <c r="K18">
        <f>SUM(K5:K17)</f>
        <v>133</v>
      </c>
      <c r="Q18" s="906">
        <f>SUM(Q5:Q17)</f>
        <v>183</v>
      </c>
    </row>
    <row r="20" spans="2:17" ht="16.95" customHeight="1" x14ac:dyDescent="0.25">
      <c r="B20" s="217"/>
      <c r="C20" s="217"/>
      <c r="D20" s="989"/>
      <c r="E20" s="989"/>
      <c r="F20" s="989"/>
      <c r="G20" s="989"/>
      <c r="H20" s="989"/>
      <c r="I20" s="989"/>
    </row>
    <row r="21" spans="2:17" ht="16.95" customHeight="1" x14ac:dyDescent="0.25">
      <c r="D21" s="989"/>
      <c r="E21" s="989"/>
      <c r="F21" s="989"/>
      <c r="G21" s="989"/>
      <c r="H21" s="989"/>
      <c r="I21" s="989"/>
    </row>
  </sheetData>
  <sheetProtection sheet="1" objects="1" scenarios="1"/>
  <mergeCells count="8">
    <mergeCell ref="Q3:T3"/>
    <mergeCell ref="K3:N3"/>
    <mergeCell ref="D20:I20"/>
    <mergeCell ref="D21:I21"/>
    <mergeCell ref="F3:I3"/>
    <mergeCell ref="B5:B11"/>
    <mergeCell ref="B12:B14"/>
    <mergeCell ref="B15:B16"/>
  </mergeCells>
  <phoneticPr fontId="5" type="noConversion"/>
  <dataValidations count="1">
    <dataValidation type="list" allowBlank="1" showInputMessage="1" showErrorMessage="1" sqref="F5:I16" xr:uid="{5E19D350-C377-4E2F-B3BC-75043E3BAB32}">
      <formula1>"1,2,3,4"</formula1>
    </dataValidation>
  </dataValidations>
  <pageMargins left="0.7" right="0.7" top="0.75" bottom="0.75" header="0.3" footer="0.3"/>
  <pageSetup paperSize="9" scale="86"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0">
    <tabColor rgb="FFFFFF00"/>
    <pageSetUpPr fitToPage="1"/>
  </sheetPr>
  <dimension ref="B2:N16"/>
  <sheetViews>
    <sheetView showGridLines="0" showRowColHeaders="0" zoomScaleNormal="100" workbookViewId="0">
      <pane ySplit="3" topLeftCell="A4" activePane="bottomLeft" state="frozen"/>
      <selection activeCell="J10" sqref="J10"/>
      <selection pane="bottomLeft" activeCell="F8" sqref="F8"/>
    </sheetView>
  </sheetViews>
  <sheetFormatPr baseColWidth="10" defaultRowHeight="13.2" x14ac:dyDescent="0.25"/>
  <cols>
    <col min="1" max="1" width="2.88671875" customWidth="1"/>
    <col min="2" max="2" width="35.44140625" customWidth="1"/>
    <col min="3" max="3" width="6.88671875" customWidth="1"/>
    <col min="4" max="4" width="53.109375" customWidth="1"/>
    <col min="5" max="5" width="12" customWidth="1"/>
    <col min="6" max="6" width="18.5546875" customWidth="1"/>
  </cols>
  <sheetData>
    <row r="2" spans="2:14" ht="96" customHeight="1" x14ac:dyDescent="0.4">
      <c r="B2" s="640" t="s">
        <v>1690</v>
      </c>
      <c r="C2" s="632"/>
      <c r="D2" s="633"/>
      <c r="E2" s="633"/>
    </row>
    <row r="3" spans="2:14" ht="24" customHeight="1" thickBot="1" x14ac:dyDescent="0.3">
      <c r="C3" s="743" t="s">
        <v>1795</v>
      </c>
      <c r="D3" s="743" t="s">
        <v>1397</v>
      </c>
      <c r="E3" s="744" t="s">
        <v>1816</v>
      </c>
      <c r="F3" s="313"/>
      <c r="G3" s="313"/>
    </row>
    <row r="4" spans="2:14" ht="33.75" customHeight="1" thickBot="1" x14ac:dyDescent="0.3">
      <c r="B4" s="999" t="s">
        <v>1099</v>
      </c>
      <c r="C4" s="394" t="s">
        <v>1784</v>
      </c>
      <c r="D4" s="475" t="s">
        <v>1794</v>
      </c>
      <c r="E4" s="664">
        <v>1</v>
      </c>
      <c r="F4" s="313"/>
      <c r="G4" s="313"/>
    </row>
    <row r="5" spans="2:14" ht="33.75" customHeight="1" thickBot="1" x14ac:dyDescent="0.3">
      <c r="B5" s="994"/>
      <c r="C5" s="693" t="s">
        <v>1938</v>
      </c>
      <c r="D5" s="694" t="s">
        <v>1939</v>
      </c>
      <c r="E5" s="664">
        <v>1</v>
      </c>
    </row>
    <row r="6" spans="2:14" ht="33.75" customHeight="1" thickBot="1" x14ac:dyDescent="0.3">
      <c r="B6" s="1000"/>
      <c r="C6" s="696" t="s">
        <v>1792</v>
      </c>
      <c r="D6" s="694" t="s">
        <v>1127</v>
      </c>
      <c r="E6" s="664">
        <v>1</v>
      </c>
    </row>
    <row r="7" spans="2:14" ht="40.5" customHeight="1" thickBot="1" x14ac:dyDescent="0.3">
      <c r="B7" s="998" t="s">
        <v>1400</v>
      </c>
      <c r="C7" s="697" t="s">
        <v>1785</v>
      </c>
      <c r="D7" s="698" t="s">
        <v>1103</v>
      </c>
      <c r="E7" s="664">
        <v>1</v>
      </c>
    </row>
    <row r="8" spans="2:14" ht="31.5" customHeight="1" thickBot="1" x14ac:dyDescent="0.3">
      <c r="B8" s="992"/>
      <c r="C8" s="697" t="s">
        <v>1786</v>
      </c>
      <c r="D8" s="698" t="s">
        <v>68</v>
      </c>
      <c r="E8" s="664">
        <v>1</v>
      </c>
    </row>
    <row r="9" spans="2:14" ht="31.5" customHeight="1" thickBot="1" x14ac:dyDescent="0.3">
      <c r="B9" s="992"/>
      <c r="C9" s="697" t="s">
        <v>1793</v>
      </c>
      <c r="D9" s="698" t="s">
        <v>1399</v>
      </c>
      <c r="E9" s="664">
        <v>1</v>
      </c>
    </row>
    <row r="10" spans="2:14" ht="31.5" customHeight="1" thickBot="1" x14ac:dyDescent="0.3">
      <c r="B10" s="994"/>
      <c r="C10" s="697" t="s">
        <v>2186</v>
      </c>
      <c r="D10" s="694" t="s">
        <v>2580</v>
      </c>
      <c r="E10" s="664">
        <v>1</v>
      </c>
    </row>
    <row r="11" spans="2:14" ht="36.75" customHeight="1" thickBot="1" x14ac:dyDescent="0.3">
      <c r="B11" s="699" t="s">
        <v>1100</v>
      </c>
      <c r="C11" s="697" t="s">
        <v>1787</v>
      </c>
      <c r="D11" s="694" t="s">
        <v>1141</v>
      </c>
      <c r="E11" s="664">
        <v>1</v>
      </c>
      <c r="F11" s="249"/>
      <c r="G11" s="249"/>
      <c r="H11" s="249"/>
      <c r="I11" s="249"/>
      <c r="J11" s="249"/>
      <c r="K11" s="249"/>
      <c r="L11" s="249"/>
      <c r="M11" s="249"/>
      <c r="N11" s="249"/>
    </row>
    <row r="12" spans="2:14" ht="31.5" customHeight="1" thickBot="1" x14ac:dyDescent="0.3">
      <c r="B12" s="998" t="s">
        <v>1809</v>
      </c>
      <c r="C12" s="696" t="s">
        <v>1789</v>
      </c>
      <c r="D12" s="694" t="s">
        <v>1142</v>
      </c>
      <c r="E12" s="664">
        <v>1</v>
      </c>
      <c r="F12" s="249"/>
      <c r="G12" s="249"/>
      <c r="H12" s="249"/>
      <c r="I12" s="249"/>
      <c r="J12" s="249"/>
      <c r="K12" s="249"/>
      <c r="L12" s="249"/>
      <c r="M12" s="249"/>
      <c r="N12" s="249"/>
    </row>
    <row r="13" spans="2:14" s="247" customFormat="1" ht="31.5" customHeight="1" thickBot="1" x14ac:dyDescent="0.3">
      <c r="B13" s="992"/>
      <c r="C13" s="696" t="s">
        <v>1790</v>
      </c>
      <c r="D13" s="694" t="s">
        <v>1402</v>
      </c>
      <c r="E13" s="664">
        <v>1</v>
      </c>
      <c r="F13" s="398"/>
      <c r="G13" s="398"/>
      <c r="H13" s="398"/>
      <c r="I13" s="398"/>
      <c r="J13" s="398"/>
      <c r="K13" s="398"/>
      <c r="L13" s="398"/>
      <c r="M13" s="398"/>
      <c r="N13" s="398"/>
    </row>
    <row r="14" spans="2:14" ht="31.5" customHeight="1" x14ac:dyDescent="0.25">
      <c r="B14" s="994"/>
      <c r="C14" s="696" t="s">
        <v>1788</v>
      </c>
      <c r="D14" s="698" t="s">
        <v>1102</v>
      </c>
      <c r="E14" s="664">
        <v>1</v>
      </c>
    </row>
    <row r="15" spans="2:14" ht="36" customHeight="1" x14ac:dyDescent="0.25">
      <c r="B15" s="699" t="s">
        <v>1940</v>
      </c>
      <c r="C15" s="696" t="s">
        <v>1941</v>
      </c>
      <c r="D15" s="698" t="s">
        <v>1942</v>
      </c>
      <c r="E15" s="695">
        <v>1</v>
      </c>
    </row>
    <row r="16" spans="2:14" ht="31.8" thickBot="1" x14ac:dyDescent="0.3">
      <c r="B16" s="700" t="s">
        <v>1481</v>
      </c>
      <c r="C16" s="701" t="s">
        <v>1791</v>
      </c>
      <c r="D16" s="702" t="s">
        <v>1817</v>
      </c>
      <c r="E16" s="703">
        <v>1</v>
      </c>
    </row>
  </sheetData>
  <sheetProtection sheet="1" objects="1" scenarios="1"/>
  <dataConsolidate link="1"/>
  <mergeCells count="3">
    <mergeCell ref="B12:B14"/>
    <mergeCell ref="B4:B6"/>
    <mergeCell ref="B7:B10"/>
  </mergeCells>
  <dataValidations count="1">
    <dataValidation type="list" allowBlank="1" showInputMessage="1" showErrorMessage="1" sqref="E4:E16" xr:uid="{872607E6-9815-4B4F-A745-1FAFBCACCDA2}">
      <formula1>"0,1"</formula1>
    </dataValidation>
  </dataValidations>
  <pageMargins left="0.7" right="0.7" top="0.75" bottom="0.75" header="0.3" footer="0.3"/>
  <pageSetup paperSize="9" scale="8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FD0BB-5D9D-428F-885B-BAD44289809E}">
  <sheetPr codeName="Feuil5">
    <tabColor rgb="FFFFFF00"/>
    <pageSetUpPr fitToPage="1"/>
  </sheetPr>
  <dimension ref="B2:K16"/>
  <sheetViews>
    <sheetView showGridLines="0" showRowColHeaders="0" zoomScaleNormal="100" workbookViewId="0">
      <pane ySplit="4" topLeftCell="A5" activePane="bottomLeft" state="frozen"/>
      <selection activeCell="J10" sqref="J10"/>
      <selection pane="bottomLeft" activeCell="G5" sqref="G5"/>
    </sheetView>
  </sheetViews>
  <sheetFormatPr baseColWidth="10" defaultColWidth="11.44140625" defaultRowHeight="13.2" x14ac:dyDescent="0.25"/>
  <cols>
    <col min="1" max="1" width="2" style="246" customWidth="1"/>
    <col min="2" max="2" width="20.33203125" style="246" customWidth="1"/>
    <col min="3" max="3" width="16.6640625" style="246" customWidth="1"/>
    <col min="4" max="4" width="8.33203125" style="246" customWidth="1"/>
    <col min="5" max="5" width="36.6640625" style="246" customWidth="1"/>
    <col min="6" max="6" width="81.109375" style="246" customWidth="1"/>
    <col min="7" max="7" width="10.6640625" style="246" customWidth="1"/>
    <col min="8" max="16384" width="11.44140625" style="246"/>
  </cols>
  <sheetData>
    <row r="2" spans="2:11" ht="80.25" customHeight="1" x14ac:dyDescent="0.4">
      <c r="B2" s="639" t="s">
        <v>1715</v>
      </c>
      <c r="C2" s="638"/>
      <c r="D2" s="638"/>
      <c r="E2" s="638"/>
      <c r="F2" s="638"/>
      <c r="G2" s="638"/>
      <c r="H2" s="1001"/>
      <c r="I2" s="1001"/>
      <c r="J2" s="1001"/>
      <c r="K2" s="1001"/>
    </row>
    <row r="3" spans="2:11" ht="72.75" customHeight="1" x14ac:dyDescent="0.25">
      <c r="B3" s="1002" t="s">
        <v>2498</v>
      </c>
      <c r="C3" s="1003"/>
      <c r="D3" s="1003"/>
      <c r="E3" s="1003"/>
      <c r="F3" s="1003"/>
      <c r="G3" s="399"/>
    </row>
    <row r="4" spans="2:11" ht="30" customHeight="1" thickBot="1" x14ac:dyDescent="0.3">
      <c r="B4" s="745" t="s">
        <v>1378</v>
      </c>
      <c r="C4" s="745" t="s">
        <v>1379</v>
      </c>
      <c r="D4" s="746" t="s">
        <v>1795</v>
      </c>
      <c r="E4" s="746" t="s">
        <v>1073</v>
      </c>
      <c r="F4" s="746" t="s">
        <v>1377</v>
      </c>
      <c r="G4" s="742" t="s">
        <v>1816</v>
      </c>
      <c r="H4" s="313"/>
      <c r="I4" s="313"/>
      <c r="J4" s="313"/>
    </row>
    <row r="5" spans="2:11" ht="29.25" customHeight="1" x14ac:dyDescent="0.25">
      <c r="B5" s="1004" t="s">
        <v>1380</v>
      </c>
      <c r="C5" s="1006" t="s">
        <v>1381</v>
      </c>
      <c r="D5" s="723" t="s">
        <v>1796</v>
      </c>
      <c r="E5" s="724" t="s">
        <v>304</v>
      </c>
      <c r="F5" s="725" t="s">
        <v>1382</v>
      </c>
      <c r="G5" s="722">
        <v>1</v>
      </c>
      <c r="H5" s="313"/>
      <c r="I5" s="313"/>
      <c r="J5" s="313"/>
    </row>
    <row r="6" spans="2:11" ht="16.5" customHeight="1" x14ac:dyDescent="0.25">
      <c r="B6" s="1005"/>
      <c r="C6" s="1007"/>
      <c r="D6" s="704" t="s">
        <v>1797</v>
      </c>
      <c r="E6" s="479" t="s">
        <v>15</v>
      </c>
      <c r="F6" s="705" t="s">
        <v>1383</v>
      </c>
      <c r="G6" s="695">
        <v>1</v>
      </c>
      <c r="H6" s="445"/>
      <c r="I6" s="445"/>
      <c r="J6" s="445"/>
    </row>
    <row r="7" spans="2:11" ht="16.5" customHeight="1" x14ac:dyDescent="0.25">
      <c r="B7" s="1005"/>
      <c r="C7" s="1007"/>
      <c r="D7" s="704" t="s">
        <v>1798</v>
      </c>
      <c r="E7" s="706" t="s">
        <v>1076</v>
      </c>
      <c r="F7" s="705" t="s">
        <v>1384</v>
      </c>
      <c r="G7" s="722">
        <v>1</v>
      </c>
    </row>
    <row r="8" spans="2:11" ht="27" customHeight="1" x14ac:dyDescent="0.25">
      <c r="B8" s="1005"/>
      <c r="C8" s="1007"/>
      <c r="D8" s="704" t="s">
        <v>1799</v>
      </c>
      <c r="E8" s="479" t="s">
        <v>2494</v>
      </c>
      <c r="F8" s="705" t="s">
        <v>1385</v>
      </c>
      <c r="G8" s="722">
        <v>1</v>
      </c>
    </row>
    <row r="9" spans="2:11" ht="28.5" customHeight="1" x14ac:dyDescent="0.25">
      <c r="B9" s="1005"/>
      <c r="C9" s="1007"/>
      <c r="D9" s="704" t="s">
        <v>1800</v>
      </c>
      <c r="E9" s="479" t="s">
        <v>1074</v>
      </c>
      <c r="F9" s="705" t="s">
        <v>1386</v>
      </c>
      <c r="G9" s="722">
        <v>1</v>
      </c>
    </row>
    <row r="10" spans="2:11" ht="59.4" customHeight="1" x14ac:dyDescent="0.25">
      <c r="B10" s="1005"/>
      <c r="C10" s="1008"/>
      <c r="D10" s="704" t="s">
        <v>1801</v>
      </c>
      <c r="E10" s="480" t="s">
        <v>77</v>
      </c>
      <c r="F10" s="705" t="s">
        <v>2495</v>
      </c>
      <c r="G10" s="695">
        <v>1</v>
      </c>
    </row>
    <row r="11" spans="2:11" ht="28.2" customHeight="1" x14ac:dyDescent="0.25">
      <c r="B11" s="1009" t="s">
        <v>1387</v>
      </c>
      <c r="C11" s="1012" t="s">
        <v>1388</v>
      </c>
      <c r="D11" s="707" t="s">
        <v>1802</v>
      </c>
      <c r="E11" s="708" t="s">
        <v>1389</v>
      </c>
      <c r="F11" s="709" t="s">
        <v>2496</v>
      </c>
      <c r="G11" s="695">
        <v>1</v>
      </c>
    </row>
    <row r="12" spans="2:11" ht="27" customHeight="1" x14ac:dyDescent="0.25">
      <c r="B12" s="1010"/>
      <c r="C12" s="1013"/>
      <c r="D12" s="707" t="s">
        <v>1803</v>
      </c>
      <c r="E12" s="708" t="s">
        <v>1395</v>
      </c>
      <c r="F12" s="709" t="s">
        <v>1390</v>
      </c>
      <c r="G12" s="695">
        <v>1</v>
      </c>
    </row>
    <row r="13" spans="2:11" ht="16.5" customHeight="1" x14ac:dyDescent="0.25">
      <c r="B13" s="1010"/>
      <c r="C13" s="1013"/>
      <c r="D13" s="707" t="s">
        <v>1804</v>
      </c>
      <c r="E13" s="707" t="s">
        <v>1391</v>
      </c>
      <c r="F13" s="705" t="s">
        <v>1392</v>
      </c>
      <c r="G13" s="695">
        <v>1</v>
      </c>
    </row>
    <row r="14" spans="2:11" ht="16.5" customHeight="1" x14ac:dyDescent="0.25">
      <c r="B14" s="1011"/>
      <c r="C14" s="1014"/>
      <c r="D14" s="707" t="s">
        <v>2179</v>
      </c>
      <c r="E14" s="707" t="s">
        <v>1078</v>
      </c>
      <c r="F14" s="705" t="s">
        <v>1393</v>
      </c>
      <c r="G14" s="695">
        <v>1</v>
      </c>
    </row>
    <row r="15" spans="2:11" ht="21.75" customHeight="1" x14ac:dyDescent="0.25">
      <c r="B15" s="749" t="s">
        <v>1394</v>
      </c>
      <c r="C15" s="750" t="s">
        <v>54</v>
      </c>
      <c r="D15" s="707" t="s">
        <v>1805</v>
      </c>
      <c r="E15" s="710" t="s">
        <v>2023</v>
      </c>
      <c r="F15" s="711" t="s">
        <v>2579</v>
      </c>
      <c r="G15" s="695">
        <v>1</v>
      </c>
    </row>
    <row r="16" spans="2:11" ht="40.5" customHeight="1" thickBot="1" x14ac:dyDescent="0.3">
      <c r="B16" s="760" t="s">
        <v>1482</v>
      </c>
      <c r="C16" s="761" t="s">
        <v>2497</v>
      </c>
      <c r="D16" s="762" t="s">
        <v>1806</v>
      </c>
      <c r="E16" s="763" t="s">
        <v>1807</v>
      </c>
      <c r="F16" s="764" t="s">
        <v>1483</v>
      </c>
      <c r="G16" s="703">
        <v>1</v>
      </c>
    </row>
  </sheetData>
  <sheetProtection sheet="1" objects="1" scenarios="1"/>
  <mergeCells count="6">
    <mergeCell ref="H2:K2"/>
    <mergeCell ref="B3:F3"/>
    <mergeCell ref="B5:B10"/>
    <mergeCell ref="C5:C10"/>
    <mergeCell ref="B11:B14"/>
    <mergeCell ref="C11:C14"/>
  </mergeCells>
  <dataValidations count="1">
    <dataValidation type="list" showInputMessage="1" showErrorMessage="1" sqref="G5:G16" xr:uid="{803E7E13-83F8-4AA2-B05A-3191330AED01}">
      <formula1>"0,1"</formula1>
    </dataValidation>
  </dataValidations>
  <pageMargins left="0.19685039370078741" right="0.23622047244094491" top="0.39370078740157483" bottom="0.23622047244094491" header="0" footer="0"/>
  <pageSetup paperSize="9" scale="84"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B6E6D-5E23-4886-A4C0-0D625ECC953B}">
  <sheetPr codeName="Feuil3">
    <tabColor rgb="FFFFFF00"/>
  </sheetPr>
  <dimension ref="B1:L37"/>
  <sheetViews>
    <sheetView showGridLines="0" showRowColHeaders="0" zoomScaleNormal="100" workbookViewId="0">
      <pane ySplit="3" topLeftCell="A4" activePane="bottomLeft" state="frozen"/>
      <selection activeCell="J10" sqref="J10"/>
      <selection pane="bottomLeft" activeCell="C39" sqref="C39"/>
    </sheetView>
  </sheetViews>
  <sheetFormatPr baseColWidth="10" defaultRowHeight="13.2" outlineLevelCol="1" x14ac:dyDescent="0.25"/>
  <cols>
    <col min="1" max="1" width="1.44140625" customWidth="1"/>
    <col min="2" max="2" width="29.109375" customWidth="1"/>
    <col min="3" max="3" width="11.44140625" customWidth="1" outlineLevel="1"/>
    <col min="5" max="5" width="40.33203125" customWidth="1"/>
    <col min="6" max="6" width="14.6640625" customWidth="1"/>
    <col min="7" max="7" width="13.88671875" style="599" customWidth="1"/>
    <col min="8" max="8" width="13.44140625" customWidth="1"/>
    <col min="9" max="9" width="8" hidden="1" customWidth="1"/>
    <col min="10" max="10" width="33.33203125" customWidth="1"/>
  </cols>
  <sheetData>
    <row r="1" spans="2:12" ht="7.5" customHeight="1" x14ac:dyDescent="0.25">
      <c r="G1" s="666"/>
    </row>
    <row r="2" spans="2:12" ht="90" customHeight="1" x14ac:dyDescent="0.3">
      <c r="B2" s="1015" t="s">
        <v>2242</v>
      </c>
      <c r="C2" s="1015"/>
      <c r="D2" s="1015"/>
      <c r="E2" s="1015"/>
      <c r="F2" s="712"/>
      <c r="G2" s="712"/>
      <c r="H2" s="644"/>
      <c r="I2" s="633"/>
      <c r="J2" s="633"/>
      <c r="K2" s="633"/>
    </row>
    <row r="3" spans="2:12" ht="63" thickBot="1" x14ac:dyDescent="0.3">
      <c r="B3" s="747" t="s">
        <v>72</v>
      </c>
      <c r="C3" s="747" t="s">
        <v>1151</v>
      </c>
      <c r="D3" s="747" t="s">
        <v>74</v>
      </c>
      <c r="E3" s="747" t="s">
        <v>1152</v>
      </c>
      <c r="F3" s="747" t="s">
        <v>1189</v>
      </c>
      <c r="G3" s="748" t="s">
        <v>1153</v>
      </c>
      <c r="H3" s="747" t="s">
        <v>1154</v>
      </c>
      <c r="I3" s="747" t="s">
        <v>1405</v>
      </c>
      <c r="J3" s="747" t="s">
        <v>1398</v>
      </c>
      <c r="K3" s="748" t="s">
        <v>1816</v>
      </c>
    </row>
    <row r="4" spans="2:12" ht="26.4" customHeight="1" x14ac:dyDescent="0.25">
      <c r="B4" s="718" t="s">
        <v>1155</v>
      </c>
      <c r="C4" s="719" t="s">
        <v>1156</v>
      </c>
      <c r="D4" s="719" t="s">
        <v>1158</v>
      </c>
      <c r="E4" s="720" t="s">
        <v>1157</v>
      </c>
      <c r="F4" s="726">
        <v>3</v>
      </c>
      <c r="G4" s="721"/>
      <c r="H4" s="738">
        <f>IF(NOT(G4=""),G4,F4)</f>
        <v>3</v>
      </c>
      <c r="I4" s="730" t="s">
        <v>1231</v>
      </c>
      <c r="J4" s="731"/>
      <c r="K4" s="734">
        <v>1</v>
      </c>
      <c r="L4" s="934"/>
    </row>
    <row r="5" spans="2:12" ht="42" customHeight="1" x14ac:dyDescent="0.25">
      <c r="B5" s="1016" t="s">
        <v>1159</v>
      </c>
      <c r="C5" s="1019" t="s">
        <v>1160</v>
      </c>
      <c r="D5" s="481" t="s">
        <v>1218</v>
      </c>
      <c r="E5" s="481" t="s">
        <v>2279</v>
      </c>
      <c r="F5" s="727">
        <v>2</v>
      </c>
      <c r="G5" s="715"/>
      <c r="H5" s="739">
        <f t="shared" ref="H5:H34" si="0">IF(NOT(G5=""),G5,F5)</f>
        <v>2</v>
      </c>
      <c r="I5" s="732" t="s">
        <v>1231</v>
      </c>
      <c r="J5" s="733"/>
      <c r="K5" s="734">
        <v>1</v>
      </c>
      <c r="L5" s="934"/>
    </row>
    <row r="6" spans="2:12" ht="30" customHeight="1" x14ac:dyDescent="0.25">
      <c r="B6" s="1017"/>
      <c r="C6" s="1020"/>
      <c r="D6" s="481" t="s">
        <v>1161</v>
      </c>
      <c r="E6" s="481" t="s">
        <v>8</v>
      </c>
      <c r="F6" s="727">
        <v>2</v>
      </c>
      <c r="G6" s="715"/>
      <c r="H6" s="739">
        <f t="shared" si="0"/>
        <v>2</v>
      </c>
      <c r="I6" s="732" t="s">
        <v>1231</v>
      </c>
      <c r="J6" s="733"/>
      <c r="K6" s="734">
        <v>1</v>
      </c>
      <c r="L6" s="934"/>
    </row>
    <row r="7" spans="2:12" ht="30" customHeight="1" x14ac:dyDescent="0.25">
      <c r="B7" s="1017"/>
      <c r="C7" s="1020"/>
      <c r="D7" s="714" t="s">
        <v>1207</v>
      </c>
      <c r="E7" s="481" t="s">
        <v>1908</v>
      </c>
      <c r="F7" s="727">
        <v>2</v>
      </c>
      <c r="G7" s="715"/>
      <c r="H7" s="739">
        <f t="shared" si="0"/>
        <v>2</v>
      </c>
      <c r="I7" s="732" t="s">
        <v>1231</v>
      </c>
      <c r="J7" s="733"/>
      <c r="K7" s="734">
        <v>1</v>
      </c>
      <c r="L7" s="934"/>
    </row>
    <row r="8" spans="2:12" ht="27.75" customHeight="1" x14ac:dyDescent="0.25">
      <c r="B8" s="1023"/>
      <c r="C8" s="1022"/>
      <c r="D8" s="481" t="s">
        <v>1943</v>
      </c>
      <c r="E8" s="481" t="s">
        <v>1945</v>
      </c>
      <c r="F8" s="727">
        <v>3</v>
      </c>
      <c r="G8" s="715"/>
      <c r="H8" s="739">
        <f t="shared" si="0"/>
        <v>3</v>
      </c>
      <c r="I8" s="732" t="s">
        <v>1231</v>
      </c>
      <c r="J8" s="733"/>
      <c r="K8" s="734">
        <v>1</v>
      </c>
      <c r="L8" s="934"/>
    </row>
    <row r="9" spans="2:12" ht="36" customHeight="1" x14ac:dyDescent="0.25">
      <c r="B9" s="713" t="s">
        <v>1162</v>
      </c>
      <c r="C9" s="714" t="s">
        <v>1163</v>
      </c>
      <c r="D9" s="714" t="s">
        <v>1813</v>
      </c>
      <c r="E9" s="481" t="s">
        <v>1812</v>
      </c>
      <c r="F9" s="727">
        <v>2</v>
      </c>
      <c r="G9" s="715"/>
      <c r="H9" s="740">
        <f t="shared" si="0"/>
        <v>2</v>
      </c>
      <c r="I9" s="732" t="s">
        <v>1231</v>
      </c>
      <c r="J9" s="733"/>
      <c r="K9" s="734">
        <v>1</v>
      </c>
      <c r="L9" s="934"/>
    </row>
    <row r="10" spans="2:12" ht="21" customHeight="1" x14ac:dyDescent="0.25">
      <c r="B10" s="713" t="s">
        <v>1164</v>
      </c>
      <c r="C10" s="714" t="s">
        <v>1165</v>
      </c>
      <c r="D10" s="481" t="s">
        <v>1166</v>
      </c>
      <c r="E10" s="481" t="s">
        <v>2266</v>
      </c>
      <c r="F10" s="727">
        <v>3</v>
      </c>
      <c r="G10" s="715"/>
      <c r="H10" s="739">
        <f t="shared" si="0"/>
        <v>3</v>
      </c>
      <c r="I10" s="732" t="s">
        <v>1231</v>
      </c>
      <c r="J10" s="733"/>
      <c r="K10" s="734">
        <v>1</v>
      </c>
      <c r="L10" s="934"/>
    </row>
    <row r="11" spans="2:12" ht="21.75" customHeight="1" x14ac:dyDescent="0.25">
      <c r="B11" s="1016" t="s">
        <v>1191</v>
      </c>
      <c r="C11" s="935" t="s">
        <v>1193</v>
      </c>
      <c r="D11" s="481" t="s">
        <v>1195</v>
      </c>
      <c r="E11" s="481" t="s">
        <v>61</v>
      </c>
      <c r="F11" s="727">
        <v>2</v>
      </c>
      <c r="G11" s="715"/>
      <c r="H11" s="739">
        <f t="shared" si="0"/>
        <v>2</v>
      </c>
      <c r="I11" s="732" t="s">
        <v>1244</v>
      </c>
      <c r="J11" s="733"/>
      <c r="K11" s="734">
        <v>1</v>
      </c>
      <c r="L11" s="934"/>
    </row>
    <row r="12" spans="2:12" ht="21.75" customHeight="1" x14ac:dyDescent="0.25">
      <c r="B12" s="1017"/>
      <c r="C12" s="936"/>
      <c r="D12" s="481" t="s">
        <v>1211</v>
      </c>
      <c r="E12" s="481" t="s">
        <v>1210</v>
      </c>
      <c r="F12" s="727">
        <v>2</v>
      </c>
      <c r="G12" s="715"/>
      <c r="H12" s="739">
        <f t="shared" si="0"/>
        <v>2</v>
      </c>
      <c r="I12" s="732" t="s">
        <v>1244</v>
      </c>
      <c r="J12" s="733"/>
      <c r="K12" s="734">
        <v>1</v>
      </c>
      <c r="L12" s="934"/>
    </row>
    <row r="13" spans="2:12" ht="30" customHeight="1" x14ac:dyDescent="0.25">
      <c r="B13" s="1017"/>
      <c r="C13" s="936"/>
      <c r="D13" s="481" t="s">
        <v>1944</v>
      </c>
      <c r="E13" s="481" t="s">
        <v>1946</v>
      </c>
      <c r="F13" s="727">
        <v>3</v>
      </c>
      <c r="G13" s="715"/>
      <c r="H13" s="739">
        <f>IF(NOT(G13=""),G13,F13)</f>
        <v>3</v>
      </c>
      <c r="I13" s="732" t="s">
        <v>1244</v>
      </c>
      <c r="J13" s="733"/>
      <c r="K13" s="734">
        <v>1</v>
      </c>
      <c r="L13" s="934"/>
    </row>
    <row r="14" spans="2:12" ht="30" customHeight="1" x14ac:dyDescent="0.25">
      <c r="B14" s="1017"/>
      <c r="C14" s="936"/>
      <c r="D14" s="481" t="s">
        <v>1196</v>
      </c>
      <c r="E14" s="481" t="s">
        <v>1181</v>
      </c>
      <c r="F14" s="727">
        <v>2</v>
      </c>
      <c r="G14" s="715"/>
      <c r="H14" s="739">
        <f t="shared" si="0"/>
        <v>2</v>
      </c>
      <c r="I14" s="732" t="s">
        <v>1244</v>
      </c>
      <c r="J14" s="733"/>
      <c r="K14" s="734">
        <v>1</v>
      </c>
      <c r="L14" s="934"/>
    </row>
    <row r="15" spans="2:12" ht="23.25" customHeight="1" x14ac:dyDescent="0.25">
      <c r="B15" s="1017"/>
      <c r="C15" s="936"/>
      <c r="D15" s="481" t="s">
        <v>1197</v>
      </c>
      <c r="E15" s="481" t="s">
        <v>1462</v>
      </c>
      <c r="F15" s="727">
        <v>3</v>
      </c>
      <c r="G15" s="715"/>
      <c r="H15" s="739">
        <f t="shared" si="0"/>
        <v>3</v>
      </c>
      <c r="I15" s="732" t="s">
        <v>1244</v>
      </c>
      <c r="J15" s="733"/>
      <c r="K15" s="734">
        <v>1</v>
      </c>
      <c r="L15" s="934"/>
    </row>
    <row r="16" spans="2:12" ht="18.75" customHeight="1" x14ac:dyDescent="0.25">
      <c r="B16" s="1017"/>
      <c r="C16" s="936"/>
      <c r="D16" s="481" t="s">
        <v>1198</v>
      </c>
      <c r="E16" s="481" t="s">
        <v>1182</v>
      </c>
      <c r="F16" s="727">
        <v>3</v>
      </c>
      <c r="G16" s="715"/>
      <c r="H16" s="739">
        <f t="shared" si="0"/>
        <v>3</v>
      </c>
      <c r="I16" s="732" t="s">
        <v>1244</v>
      </c>
      <c r="J16" s="733"/>
      <c r="K16" s="734">
        <v>1</v>
      </c>
      <c r="L16" s="934"/>
    </row>
    <row r="17" spans="2:12" ht="18.75" customHeight="1" x14ac:dyDescent="0.25">
      <c r="B17" s="1017"/>
      <c r="C17" s="936"/>
      <c r="D17" s="481" t="s">
        <v>1199</v>
      </c>
      <c r="E17" s="481" t="s">
        <v>1183</v>
      </c>
      <c r="F17" s="727">
        <v>3</v>
      </c>
      <c r="G17" s="715"/>
      <c r="H17" s="739">
        <f t="shared" si="0"/>
        <v>3</v>
      </c>
      <c r="I17" s="732" t="s">
        <v>1244</v>
      </c>
      <c r="J17" s="733"/>
      <c r="K17" s="734">
        <v>1</v>
      </c>
      <c r="L17" s="934"/>
    </row>
    <row r="18" spans="2:12" ht="18.75" customHeight="1" x14ac:dyDescent="0.25">
      <c r="B18" s="1017"/>
      <c r="C18" s="936"/>
      <c r="D18" s="481" t="s">
        <v>1770</v>
      </c>
      <c r="E18" s="481" t="s">
        <v>1771</v>
      </c>
      <c r="F18" s="727">
        <v>3</v>
      </c>
      <c r="G18" s="715"/>
      <c r="H18" s="739">
        <f t="shared" si="0"/>
        <v>3</v>
      </c>
      <c r="I18" s="732" t="s">
        <v>1244</v>
      </c>
      <c r="J18" s="733"/>
      <c r="K18" s="734">
        <v>1</v>
      </c>
      <c r="L18" s="934"/>
    </row>
    <row r="19" spans="2:12" ht="30" customHeight="1" x14ac:dyDescent="0.25">
      <c r="B19" s="1017"/>
      <c r="C19" s="936"/>
      <c r="D19" s="481" t="s">
        <v>1746</v>
      </c>
      <c r="E19" s="481" t="s">
        <v>1748</v>
      </c>
      <c r="F19" s="727">
        <v>3</v>
      </c>
      <c r="G19" s="715"/>
      <c r="H19" s="739">
        <f t="shared" si="0"/>
        <v>3</v>
      </c>
      <c r="I19" s="732" t="s">
        <v>1244</v>
      </c>
      <c r="J19" s="733"/>
      <c r="K19" s="734">
        <v>1</v>
      </c>
      <c r="L19" s="934"/>
    </row>
    <row r="20" spans="2:12" ht="30" customHeight="1" x14ac:dyDescent="0.25">
      <c r="B20" s="1017"/>
      <c r="C20" s="936"/>
      <c r="D20" s="481" t="s">
        <v>1200</v>
      </c>
      <c r="E20" s="481" t="s">
        <v>20</v>
      </c>
      <c r="F20" s="727">
        <v>3</v>
      </c>
      <c r="G20" s="715"/>
      <c r="H20" s="739">
        <f t="shared" si="0"/>
        <v>3</v>
      </c>
      <c r="I20" s="732" t="s">
        <v>1244</v>
      </c>
      <c r="J20" s="733"/>
      <c r="K20" s="734">
        <v>1</v>
      </c>
      <c r="L20" s="934"/>
    </row>
    <row r="21" spans="2:12" ht="30" customHeight="1" x14ac:dyDescent="0.25">
      <c r="B21" s="1017"/>
      <c r="C21" s="936"/>
      <c r="D21" s="481" t="s">
        <v>1201</v>
      </c>
      <c r="E21" s="481" t="s">
        <v>1184</v>
      </c>
      <c r="F21" s="727">
        <v>2</v>
      </c>
      <c r="G21" s="715"/>
      <c r="H21" s="739">
        <f t="shared" si="0"/>
        <v>2</v>
      </c>
      <c r="I21" s="732" t="s">
        <v>1244</v>
      </c>
      <c r="J21" s="733"/>
      <c r="K21" s="734">
        <v>1</v>
      </c>
      <c r="L21" s="934"/>
    </row>
    <row r="22" spans="2:12" ht="31.2" customHeight="1" x14ac:dyDescent="0.25">
      <c r="B22" s="1023"/>
      <c r="C22" s="937"/>
      <c r="D22" s="481" t="s">
        <v>1202</v>
      </c>
      <c r="E22" s="481" t="s">
        <v>1185</v>
      </c>
      <c r="F22" s="727">
        <v>3</v>
      </c>
      <c r="G22" s="715"/>
      <c r="H22" s="739">
        <f t="shared" si="0"/>
        <v>3</v>
      </c>
      <c r="I22" s="732" t="s">
        <v>1244</v>
      </c>
      <c r="J22" s="733"/>
      <c r="K22" s="734">
        <v>1</v>
      </c>
      <c r="L22" s="934"/>
    </row>
    <row r="23" spans="2:12" ht="24.75" customHeight="1" x14ac:dyDescent="0.25">
      <c r="B23" s="1016" t="s">
        <v>1192</v>
      </c>
      <c r="C23" s="1019" t="s">
        <v>1194</v>
      </c>
      <c r="D23" s="481" t="s">
        <v>1203</v>
      </c>
      <c r="E23" s="481" t="s">
        <v>1478</v>
      </c>
      <c r="F23" s="727">
        <v>2</v>
      </c>
      <c r="G23" s="715"/>
      <c r="H23" s="739">
        <f t="shared" si="0"/>
        <v>2</v>
      </c>
      <c r="I23" s="732" t="s">
        <v>1244</v>
      </c>
      <c r="J23" s="733"/>
      <c r="K23" s="734">
        <v>1</v>
      </c>
      <c r="L23" s="934"/>
    </row>
    <row r="24" spans="2:12" ht="29.25" customHeight="1" x14ac:dyDescent="0.25">
      <c r="B24" s="1017"/>
      <c r="C24" s="1020"/>
      <c r="D24" s="481" t="s">
        <v>1810</v>
      </c>
      <c r="E24" s="481" t="s">
        <v>1772</v>
      </c>
      <c r="F24" s="727">
        <v>3</v>
      </c>
      <c r="G24" s="715"/>
      <c r="H24" s="739">
        <f t="shared" si="0"/>
        <v>3</v>
      </c>
      <c r="I24" s="732" t="s">
        <v>1244</v>
      </c>
      <c r="J24" s="733"/>
      <c r="K24" s="734">
        <v>1</v>
      </c>
      <c r="L24" s="934"/>
    </row>
    <row r="25" spans="2:12" ht="24" customHeight="1" x14ac:dyDescent="0.25">
      <c r="B25" s="1017"/>
      <c r="C25" s="1020"/>
      <c r="D25" s="481" t="s">
        <v>1479</v>
      </c>
      <c r="E25" s="481" t="s">
        <v>1480</v>
      </c>
      <c r="F25" s="727">
        <v>3</v>
      </c>
      <c r="G25" s="715"/>
      <c r="H25" s="739">
        <f t="shared" si="0"/>
        <v>3</v>
      </c>
      <c r="I25" s="732" t="s">
        <v>1244</v>
      </c>
      <c r="J25" s="733"/>
      <c r="K25" s="734">
        <v>1</v>
      </c>
      <c r="L25" s="934"/>
    </row>
    <row r="26" spans="2:12" ht="20.399999999999999" customHeight="1" x14ac:dyDescent="0.25">
      <c r="B26" s="1023"/>
      <c r="C26" s="1022"/>
      <c r="D26" s="481" t="s">
        <v>1204</v>
      </c>
      <c r="E26" s="481" t="s">
        <v>1209</v>
      </c>
      <c r="F26" s="727">
        <v>3</v>
      </c>
      <c r="G26" s="715"/>
      <c r="H26" s="739">
        <f t="shared" si="0"/>
        <v>3</v>
      </c>
      <c r="I26" s="732" t="s">
        <v>1244</v>
      </c>
      <c r="J26" s="733"/>
      <c r="K26" s="734">
        <v>1</v>
      </c>
      <c r="L26" s="934"/>
    </row>
    <row r="27" spans="2:12" ht="27" customHeight="1" x14ac:dyDescent="0.25">
      <c r="B27" s="1016" t="s">
        <v>1167</v>
      </c>
      <c r="C27" s="1019" t="s">
        <v>1168</v>
      </c>
      <c r="D27" s="481" t="s">
        <v>1169</v>
      </c>
      <c r="E27" s="481" t="s">
        <v>57</v>
      </c>
      <c r="F27" s="727">
        <v>3</v>
      </c>
      <c r="G27" s="715"/>
      <c r="H27" s="739">
        <f t="shared" si="0"/>
        <v>3</v>
      </c>
      <c r="I27" s="732" t="s">
        <v>41</v>
      </c>
      <c r="J27" s="733"/>
      <c r="K27" s="734">
        <v>1</v>
      </c>
      <c r="L27" s="934"/>
    </row>
    <row r="28" spans="2:12" ht="26.25" customHeight="1" x14ac:dyDescent="0.25">
      <c r="B28" s="1017"/>
      <c r="C28" s="1020"/>
      <c r="D28" s="481" t="s">
        <v>1171</v>
      </c>
      <c r="E28" s="481" t="s">
        <v>1170</v>
      </c>
      <c r="F28" s="727">
        <v>3</v>
      </c>
      <c r="G28" s="715"/>
      <c r="H28" s="739">
        <f t="shared" si="0"/>
        <v>3</v>
      </c>
      <c r="I28" s="732" t="s">
        <v>41</v>
      </c>
      <c r="J28" s="733"/>
      <c r="K28" s="734">
        <v>1</v>
      </c>
      <c r="L28" s="934"/>
    </row>
    <row r="29" spans="2:12" ht="27" customHeight="1" x14ac:dyDescent="0.25">
      <c r="B29" s="1023"/>
      <c r="C29" s="1022"/>
      <c r="D29" s="481" t="s">
        <v>1173</v>
      </c>
      <c r="E29" s="481" t="s">
        <v>1172</v>
      </c>
      <c r="F29" s="727">
        <v>3</v>
      </c>
      <c r="G29" s="715"/>
      <c r="H29" s="739">
        <f t="shared" si="0"/>
        <v>3</v>
      </c>
      <c r="I29" s="732" t="s">
        <v>41</v>
      </c>
      <c r="J29" s="733"/>
      <c r="K29" s="734">
        <v>1</v>
      </c>
      <c r="L29" s="934"/>
    </row>
    <row r="30" spans="2:12" ht="37.5" customHeight="1" x14ac:dyDescent="0.25">
      <c r="B30" s="713" t="s">
        <v>1174</v>
      </c>
      <c r="C30" s="714" t="s">
        <v>1175</v>
      </c>
      <c r="D30" s="714" t="s">
        <v>1206</v>
      </c>
      <c r="E30" s="481" t="s">
        <v>2281</v>
      </c>
      <c r="F30" s="727">
        <v>2</v>
      </c>
      <c r="G30" s="715"/>
      <c r="H30" s="739">
        <f t="shared" si="0"/>
        <v>2</v>
      </c>
      <c r="I30" s="732" t="s">
        <v>1231</v>
      </c>
      <c r="J30" s="733"/>
      <c r="K30" s="734">
        <v>1</v>
      </c>
      <c r="L30" s="934"/>
    </row>
    <row r="31" spans="2:12" ht="26.25" customHeight="1" x14ac:dyDescent="0.25">
      <c r="B31" s="1016" t="s">
        <v>1176</v>
      </c>
      <c r="C31" s="1019" t="s">
        <v>1403</v>
      </c>
      <c r="D31" s="481" t="s">
        <v>1178</v>
      </c>
      <c r="E31" s="481" t="s">
        <v>1177</v>
      </c>
      <c r="F31" s="727">
        <v>2</v>
      </c>
      <c r="G31" s="715"/>
      <c r="H31" s="739">
        <f t="shared" si="0"/>
        <v>2</v>
      </c>
      <c r="I31" s="732" t="s">
        <v>1231</v>
      </c>
      <c r="J31" s="733"/>
      <c r="K31" s="734">
        <v>1</v>
      </c>
      <c r="L31" s="934"/>
    </row>
    <row r="32" spans="2:12" ht="16.5" customHeight="1" x14ac:dyDescent="0.25">
      <c r="B32" s="1023"/>
      <c r="C32" s="1022"/>
      <c r="D32" s="481" t="s">
        <v>1180</v>
      </c>
      <c r="E32" s="481" t="s">
        <v>1179</v>
      </c>
      <c r="F32" s="727">
        <v>4</v>
      </c>
      <c r="G32" s="715"/>
      <c r="H32" s="739">
        <f t="shared" si="0"/>
        <v>4</v>
      </c>
      <c r="I32" s="732" t="s">
        <v>1231</v>
      </c>
      <c r="J32" s="733"/>
      <c r="K32" s="734">
        <v>1</v>
      </c>
      <c r="L32" s="934"/>
    </row>
    <row r="33" spans="2:12" ht="18" customHeight="1" x14ac:dyDescent="0.25">
      <c r="B33" s="1016" t="s">
        <v>1525</v>
      </c>
      <c r="C33" s="1019" t="s">
        <v>1186</v>
      </c>
      <c r="D33" s="481" t="s">
        <v>1524</v>
      </c>
      <c r="E33" s="481" t="s">
        <v>1529</v>
      </c>
      <c r="F33" s="727">
        <v>2</v>
      </c>
      <c r="G33" s="715"/>
      <c r="H33" s="739">
        <f t="shared" si="0"/>
        <v>2</v>
      </c>
      <c r="I33" s="732" t="s">
        <v>41</v>
      </c>
      <c r="J33" s="733"/>
      <c r="K33" s="734">
        <v>1</v>
      </c>
      <c r="L33" s="934"/>
    </row>
    <row r="34" spans="2:12" ht="18" customHeight="1" x14ac:dyDescent="0.25">
      <c r="B34" s="1017"/>
      <c r="C34" s="1020"/>
      <c r="D34" s="714" t="s">
        <v>1528</v>
      </c>
      <c r="E34" s="714" t="s">
        <v>2280</v>
      </c>
      <c r="F34" s="728">
        <v>2</v>
      </c>
      <c r="G34" s="715"/>
      <c r="H34" s="739">
        <f t="shared" si="0"/>
        <v>2</v>
      </c>
      <c r="I34" s="732" t="s">
        <v>41</v>
      </c>
      <c r="J34" s="733"/>
      <c r="K34" s="734">
        <v>1</v>
      </c>
      <c r="L34" s="934"/>
    </row>
    <row r="35" spans="2:12" ht="18" customHeight="1" thickBot="1" x14ac:dyDescent="0.3">
      <c r="B35" s="1018"/>
      <c r="C35" s="1021"/>
      <c r="D35" s="716" t="s">
        <v>1188</v>
      </c>
      <c r="E35" s="716" t="s">
        <v>1187</v>
      </c>
      <c r="F35" s="729">
        <v>2</v>
      </c>
      <c r="G35" s="717"/>
      <c r="H35" s="741">
        <f>IF(NOT(G35=""),G35,F35)</f>
        <v>2</v>
      </c>
      <c r="I35" s="735" t="s">
        <v>1244</v>
      </c>
      <c r="J35" s="736"/>
      <c r="K35" s="737">
        <v>1</v>
      </c>
      <c r="L35" s="934"/>
    </row>
    <row r="36" spans="2:12" x14ac:dyDescent="0.25">
      <c r="C36" s="934"/>
      <c r="G36" s="691"/>
    </row>
    <row r="37" spans="2:12" x14ac:dyDescent="0.25">
      <c r="C37" s="934"/>
    </row>
  </sheetData>
  <sheetProtection sheet="1" objects="1" scenarios="1"/>
  <mergeCells count="12">
    <mergeCell ref="B2:E2"/>
    <mergeCell ref="B33:B35"/>
    <mergeCell ref="C33:C35"/>
    <mergeCell ref="C31:C32"/>
    <mergeCell ref="C27:C29"/>
    <mergeCell ref="B23:B26"/>
    <mergeCell ref="B27:B29"/>
    <mergeCell ref="B31:B32"/>
    <mergeCell ref="B5:B8"/>
    <mergeCell ref="C5:C8"/>
    <mergeCell ref="C23:C26"/>
    <mergeCell ref="B11:B22"/>
  </mergeCells>
  <conditionalFormatting sqref="H5:H11 H14:H35">
    <cfRule type="cellIs" dxfId="31" priority="31" operator="equal">
      <formula>4</formula>
    </cfRule>
    <cfRule type="cellIs" dxfId="30" priority="32" operator="equal">
      <formula>3</formula>
    </cfRule>
    <cfRule type="cellIs" dxfId="29" priority="33" operator="equal">
      <formula>2</formula>
    </cfRule>
  </conditionalFormatting>
  <conditionalFormatting sqref="H4">
    <cfRule type="cellIs" dxfId="28" priority="28" operator="equal">
      <formula>4</formula>
    </cfRule>
    <cfRule type="cellIs" dxfId="27" priority="29" operator="equal">
      <formula>3</formula>
    </cfRule>
    <cfRule type="cellIs" dxfId="26" priority="30" operator="equal">
      <formula>2</formula>
    </cfRule>
  </conditionalFormatting>
  <conditionalFormatting sqref="H12">
    <cfRule type="cellIs" dxfId="25" priority="19" operator="equal">
      <formula>4</formula>
    </cfRule>
    <cfRule type="cellIs" dxfId="24" priority="20" operator="equal">
      <formula>3</formula>
    </cfRule>
    <cfRule type="cellIs" dxfId="23" priority="21" operator="equal">
      <formula>2</formula>
    </cfRule>
  </conditionalFormatting>
  <conditionalFormatting sqref="H13">
    <cfRule type="cellIs" dxfId="22" priority="1" operator="equal">
      <formula>4</formula>
    </cfRule>
    <cfRule type="cellIs" dxfId="21" priority="2" operator="equal">
      <formula>3</formula>
    </cfRule>
    <cfRule type="cellIs" dxfId="20" priority="3" operator="equal">
      <formula>2</formula>
    </cfRule>
  </conditionalFormatting>
  <dataValidations count="2">
    <dataValidation type="list" allowBlank="1" showInputMessage="1" showErrorMessage="1" sqref="G4:G35" xr:uid="{B4A9DF18-9A8E-460B-B097-F8483700F634}">
      <formula1>"1,2,3,4"</formula1>
    </dataValidation>
    <dataValidation type="list" showInputMessage="1" showErrorMessage="1" sqref="K4:K35" xr:uid="{3BEB943A-7458-4B76-BAF9-B1BA6639DE95}">
      <formula1>"0,1"</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dimension ref="B1:CJ240"/>
  <sheetViews>
    <sheetView showGridLines="0" topLeftCell="B1" zoomScaleNormal="100" workbookViewId="0">
      <pane ySplit="4" topLeftCell="A128" activePane="bottomLeft" state="frozen"/>
      <selection activeCell="J10" sqref="J10"/>
      <selection pane="bottomLeft" activeCell="G132" sqref="G132"/>
    </sheetView>
  </sheetViews>
  <sheetFormatPr baseColWidth="10" defaultRowHeight="13.2" outlineLevelCol="1" x14ac:dyDescent="0.25"/>
  <cols>
    <col min="1" max="1" width="1" customWidth="1"/>
    <col min="4" max="4" width="5.5546875" style="61" customWidth="1"/>
    <col min="5" max="5" width="16" customWidth="1"/>
    <col min="6" max="6" width="15.6640625" customWidth="1"/>
    <col min="7" max="8" width="54.109375" customWidth="1" outlineLevel="1"/>
    <col min="9" max="9" width="9.88671875" customWidth="1"/>
    <col min="10" max="13" width="22.88671875" customWidth="1"/>
    <col min="14" max="14" width="4.5546875" style="367" customWidth="1"/>
    <col min="15" max="15" width="4.44140625" style="452" customWidth="1"/>
    <col min="16" max="16" width="4.5546875" style="367" customWidth="1"/>
    <col min="17" max="17" width="4.5546875" style="452" customWidth="1"/>
    <col min="18" max="18" width="4.5546875" style="367" customWidth="1"/>
    <col min="19" max="19" width="5.33203125" style="367" customWidth="1"/>
    <col min="20" max="20" width="6.44140625" style="367" customWidth="1"/>
    <col min="21" max="21" width="6.5546875" style="367" customWidth="1"/>
    <col min="22" max="22" width="5.33203125" style="367" customWidth="1"/>
    <col min="23" max="23" width="4.5546875" style="367" customWidth="1"/>
    <col min="24" max="24" width="4.5546875" style="452" customWidth="1"/>
    <col min="25" max="25" width="4.5546875" style="367" customWidth="1"/>
    <col min="26" max="26" width="4.5546875" style="452" customWidth="1"/>
    <col min="27" max="28" width="4.5546875" style="367" customWidth="1"/>
    <col min="29" max="32" width="32" style="437" customWidth="1"/>
    <col min="33" max="33" width="33.5546875" style="310" customWidth="1"/>
    <col min="34" max="34" width="13.33203125" style="401" customWidth="1"/>
    <col min="35" max="35" width="10.44140625" style="401" customWidth="1"/>
    <col min="36" max="36" width="11.44140625" style="310" customWidth="1"/>
    <col min="37" max="37" width="13.44140625" style="310" customWidth="1"/>
    <col min="38" max="39" width="11.44140625" customWidth="1"/>
    <col min="40" max="40" width="12.44140625" customWidth="1"/>
    <col min="41" max="47" width="11.44140625" customWidth="1"/>
    <col min="48" max="48" width="10.6640625" style="264" customWidth="1"/>
    <col min="49" max="51" width="8.6640625" style="397" customWidth="1"/>
    <col min="52" max="52" width="8.6640625" style="925" customWidth="1"/>
    <col min="53" max="53" width="8.6640625" style="845" customWidth="1"/>
    <col min="54" max="54" width="9" style="397" customWidth="1"/>
    <col min="55" max="55" width="12.6640625" style="264" customWidth="1"/>
    <col min="56" max="67" width="4.33203125" customWidth="1"/>
    <col min="68" max="79" width="4.44140625" customWidth="1"/>
    <col min="82" max="82" width="11.44140625" style="610"/>
    <col min="85" max="87" width="42.44140625" customWidth="1"/>
    <col min="88" max="88" width="42" customWidth="1"/>
  </cols>
  <sheetData>
    <row r="1" spans="2:88" ht="38.25" customHeight="1" x14ac:dyDescent="0.25">
      <c r="D1" s="666"/>
      <c r="N1" s="666"/>
      <c r="O1" s="666"/>
      <c r="P1" s="666"/>
      <c r="Q1" s="666"/>
      <c r="R1" s="666"/>
      <c r="S1" s="666"/>
      <c r="T1" s="666"/>
      <c r="U1" s="666"/>
      <c r="V1" s="666"/>
      <c r="W1" s="666"/>
      <c r="X1" s="666"/>
      <c r="Y1" s="666"/>
      <c r="Z1" s="666"/>
      <c r="AA1" s="666"/>
      <c r="AB1" s="666"/>
      <c r="AC1" s="666"/>
      <c r="AD1" s="666"/>
      <c r="AE1" s="666"/>
      <c r="AF1" s="666"/>
      <c r="AG1" s="666"/>
      <c r="AH1" s="666"/>
      <c r="AI1" s="666"/>
      <c r="AJ1" s="666"/>
      <c r="AK1" s="666"/>
      <c r="AV1" s="666" t="s">
        <v>2551</v>
      </c>
      <c r="AW1" s="666"/>
      <c r="AX1" s="666"/>
      <c r="AY1" s="666"/>
      <c r="BA1" s="845" t="s">
        <v>2772</v>
      </c>
      <c r="BB1" s="666"/>
      <c r="BC1" s="666"/>
      <c r="CD1" s="666"/>
    </row>
    <row r="2" spans="2:88" ht="29.25" customHeight="1" x14ac:dyDescent="0.4">
      <c r="B2" s="640" t="s">
        <v>84</v>
      </c>
      <c r="C2" s="633"/>
      <c r="D2" s="642"/>
      <c r="E2" s="633"/>
      <c r="F2" s="633"/>
      <c r="G2" s="633"/>
      <c r="H2" s="633"/>
      <c r="I2" s="633"/>
      <c r="J2" s="633"/>
      <c r="K2" s="633"/>
      <c r="L2" s="633"/>
      <c r="M2" s="633"/>
      <c r="N2" s="642"/>
      <c r="O2" s="642"/>
      <c r="P2" s="642"/>
      <c r="Q2" s="642"/>
      <c r="R2" s="642"/>
      <c r="S2" s="642"/>
      <c r="T2" s="642"/>
      <c r="U2" s="642"/>
      <c r="V2" s="642"/>
      <c r="W2" s="642"/>
      <c r="X2" s="642"/>
      <c r="Y2" s="642"/>
      <c r="Z2" s="642"/>
      <c r="AA2" s="642"/>
      <c r="AB2" s="642"/>
      <c r="AC2" s="642"/>
      <c r="AD2" s="642"/>
      <c r="AE2" s="642"/>
      <c r="AF2" s="642"/>
      <c r="AG2" s="642"/>
      <c r="AH2" s="642"/>
      <c r="AI2" s="642"/>
      <c r="AJ2" s="642"/>
      <c r="AO2" s="997" t="s">
        <v>1729</v>
      </c>
      <c r="AP2" s="997"/>
      <c r="AQ2" s="997"/>
      <c r="AR2" s="997"/>
      <c r="AS2" s="997"/>
      <c r="AT2" s="997"/>
      <c r="AU2" s="602"/>
      <c r="AV2" s="1032" t="s">
        <v>1683</v>
      </c>
      <c r="AW2" s="1032"/>
      <c r="AX2" s="1032"/>
      <c r="AY2" s="1032"/>
      <c r="AZ2" s="1032"/>
      <c r="BA2" s="1032"/>
      <c r="BB2" s="1032"/>
      <c r="BC2" s="1032"/>
      <c r="BD2" s="1032"/>
      <c r="BE2" s="1032"/>
      <c r="BF2" s="1032"/>
      <c r="BG2" s="1032"/>
      <c r="BH2" s="1032"/>
      <c r="BI2" s="1032"/>
      <c r="BJ2" s="1032"/>
      <c r="BK2" s="1032"/>
      <c r="BL2" s="1032"/>
      <c r="BM2" s="1032"/>
      <c r="BN2" s="1032"/>
      <c r="BO2" s="1032"/>
      <c r="BP2" s="1032"/>
      <c r="BQ2" s="1032"/>
      <c r="BR2" s="1032"/>
      <c r="BS2" s="1032"/>
      <c r="BT2" s="1032"/>
      <c r="BU2" s="848"/>
      <c r="BV2" s="848"/>
      <c r="BW2" s="848"/>
      <c r="BX2" s="848"/>
      <c r="BY2" s="848"/>
      <c r="BZ2" s="848"/>
      <c r="CA2" s="848"/>
    </row>
    <row r="3" spans="2:88" ht="24" customHeight="1" x14ac:dyDescent="0.25">
      <c r="C3" t="s">
        <v>14</v>
      </c>
      <c r="D3" s="997" t="s">
        <v>330</v>
      </c>
      <c r="E3" s="997"/>
      <c r="F3" s="997"/>
      <c r="G3" t="s">
        <v>1120</v>
      </c>
      <c r="J3" s="997" t="s">
        <v>1530</v>
      </c>
      <c r="K3" s="997"/>
      <c r="L3" s="997"/>
      <c r="M3" s="997"/>
      <c r="N3" s="997" t="s">
        <v>1568</v>
      </c>
      <c r="O3" s="997"/>
      <c r="P3" s="997"/>
      <c r="Q3" s="997"/>
      <c r="R3" s="997"/>
      <c r="S3" s="997"/>
      <c r="T3" s="997"/>
      <c r="U3" s="997"/>
      <c r="V3" s="997"/>
      <c r="W3" s="997"/>
      <c r="X3" s="997"/>
      <c r="Y3" s="997"/>
      <c r="Z3" s="997"/>
      <c r="AA3" s="997"/>
      <c r="AB3" s="997"/>
      <c r="AO3" s="599" t="s">
        <v>1736</v>
      </c>
      <c r="AP3" s="599" t="s">
        <v>1737</v>
      </c>
      <c r="AQ3" s="599" t="s">
        <v>1738</v>
      </c>
      <c r="AR3" s="599" t="s">
        <v>1571</v>
      </c>
      <c r="AS3" s="599" t="s">
        <v>1739</v>
      </c>
      <c r="AT3" s="599" t="s">
        <v>1569</v>
      </c>
      <c r="AU3" s="602" t="s">
        <v>2190</v>
      </c>
      <c r="AV3" s="310" t="s">
        <v>2485</v>
      </c>
      <c r="AW3" s="1033" t="s">
        <v>1824</v>
      </c>
      <c r="AX3" s="1033"/>
      <c r="AY3" s="1033"/>
      <c r="AZ3" s="1033"/>
      <c r="BA3" s="1033"/>
      <c r="BB3" s="1033"/>
      <c r="BC3" s="62"/>
      <c r="BD3" s="62"/>
      <c r="BE3" s="62"/>
      <c r="BF3" s="62"/>
      <c r="BG3" s="62"/>
      <c r="BH3" s="62"/>
      <c r="BI3" s="62"/>
      <c r="BJ3" s="62"/>
      <c r="BK3" s="62"/>
      <c r="BL3" s="62"/>
      <c r="BM3" s="62"/>
      <c r="BN3" s="62"/>
      <c r="BO3" s="62"/>
      <c r="BP3" s="62"/>
      <c r="BQ3" s="62"/>
      <c r="BR3" s="62"/>
      <c r="BS3" s="62"/>
      <c r="BT3" s="62"/>
      <c r="BU3" s="62"/>
      <c r="BV3" s="62"/>
      <c r="BW3" s="62"/>
      <c r="BX3" s="62"/>
      <c r="BY3" s="62"/>
      <c r="BZ3" s="62"/>
      <c r="CA3" s="62"/>
    </row>
    <row r="4" spans="2:88" ht="27" thickBot="1" x14ac:dyDescent="0.3">
      <c r="C4" s="63" t="s">
        <v>1121</v>
      </c>
      <c r="D4" s="221" t="s">
        <v>73</v>
      </c>
      <c r="E4" s="63" t="s">
        <v>1122</v>
      </c>
      <c r="F4" s="63" t="s">
        <v>1073</v>
      </c>
      <c r="G4" s="63" t="s">
        <v>1123</v>
      </c>
      <c r="H4" s="63" t="s">
        <v>2289</v>
      </c>
      <c r="I4" s="63" t="s">
        <v>1190</v>
      </c>
      <c r="J4" s="63" t="s">
        <v>1114</v>
      </c>
      <c r="K4" s="63" t="s">
        <v>1115</v>
      </c>
      <c r="L4" s="63" t="s">
        <v>1116</v>
      </c>
      <c r="M4" s="63" t="s">
        <v>1117</v>
      </c>
      <c r="N4" s="369" t="s">
        <v>1570</v>
      </c>
      <c r="O4" s="453" t="s">
        <v>1909</v>
      </c>
      <c r="P4" s="369" t="s">
        <v>1569</v>
      </c>
      <c r="Q4" s="453" t="s">
        <v>1910</v>
      </c>
      <c r="R4" s="369" t="s">
        <v>1573</v>
      </c>
      <c r="S4" s="369" t="s">
        <v>1779</v>
      </c>
      <c r="T4" s="369" t="s">
        <v>1780</v>
      </c>
      <c r="U4" s="369" t="s">
        <v>1781</v>
      </c>
      <c r="V4" s="369" t="s">
        <v>1782</v>
      </c>
      <c r="W4" s="369" t="s">
        <v>1572</v>
      </c>
      <c r="X4" s="453" t="s">
        <v>1911</v>
      </c>
      <c r="Y4" s="369" t="s">
        <v>1571</v>
      </c>
      <c r="Z4" s="453" t="s">
        <v>1912</v>
      </c>
      <c r="AA4" s="369" t="s">
        <v>1574</v>
      </c>
      <c r="AB4" s="369" t="s">
        <v>1575</v>
      </c>
      <c r="AC4" s="438" t="s">
        <v>1872</v>
      </c>
      <c r="AD4" s="438" t="s">
        <v>1873</v>
      </c>
      <c r="AE4" s="438" t="s">
        <v>1874</v>
      </c>
      <c r="AF4" s="438" t="s">
        <v>1875</v>
      </c>
      <c r="AG4" s="311" t="s">
        <v>1398</v>
      </c>
      <c r="AH4" s="402" t="s">
        <v>1859</v>
      </c>
      <c r="AI4" s="434" t="s">
        <v>1860</v>
      </c>
      <c r="AJ4" s="311" t="s">
        <v>1924</v>
      </c>
      <c r="AK4" s="311" t="s">
        <v>2172</v>
      </c>
      <c r="AM4" s="263" t="s">
        <v>1681</v>
      </c>
      <c r="AN4" s="311" t="s">
        <v>1745</v>
      </c>
      <c r="AO4" s="455" t="b">
        <v>1</v>
      </c>
      <c r="AP4" s="455" t="b">
        <v>1</v>
      </c>
      <c r="AQ4" s="455" t="b">
        <v>1</v>
      </c>
      <c r="AR4" s="455" t="b">
        <v>1</v>
      </c>
      <c r="AS4" s="455" t="b">
        <v>1</v>
      </c>
      <c r="AT4" s="455" t="b">
        <v>1</v>
      </c>
      <c r="AU4" s="455" t="b">
        <v>1</v>
      </c>
      <c r="AV4" s="264" t="s">
        <v>2351</v>
      </c>
      <c r="AW4" s="397" t="s">
        <v>1820</v>
      </c>
      <c r="AX4" s="397" t="s">
        <v>1821</v>
      </c>
      <c r="AY4" s="397" t="s">
        <v>1822</v>
      </c>
      <c r="AZ4" s="925" t="s">
        <v>2776</v>
      </c>
      <c r="BA4" s="845" t="s">
        <v>2305</v>
      </c>
      <c r="BB4" s="397" t="s">
        <v>1823</v>
      </c>
      <c r="BC4" s="264" t="s">
        <v>1825</v>
      </c>
      <c r="CC4" t="s">
        <v>2206</v>
      </c>
      <c r="CD4" t="s">
        <v>2205</v>
      </c>
      <c r="CE4" t="s">
        <v>2207</v>
      </c>
      <c r="CG4" s="63" t="s">
        <v>1114</v>
      </c>
      <c r="CH4" s="63" t="s">
        <v>1115</v>
      </c>
      <c r="CI4" s="63" t="s">
        <v>1116</v>
      </c>
      <c r="CJ4" s="63" t="s">
        <v>1117</v>
      </c>
    </row>
    <row r="5" spans="2:88" ht="19.5" customHeight="1" thickBot="1" x14ac:dyDescent="0.3">
      <c r="AO5">
        <f t="shared" ref="AO5:AU5" si="0">IF(AO4=TRUE,1,0)</f>
        <v>1</v>
      </c>
      <c r="AP5">
        <f t="shared" si="0"/>
        <v>1</v>
      </c>
      <c r="AQ5">
        <f t="shared" si="0"/>
        <v>1</v>
      </c>
      <c r="AR5">
        <f t="shared" si="0"/>
        <v>1</v>
      </c>
      <c r="AS5">
        <f t="shared" si="0"/>
        <v>1</v>
      </c>
      <c r="AT5">
        <f t="shared" si="0"/>
        <v>1</v>
      </c>
      <c r="AU5">
        <f t="shared" si="0"/>
        <v>1</v>
      </c>
      <c r="AV5" s="997">
        <v>1</v>
      </c>
      <c r="AW5" s="997" t="s">
        <v>1818</v>
      </c>
      <c r="AX5" s="997"/>
      <c r="AY5" s="997"/>
      <c r="AZ5" s="997"/>
      <c r="BA5" s="997"/>
      <c r="BB5" s="997"/>
      <c r="BD5" s="1028" t="s">
        <v>1690</v>
      </c>
      <c r="BE5" s="1029"/>
      <c r="BF5" s="1029"/>
      <c r="BG5" s="1029"/>
      <c r="BH5" s="1029"/>
      <c r="BI5" s="1031"/>
      <c r="BJ5" s="1028" t="s">
        <v>1718</v>
      </c>
      <c r="BK5" s="1029"/>
      <c r="BL5" s="1029"/>
      <c r="BM5" s="1029"/>
      <c r="BN5" s="1029"/>
      <c r="BO5" s="1031"/>
      <c r="BP5" s="1028" t="s">
        <v>1722</v>
      </c>
      <c r="BQ5" s="1029"/>
      <c r="BR5" s="1029"/>
      <c r="BS5" s="1029"/>
      <c r="BT5" s="1031"/>
      <c r="BU5" s="1028" t="s">
        <v>2306</v>
      </c>
      <c r="BV5" s="1029"/>
      <c r="BW5" s="1029"/>
      <c r="BX5" s="1029"/>
      <c r="BY5" s="1030"/>
      <c r="BZ5" s="1031"/>
      <c r="CA5" s="359"/>
    </row>
    <row r="6" spans="2:88" s="216" customFormat="1" ht="18" customHeight="1" x14ac:dyDescent="0.25">
      <c r="B6" s="808" t="s">
        <v>1947</v>
      </c>
      <c r="C6" s="1026" t="str">
        <f>Dap</f>
        <v>Données applicatives</v>
      </c>
      <c r="D6" s="1026"/>
      <c r="E6" s="1026"/>
      <c r="F6" s="1026"/>
      <c r="G6" s="1026"/>
      <c r="H6" s="1026"/>
      <c r="I6" s="1026"/>
      <c r="J6" s="1026"/>
      <c r="K6" s="1026"/>
      <c r="L6" s="1026"/>
      <c r="M6" s="1027"/>
      <c r="N6" s="809"/>
      <c r="O6" s="809"/>
      <c r="P6" s="810"/>
      <c r="Q6" s="811"/>
      <c r="R6" s="811"/>
      <c r="S6" s="812"/>
      <c r="T6" s="810"/>
      <c r="U6" s="810"/>
      <c r="V6" s="813"/>
      <c r="W6" s="809"/>
      <c r="X6" s="809"/>
      <c r="Y6" s="810"/>
      <c r="Z6" s="810"/>
      <c r="AA6" s="810"/>
      <c r="AB6" s="813"/>
      <c r="AC6" s="814"/>
      <c r="AD6" s="814"/>
      <c r="AE6" s="814"/>
      <c r="AF6" s="814"/>
      <c r="AG6" s="814"/>
      <c r="AH6" s="813"/>
      <c r="AI6" s="813"/>
      <c r="AJ6" s="813"/>
      <c r="AN6"/>
      <c r="AO6"/>
      <c r="AP6"/>
      <c r="AQ6"/>
      <c r="AR6"/>
      <c r="AS6"/>
      <c r="AT6"/>
      <c r="AU6"/>
      <c r="AV6" s="997"/>
      <c r="AW6" s="997"/>
      <c r="AX6" s="997"/>
      <c r="AY6" s="997"/>
      <c r="AZ6" s="997"/>
      <c r="BA6" s="997"/>
      <c r="BB6" s="997"/>
      <c r="BC6" s="264" t="s">
        <v>1707</v>
      </c>
      <c r="BD6" s="339" t="s">
        <v>1693</v>
      </c>
      <c r="BE6" s="340" t="s">
        <v>1694</v>
      </c>
      <c r="BF6" s="340" t="s">
        <v>1695</v>
      </c>
      <c r="BG6" s="340" t="s">
        <v>1696</v>
      </c>
      <c r="BH6" s="340" t="s">
        <v>1697</v>
      </c>
      <c r="BI6" s="341" t="s">
        <v>1698</v>
      </c>
      <c r="BJ6" s="339" t="s">
        <v>1693</v>
      </c>
      <c r="BK6" s="340" t="s">
        <v>1694</v>
      </c>
      <c r="BL6" s="340" t="s">
        <v>1695</v>
      </c>
      <c r="BM6" s="340" t="s">
        <v>1696</v>
      </c>
      <c r="BN6" s="340" t="s">
        <v>1697</v>
      </c>
      <c r="BO6" s="341" t="s">
        <v>1698</v>
      </c>
      <c r="BP6" s="339" t="s">
        <v>1693</v>
      </c>
      <c r="BQ6" s="340" t="s">
        <v>1694</v>
      </c>
      <c r="BR6" s="340" t="s">
        <v>1695</v>
      </c>
      <c r="BS6" s="340" t="s">
        <v>1696</v>
      </c>
      <c r="BT6" s="341" t="s">
        <v>1697</v>
      </c>
      <c r="BU6" s="339" t="s">
        <v>1693</v>
      </c>
      <c r="BV6" s="340" t="s">
        <v>1694</v>
      </c>
      <c r="BW6" s="340" t="s">
        <v>1695</v>
      </c>
      <c r="BX6" s="340" t="s">
        <v>1696</v>
      </c>
      <c r="BY6" s="340" t="s">
        <v>1697</v>
      </c>
      <c r="BZ6" s="341" t="s">
        <v>1698</v>
      </c>
      <c r="CA6" s="417"/>
      <c r="CD6" s="258"/>
    </row>
    <row r="7" spans="2:88" ht="29.25" customHeight="1" x14ac:dyDescent="0.25">
      <c r="B7" s="791" t="s">
        <v>1948</v>
      </c>
      <c r="C7" s="771" t="s">
        <v>75</v>
      </c>
      <c r="D7" s="772" t="s">
        <v>76</v>
      </c>
      <c r="E7" s="771" t="str">
        <f t="shared" ref="E7:E19" si="1">Fic</f>
        <v xml:space="preserve">Fichier ou base de données </v>
      </c>
      <c r="F7" s="768" t="str">
        <f>Disp</f>
        <v>Disparition</v>
      </c>
      <c r="G7" s="909" t="s">
        <v>2562</v>
      </c>
      <c r="H7" s="768"/>
      <c r="I7" s="771" t="s">
        <v>1197</v>
      </c>
      <c r="J7" s="769" t="s">
        <v>2537</v>
      </c>
      <c r="K7" s="769" t="s">
        <v>1300</v>
      </c>
      <c r="L7" s="769"/>
      <c r="M7" s="788"/>
      <c r="N7" s="815"/>
      <c r="O7" s="815"/>
      <c r="P7" s="816"/>
      <c r="Q7" s="817"/>
      <c r="R7" s="817"/>
      <c r="S7" s="818"/>
      <c r="T7" s="816"/>
      <c r="U7" s="816"/>
      <c r="V7" s="819"/>
      <c r="W7" s="815"/>
      <c r="X7" s="815"/>
      <c r="Y7" s="816"/>
      <c r="Z7" s="816"/>
      <c r="AA7" s="816"/>
      <c r="AB7" s="819"/>
      <c r="AC7" s="820"/>
      <c r="AD7" s="820"/>
      <c r="AE7" s="820"/>
      <c r="AF7" s="820"/>
      <c r="AG7" s="820"/>
      <c r="AH7" s="819"/>
      <c r="AI7" s="807" t="str">
        <f t="shared" ref="AI7:AI122" si="2">IF(ISBLANK(AH7),"",CONCATENATE("R",AH7))</f>
        <v/>
      </c>
      <c r="AJ7" s="819"/>
      <c r="AK7" s="359"/>
      <c r="AM7" t="str">
        <f t="shared" ref="AM7" si="3">IF(AN7=1,IF(Ig=0,10*P7+N7,10*Y7+W7),"")</f>
        <v/>
      </c>
      <c r="AN7">
        <f t="shared" ref="AN7" si="4">IF(OR(AND(AB7="A",Ia=1),AND(AB7="E",Ie=1),AND(AB7="R",Ir=1),AND(AB7="T",It=1),AND(AB7="I",Ii=1),AND(OR(AB7="-",AB7="0"),Isd=1)),1,0)</f>
        <v>0</v>
      </c>
      <c r="AW7" s="397">
        <f>IF(ISNUMBER(IF(D7="D",VLOOKUP(C7,Tab_ActP,4,FALSE),IF(D7="I",VLOOKUP(C7,Tab_ActP,5,FALSE),IF(D7="C",VLOOKUP(C7,Tab_ActP,6,FALSE),VLOOKUP(C7,Tab_ActP,7,FALSE))))),1,0)</f>
        <v>0</v>
      </c>
      <c r="AX7" s="397">
        <f t="shared" ref="AX7:AX35" si="5">VLOOKUP(E7,Tab_ActS,2,FALSE)</f>
        <v>1</v>
      </c>
      <c r="AY7" s="397">
        <f t="shared" ref="AY7:AY35" si="6">VLOOKUP(F7,Tab_SDom,3,FALSE)</f>
        <v>1</v>
      </c>
      <c r="AZ7" s="927">
        <f t="shared" ref="AZ7:AZ53" si="7">VLOOKUP($I7,Tabexpo,8,FALSE)</f>
        <v>1</v>
      </c>
      <c r="BA7" s="845">
        <v>1</v>
      </c>
      <c r="BB7" s="397">
        <f>AW7*AX7*AY7*AZ7*BA7</f>
        <v>0</v>
      </c>
      <c r="BC7" s="264">
        <f t="shared" ref="BC7:BC35" si="8">IF(IndS=FALSE,IF(BB7=1,0,1),IF(BB7=0,1,AV7))</f>
        <v>1</v>
      </c>
      <c r="BD7" s="342" t="e">
        <f>IF(AND($BC7=0,C7=Tab_sel!$P$7,$D7=Tab_sel!$O$24,$E7=Tab_sel!$B$31),1,"")</f>
        <v>#N/A</v>
      </c>
      <c r="BE7" s="322" t="e">
        <f>IF(AND($BC7=0,C7=Tab_sel!$P$7,$D7=Tab_sel!$O$24,$E7=Tab_sel!$B$32),1,"")</f>
        <v>#N/A</v>
      </c>
      <c r="BF7" s="322" t="e">
        <f>IF(AND($BC7=0,C7=Tab_sel!$P$7,$D7=Tab_sel!$O$24,$E7=Tab_sel!$B$33),1,"")</f>
        <v>#N/A</v>
      </c>
      <c r="BG7" s="322" t="e">
        <f>IF(AND($BC7=0,C7=Tab_sel!$P$7,$D7=Tab_sel!$O$24,$E7=Tab_sel!$B$34),1,"")</f>
        <v>#N/A</v>
      </c>
      <c r="BH7" s="322" t="e">
        <f>IF(AND($BC7=0,C7=Tab_sel!$P$7,$D7=Tab_sel!$O$24,$E7=Tab_sel!$B$35),1,"")</f>
        <v>#N/A</v>
      </c>
      <c r="BI7" s="343" t="e">
        <f>IF(AND($BC7=0,C7=Tab_sel!$P$7,$D7=Tab_sel!$O$24,$E7=Tab_sel!$B$36),1,"")</f>
        <v>#N/A</v>
      </c>
      <c r="BJ7" s="342" t="e">
        <f>IF(AND($BC7=0,$C7=Tab_sel!$P$7,$D7=Tab_sel!$O$24,$E7=Tab_sel!$N$31,$F7=Tab_sel!$B$40),1,"")</f>
        <v>#N/A</v>
      </c>
      <c r="BK7" s="322" t="e">
        <f>IF(AND($BC7=0,$C7=Tab_sel!$P$7,$D7=Tab_sel!$O$24,$E7=Tab_sel!$N$31,$F7=Tab_sel!$B$41),1,"")</f>
        <v>#N/A</v>
      </c>
      <c r="BL7" s="322" t="e">
        <f>IF(AND($BC7=0,$C7=Tab_sel!$P$7,$D7=Tab_sel!$O$24,$E7=Tab_sel!$N$31,$F7=Tab_sel!$B$42),1,"")</f>
        <v>#N/A</v>
      </c>
      <c r="BM7" s="322" t="e">
        <f>IF(AND($BC7=0,$C7=Tab_sel!$P$7,$D7=Tab_sel!$O$24,$E7=Tab_sel!$N$31,$F7=Tab_sel!$B$43),1,"")</f>
        <v>#N/A</v>
      </c>
      <c r="BN7" s="322" t="e">
        <f>IF(AND($BC7=0,$C7=Tab_sel!$P$7,$D7=Tab_sel!$O$24,$E7=Tab_sel!$N$31,$F7=Tab_sel!$B$44),1,"")</f>
        <v>#N/A</v>
      </c>
      <c r="BO7" s="343" t="e">
        <f>IF(AND($BC7=0,$C7=Tab_sel!$P$7,$D7=Tab_sel!$O$24,$E7=Tab_sel!$N$31,$F7=Tab_sel!$B$45),1,"")</f>
        <v>#N/A</v>
      </c>
      <c r="BP7" s="354" t="e">
        <f>IF(AND($BC7=0,$C7=Tab_sel!$P$7,$D7=Tab_sel!$O$24,$E7=Tab_sel!$N$31,$F7=Tab_sel!$N$40,$I7=Tab_sel!$B$61),1,"")</f>
        <v>#N/A</v>
      </c>
      <c r="BQ7" s="355" t="e">
        <f>IF(AND($BC7=0,$C7=Tab_sel!$P$7,$D7=Tab_sel!$O$24,$E7=Tab_sel!$N$31,$F7=Tab_sel!$N$40,$I7=Tab_sel!$B$62),1,"")</f>
        <v>#N/A</v>
      </c>
      <c r="BR7" s="355" t="e">
        <f>IF(AND($BC7=0,$C7=Tab_sel!$P$7,$D7=Tab_sel!$O$24,$E7=Tab_sel!$N$31,$F7=Tab_sel!$N$40,$I7=Tab_sel!$B$63),1,"")</f>
        <v>#N/A</v>
      </c>
      <c r="BS7" s="355" t="e">
        <f>IF(AND($BC7=0,$C7=Tab_sel!$P$7,$D7=Tab_sel!$O$24,$E7=Tab_sel!$N$31,$F7=Tab_sel!$N$40,$I7=Tab_sel!$B$64),1,"")</f>
        <v>#N/A</v>
      </c>
      <c r="BT7" s="356" t="e">
        <f>IF(AND($BC7=0,$C7=Tab_sel!$P$7,$D7=Tab_sel!$O$24,$E7=Tab_sel!$N$31,$F7=Tab_sel!$N$40,$I7=Tab_sel!$B$65),1,"")</f>
        <v>#N/A</v>
      </c>
      <c r="BU7" s="856" t="e">
        <f>IF(AND($BC7=0,$C7=Tab_sel!$P$7,$D7=Tab_sel!$O$24,$E7=Tab_sel!$N$31,$F7=Tab_sel!$N$40,$I7=Tab_sel!$P$61,$H7=Tab_sel!$B$77),1,"")</f>
        <v>#N/A</v>
      </c>
      <c r="BV7" s="849" t="e">
        <f>IF(AND($BC7=0,$C7=Tab_sel!$P$7,$D7=Tab_sel!$O$24,$E7=Tab_sel!$N$31,$F7=Tab_sel!$N$40,$I7=Tab_sel!$P$61,$H7=Tab_sel!$B$78),1,"")</f>
        <v>#N/A</v>
      </c>
      <c r="BW7" s="849" t="e">
        <f>IF(AND($BC7=0,$C7=Tab_sel!$P$7,$D7=Tab_sel!$O$24,$E7=Tab_sel!$N$31,$F7=Tab_sel!$N$40,$I7=Tab_sel!$P$61,$H7=Tab_sel!$B$79),1,"")</f>
        <v>#N/A</v>
      </c>
      <c r="BX7" s="849" t="e">
        <f>IF(AND($BC7=0,$C7=Tab_sel!$P$7,$D7=Tab_sel!$O$24,$E7=Tab_sel!$N$31,$F7=Tab_sel!$N$40,$I7=Tab_sel!$P$61,$H7=Tab_sel!$B$80),1,"")</f>
        <v>#N/A</v>
      </c>
      <c r="BY7" s="849" t="e">
        <f>IF(AND($BC7=0,$C7=Tab_sel!$P$7,$D7=Tab_sel!$O$24,$E7=Tab_sel!$N$31,$F7=Tab_sel!$N$40,$I7=Tab_sel!$P$61,$H7=Tab_sel!$B$81),1,"")</f>
        <v>#N/A</v>
      </c>
      <c r="BZ7" s="857" t="e">
        <f>IF(AND($BC7=0,$C7=Tab_sel!$P$7,$D7=Tab_sel!$O$24,$E7=Tab_sel!$N$31,$F7=Tab_sel!$N$40,$I7=Tab_sel!$P$61,$H7=Tab_sel!$B$82),1,"")</f>
        <v>#N/A</v>
      </c>
      <c r="CA7" s="359"/>
      <c r="CC7">
        <f>IF(OR(AK7=1,AH7="",NOT(AB7="-")),0,1)</f>
        <v>0</v>
      </c>
      <c r="CD7" s="610">
        <f>IF(OR(AK7=1,AB7="-",AH7=""),0,1)</f>
        <v>0</v>
      </c>
      <c r="CE7" s="610">
        <f>IF(NOT(AK7=1),AB7)</f>
        <v>0</v>
      </c>
      <c r="CG7" t="s">
        <v>2609</v>
      </c>
      <c r="CH7" t="s">
        <v>2610</v>
      </c>
      <c r="CJ7" t="s">
        <v>2611</v>
      </c>
    </row>
    <row r="8" spans="2:88" ht="29.25" customHeight="1" x14ac:dyDescent="0.25">
      <c r="B8" s="791" t="s">
        <v>2286</v>
      </c>
      <c r="C8" s="771" t="s">
        <v>75</v>
      </c>
      <c r="D8" s="772" t="s">
        <v>76</v>
      </c>
      <c r="E8" s="771" t="str">
        <f t="shared" si="1"/>
        <v xml:space="preserve">Fichier ou base de données </v>
      </c>
      <c r="F8" s="768" t="str">
        <f>Disp</f>
        <v>Disparition</v>
      </c>
      <c r="G8" s="909" t="s">
        <v>2562</v>
      </c>
      <c r="H8" s="850" t="s">
        <v>2585</v>
      </c>
      <c r="I8" s="771" t="s">
        <v>1197</v>
      </c>
      <c r="J8" s="769" t="s">
        <v>2537</v>
      </c>
      <c r="K8" s="769"/>
      <c r="L8" s="769"/>
      <c r="M8" s="788" t="s">
        <v>1259</v>
      </c>
      <c r="N8" s="815"/>
      <c r="O8" s="815"/>
      <c r="P8" s="816"/>
      <c r="Q8" s="817"/>
      <c r="R8" s="817"/>
      <c r="S8" s="818"/>
      <c r="T8" s="816"/>
      <c r="U8" s="816"/>
      <c r="V8" s="819"/>
      <c r="W8" s="815"/>
      <c r="X8" s="815"/>
      <c r="Y8" s="816"/>
      <c r="Z8" s="816"/>
      <c r="AA8" s="816"/>
      <c r="AB8" s="819"/>
      <c r="AC8" s="820"/>
      <c r="AD8" s="820"/>
      <c r="AE8" s="820"/>
      <c r="AF8" s="820"/>
      <c r="AG8" s="820"/>
      <c r="AH8" s="819"/>
      <c r="AI8" s="807" t="str">
        <f t="shared" si="2"/>
        <v/>
      </c>
      <c r="AJ8" s="819"/>
      <c r="AK8" s="359"/>
      <c r="AM8" t="str">
        <f t="shared" ref="AM8:AM71" si="9">IF(AN8=1,IF(Ig=0,10*P8+N8,10*Y8+W8),"")</f>
        <v/>
      </c>
      <c r="AN8">
        <f t="shared" ref="AN8:AN71" si="10">IF(OR(AND(AB8="A",Ia=1),AND(AB8="E",Ie=1),AND(AB8="R",Ir=1),AND(AB8="T",It=1),AND(AB8="I",Ii=1),AND(OR(AB8="-",AB8="0"),Isd=1)),1,0)</f>
        <v>0</v>
      </c>
      <c r="AV8" s="845"/>
      <c r="AW8" s="882">
        <f t="shared" ref="AW8:AW61" si="11">IF(ISNUMBER(IF(D8="D",VLOOKUP(C8,Tab_ActP,4,FALSE),IF(D8="I",VLOOKUP(C8,Tab_ActP,5,FALSE),IF(D8="C",VLOOKUP(C8,Tab_ActP,6,FALSE),VLOOKUP(C8,Tab_ActP,7,FALSE))))),1,0)</f>
        <v>0</v>
      </c>
      <c r="AX8" s="882">
        <f t="shared" si="5"/>
        <v>1</v>
      </c>
      <c r="AY8" s="882">
        <f t="shared" si="6"/>
        <v>1</v>
      </c>
      <c r="AZ8" s="927">
        <f t="shared" si="7"/>
        <v>1</v>
      </c>
      <c r="BA8" s="882">
        <v>0</v>
      </c>
      <c r="BB8" s="925">
        <f t="shared" ref="BB8:BB71" si="12">AW8*AX8*AY8*AZ8*BA8</f>
        <v>0</v>
      </c>
      <c r="BC8" s="882">
        <f t="shared" si="8"/>
        <v>1</v>
      </c>
      <c r="BD8" s="342" t="e">
        <f>IF(AND($BC8=0,C8=Tab_sel!$P$7,$D8=Tab_sel!$O$24,$E8=Tab_sel!$B$31),1,"")</f>
        <v>#N/A</v>
      </c>
      <c r="BE8" s="322" t="e">
        <f>IF(AND($BC8=0,C8=Tab_sel!$P$7,$D8=Tab_sel!$O$24,$E8=Tab_sel!$B$32),1,"")</f>
        <v>#N/A</v>
      </c>
      <c r="BF8" s="322" t="e">
        <f>IF(AND($BC8=0,C8=Tab_sel!$P$7,$D8=Tab_sel!$O$24,$E8=Tab_sel!$B$33),1,"")</f>
        <v>#N/A</v>
      </c>
      <c r="BG8" s="322" t="e">
        <f>IF(AND($BC8=0,C8=Tab_sel!$P$7,$D8=Tab_sel!$O$24,$E8=Tab_sel!$B$34),1,"")</f>
        <v>#N/A</v>
      </c>
      <c r="BH8" s="322" t="e">
        <f>IF(AND($BC8=0,C8=Tab_sel!$P$7,$D8=Tab_sel!$O$24,$E8=Tab_sel!$B$35),1,"")</f>
        <v>#N/A</v>
      </c>
      <c r="BI8" s="343" t="e">
        <f>IF(AND($BC8=0,C8=Tab_sel!$P$7,$D8=Tab_sel!$O$24,$E8=Tab_sel!$B$36),1,"")</f>
        <v>#N/A</v>
      </c>
      <c r="BJ8" s="342" t="e">
        <f>IF(AND($BC8=0,$C8=Tab_sel!$P$7,$D8=Tab_sel!$O$24,$E8=Tab_sel!$N$31,$F8=Tab_sel!$B$40),1,"")</f>
        <v>#N/A</v>
      </c>
      <c r="BK8" s="322" t="e">
        <f>IF(AND($BC8=0,$C8=Tab_sel!$P$7,$D8=Tab_sel!$O$24,$E8=Tab_sel!$N$31,$F8=Tab_sel!$B$41),1,"")</f>
        <v>#N/A</v>
      </c>
      <c r="BL8" s="322" t="e">
        <f>IF(AND($BC8=0,$C8=Tab_sel!$P$7,$D8=Tab_sel!$O$24,$E8=Tab_sel!$N$31,$F8=Tab_sel!$B$42),1,"")</f>
        <v>#N/A</v>
      </c>
      <c r="BM8" s="322" t="e">
        <f>IF(AND($BC8=0,$C8=Tab_sel!$P$7,$D8=Tab_sel!$O$24,$E8=Tab_sel!$N$31,$F8=Tab_sel!$B$43),1,"")</f>
        <v>#N/A</v>
      </c>
      <c r="BN8" s="322" t="e">
        <f>IF(AND($BC8=0,$C8=Tab_sel!$P$7,$D8=Tab_sel!$O$24,$E8=Tab_sel!$N$31,$F8=Tab_sel!$B$44),1,"")</f>
        <v>#N/A</v>
      </c>
      <c r="BO8" s="343" t="e">
        <f>IF(AND($BC8=0,$C8=Tab_sel!$P$7,$D8=Tab_sel!$O$24,$E8=Tab_sel!$N$31,$F8=Tab_sel!$B$45),1,"")</f>
        <v>#N/A</v>
      </c>
      <c r="BP8" s="354" t="e">
        <f>IF(AND($BC8=0,$C8=Tab_sel!$P$7,$D8=Tab_sel!$O$24,$E8=Tab_sel!$N$31,$F8=Tab_sel!$N$40,$I8=Tab_sel!$B$61),1,"")</f>
        <v>#N/A</v>
      </c>
      <c r="BQ8" s="355" t="e">
        <f>IF(AND($BC8=0,$C8=Tab_sel!$P$7,$D8=Tab_sel!$O$24,$E8=Tab_sel!$N$31,$F8=Tab_sel!$N$40,$I8=Tab_sel!$B$62),1,"")</f>
        <v>#N/A</v>
      </c>
      <c r="BR8" s="355" t="e">
        <f>IF(AND($BC8=0,$C8=Tab_sel!$P$7,$D8=Tab_sel!$O$24,$E8=Tab_sel!$N$31,$F8=Tab_sel!$N$40,$I8=Tab_sel!$B$63),1,"")</f>
        <v>#N/A</v>
      </c>
      <c r="BS8" s="355" t="e">
        <f>IF(AND($BC8=0,$C8=Tab_sel!$P$7,$D8=Tab_sel!$O$24,$E8=Tab_sel!$N$31,$F8=Tab_sel!$N$40,$I8=Tab_sel!$B$64),1,"")</f>
        <v>#N/A</v>
      </c>
      <c r="BT8" s="356" t="e">
        <f>IF(AND($BC8=0,$C8=Tab_sel!$P$7,$D8=Tab_sel!$O$24,$E8=Tab_sel!$N$31,$F8=Tab_sel!$N$40,$I8=Tab_sel!$B$65),1,"")</f>
        <v>#N/A</v>
      </c>
      <c r="BU8" s="856" t="e">
        <f>IF(AND($BC8=0,$C8=Tab_sel!$P$7,$D8=Tab_sel!$O$24,$E8=Tab_sel!$N$31,$F8=Tab_sel!$N$40,$I8=Tab_sel!$P$61,$H8=Tab_sel!$B$77),1,"")</f>
        <v>#N/A</v>
      </c>
      <c r="BV8" s="883" t="e">
        <f>IF(AND($BC8=0,$C8=Tab_sel!$P$7,$D8=Tab_sel!$O$24,$E8=Tab_sel!$N$31,$F8=Tab_sel!$N$40,$I8=Tab_sel!$P$61,$H8=Tab_sel!$B$78),1,"")</f>
        <v>#N/A</v>
      </c>
      <c r="BW8" s="883" t="e">
        <f>IF(AND($BC8=0,$C8=Tab_sel!$P$7,$D8=Tab_sel!$O$24,$E8=Tab_sel!$N$31,$F8=Tab_sel!$N$40,$I8=Tab_sel!$P$61,$H8=Tab_sel!$B$79),1,"")</f>
        <v>#N/A</v>
      </c>
      <c r="BX8" s="883" t="e">
        <f>IF(AND($BC8=0,$C8=Tab_sel!$P$7,$D8=Tab_sel!$O$24,$E8=Tab_sel!$N$31,$F8=Tab_sel!$N$40,$I8=Tab_sel!$P$61,$H8=Tab_sel!$B$80),1,"")</f>
        <v>#N/A</v>
      </c>
      <c r="BY8" s="883" t="e">
        <f>IF(AND($BC8=0,$C8=Tab_sel!$P$7,$D8=Tab_sel!$O$24,$E8=Tab_sel!$N$31,$F8=Tab_sel!$N$40,$I8=Tab_sel!$P$61,$H8=Tab_sel!$B$81),1,"")</f>
        <v>#N/A</v>
      </c>
      <c r="BZ8" s="857" t="e">
        <f>IF(AND($BC8=0,$C8=Tab_sel!$P$7,$D8=Tab_sel!$O$24,$E8=Tab_sel!$N$31,$F8=Tab_sel!$N$40,$I8=Tab_sel!$P$61,$H8=Tab_sel!$B$82),1,"")</f>
        <v>#N/A</v>
      </c>
      <c r="CA8" s="359"/>
      <c r="CC8">
        <f t="shared" ref="CC8:CC61" si="13">IF(OR(AK8=1,AH8="",NOT(AB8="-")),0,1)</f>
        <v>0</v>
      </c>
      <c r="CD8" s="882">
        <f t="shared" ref="CD8:CD61" si="14">IF(OR(AK8=1,AB8="-",AH8=""),0,1)</f>
        <v>0</v>
      </c>
      <c r="CE8" s="882">
        <f t="shared" ref="CE8:CE61" si="15">IF(NOT(AK8=1),AB8)</f>
        <v>0</v>
      </c>
      <c r="CG8" t="s">
        <v>2609</v>
      </c>
      <c r="CJ8" t="s">
        <v>2611</v>
      </c>
    </row>
    <row r="9" spans="2:88" ht="29.25" customHeight="1" x14ac:dyDescent="0.25">
      <c r="B9" s="791" t="s">
        <v>2287</v>
      </c>
      <c r="C9" s="771" t="s">
        <v>75</v>
      </c>
      <c r="D9" s="772" t="s">
        <v>76</v>
      </c>
      <c r="E9" s="771" t="str">
        <f t="shared" si="1"/>
        <v xml:space="preserve">Fichier ou base de données </v>
      </c>
      <c r="F9" s="768" t="str">
        <f>Disp</f>
        <v>Disparition</v>
      </c>
      <c r="G9" s="909" t="s">
        <v>2562</v>
      </c>
      <c r="H9" s="850" t="s">
        <v>2288</v>
      </c>
      <c r="I9" s="771" t="s">
        <v>1197</v>
      </c>
      <c r="J9" s="769"/>
      <c r="K9" s="769" t="s">
        <v>1300</v>
      </c>
      <c r="L9" s="769"/>
      <c r="M9" s="788" t="s">
        <v>1259</v>
      </c>
      <c r="N9" s="815"/>
      <c r="O9" s="815"/>
      <c r="P9" s="816"/>
      <c r="Q9" s="817"/>
      <c r="R9" s="817"/>
      <c r="S9" s="818"/>
      <c r="T9" s="816"/>
      <c r="U9" s="816"/>
      <c r="V9" s="819"/>
      <c r="W9" s="815"/>
      <c r="X9" s="815"/>
      <c r="Y9" s="816"/>
      <c r="Z9" s="816"/>
      <c r="AA9" s="816"/>
      <c r="AB9" s="819"/>
      <c r="AC9" s="820"/>
      <c r="AD9" s="820"/>
      <c r="AE9" s="820"/>
      <c r="AF9" s="820"/>
      <c r="AG9" s="820"/>
      <c r="AH9" s="819"/>
      <c r="AI9" s="807" t="str">
        <f t="shared" si="2"/>
        <v/>
      </c>
      <c r="AJ9" s="819"/>
      <c r="AK9" s="359"/>
      <c r="AM9" t="str">
        <f t="shared" si="9"/>
        <v/>
      </c>
      <c r="AN9">
        <f t="shared" si="10"/>
        <v>0</v>
      </c>
      <c r="AV9" s="845"/>
      <c r="AW9" s="882">
        <f t="shared" si="11"/>
        <v>0</v>
      </c>
      <c r="AX9" s="882">
        <f t="shared" si="5"/>
        <v>1</v>
      </c>
      <c r="AY9" s="882">
        <f t="shared" si="6"/>
        <v>1</v>
      </c>
      <c r="AZ9" s="927">
        <f t="shared" si="7"/>
        <v>1</v>
      </c>
      <c r="BA9" s="882">
        <v>0</v>
      </c>
      <c r="BB9" s="925">
        <f t="shared" si="12"/>
        <v>0</v>
      </c>
      <c r="BC9" s="882">
        <f t="shared" si="8"/>
        <v>1</v>
      </c>
      <c r="BD9" s="342" t="e">
        <f>IF(AND($BC9=0,C9=Tab_sel!$P$7,$D9=Tab_sel!$O$24,$E9=Tab_sel!$B$31),1,"")</f>
        <v>#N/A</v>
      </c>
      <c r="BE9" s="322" t="e">
        <f>IF(AND($BC9=0,C9=Tab_sel!$P$7,$D9=Tab_sel!$O$24,$E9=Tab_sel!$B$32),1,"")</f>
        <v>#N/A</v>
      </c>
      <c r="BF9" s="322" t="e">
        <f>IF(AND($BC9=0,C9=Tab_sel!$P$7,$D9=Tab_sel!$O$24,$E9=Tab_sel!$B$33),1,"")</f>
        <v>#N/A</v>
      </c>
      <c r="BG9" s="322" t="e">
        <f>IF(AND($BC9=0,C9=Tab_sel!$P$7,$D9=Tab_sel!$O$24,$E9=Tab_sel!$B$34),1,"")</f>
        <v>#N/A</v>
      </c>
      <c r="BH9" s="322" t="e">
        <f>IF(AND($BC9=0,C9=Tab_sel!$P$7,$D9=Tab_sel!$O$24,$E9=Tab_sel!$B$35),1,"")</f>
        <v>#N/A</v>
      </c>
      <c r="BI9" s="343" t="e">
        <f>IF(AND($BC9=0,C9=Tab_sel!$P$7,$D9=Tab_sel!$O$24,$E9=Tab_sel!$B$36),1,"")</f>
        <v>#N/A</v>
      </c>
      <c r="BJ9" s="342" t="e">
        <f>IF(AND($BC9=0,$C9=Tab_sel!$P$7,$D9=Tab_sel!$O$24,$E9=Tab_sel!$N$31,$F9=Tab_sel!$B$40),1,"")</f>
        <v>#N/A</v>
      </c>
      <c r="BK9" s="322" t="e">
        <f>IF(AND($BC9=0,$C9=Tab_sel!$P$7,$D9=Tab_sel!$O$24,$E9=Tab_sel!$N$31,$F9=Tab_sel!$B$41),1,"")</f>
        <v>#N/A</v>
      </c>
      <c r="BL9" s="322" t="e">
        <f>IF(AND($BC9=0,$C9=Tab_sel!$P$7,$D9=Tab_sel!$O$24,$E9=Tab_sel!$N$31,$F9=Tab_sel!$B$42),1,"")</f>
        <v>#N/A</v>
      </c>
      <c r="BM9" s="322" t="e">
        <f>IF(AND($BC9=0,$C9=Tab_sel!$P$7,$D9=Tab_sel!$O$24,$E9=Tab_sel!$N$31,$F9=Tab_sel!$B$43),1,"")</f>
        <v>#N/A</v>
      </c>
      <c r="BN9" s="322" t="e">
        <f>IF(AND($BC9=0,$C9=Tab_sel!$P$7,$D9=Tab_sel!$O$24,$E9=Tab_sel!$N$31,$F9=Tab_sel!$B$44),1,"")</f>
        <v>#N/A</v>
      </c>
      <c r="BO9" s="343" t="e">
        <f>IF(AND($BC9=0,$C9=Tab_sel!$P$7,$D9=Tab_sel!$O$24,$E9=Tab_sel!$N$31,$F9=Tab_sel!$B$45),1,"")</f>
        <v>#N/A</v>
      </c>
      <c r="BP9" s="354" t="e">
        <f>IF(AND($BC9=0,$C9=Tab_sel!$P$7,$D9=Tab_sel!$O$24,$E9=Tab_sel!$N$31,$F9=Tab_sel!$N$40,$I9=Tab_sel!$B$61),1,"")</f>
        <v>#N/A</v>
      </c>
      <c r="BQ9" s="355" t="e">
        <f>IF(AND($BC9=0,$C9=Tab_sel!$P$7,$D9=Tab_sel!$O$24,$E9=Tab_sel!$N$31,$F9=Tab_sel!$N$40,$I9=Tab_sel!$B$62),1,"")</f>
        <v>#N/A</v>
      </c>
      <c r="BR9" s="355" t="e">
        <f>IF(AND($BC9=0,$C9=Tab_sel!$P$7,$D9=Tab_sel!$O$24,$E9=Tab_sel!$N$31,$F9=Tab_sel!$N$40,$I9=Tab_sel!$B$63),1,"")</f>
        <v>#N/A</v>
      </c>
      <c r="BS9" s="355" t="e">
        <f>IF(AND($BC9=0,$C9=Tab_sel!$P$7,$D9=Tab_sel!$O$24,$E9=Tab_sel!$N$31,$F9=Tab_sel!$N$40,$I9=Tab_sel!$B$64),1,"")</f>
        <v>#N/A</v>
      </c>
      <c r="BT9" s="356" t="e">
        <f>IF(AND($BC9=0,$C9=Tab_sel!$P$7,$D9=Tab_sel!$O$24,$E9=Tab_sel!$N$31,$F9=Tab_sel!$N$40,$I9=Tab_sel!$B$65),1,"")</f>
        <v>#N/A</v>
      </c>
      <c r="BU9" s="856" t="e">
        <f>IF(AND($BC9=0,$C9=Tab_sel!$P$7,$D9=Tab_sel!$O$24,$E9=Tab_sel!$N$31,$F9=Tab_sel!$N$40,$I9=Tab_sel!$P$61,$H9=Tab_sel!$B$77),1,"")</f>
        <v>#N/A</v>
      </c>
      <c r="BV9" s="883" t="e">
        <f>IF(AND($BC9=0,$C9=Tab_sel!$P$7,$D9=Tab_sel!$O$24,$E9=Tab_sel!$N$31,$F9=Tab_sel!$N$40,$I9=Tab_sel!$P$61,$H9=Tab_sel!$B$78),1,"")</f>
        <v>#N/A</v>
      </c>
      <c r="BW9" s="883" t="e">
        <f>IF(AND($BC9=0,$C9=Tab_sel!$P$7,$D9=Tab_sel!$O$24,$E9=Tab_sel!$N$31,$F9=Tab_sel!$N$40,$I9=Tab_sel!$P$61,$H9=Tab_sel!$B$79),1,"")</f>
        <v>#N/A</v>
      </c>
      <c r="BX9" s="883" t="e">
        <f>IF(AND($BC9=0,$C9=Tab_sel!$P$7,$D9=Tab_sel!$O$24,$E9=Tab_sel!$N$31,$F9=Tab_sel!$N$40,$I9=Tab_sel!$P$61,$H9=Tab_sel!$B$80),1,"")</f>
        <v>#N/A</v>
      </c>
      <c r="BY9" s="883" t="e">
        <f>IF(AND($BC9=0,$C9=Tab_sel!$P$7,$D9=Tab_sel!$O$24,$E9=Tab_sel!$N$31,$F9=Tab_sel!$N$40,$I9=Tab_sel!$P$61,$H9=Tab_sel!$B$81),1,"")</f>
        <v>#N/A</v>
      </c>
      <c r="BZ9" s="857" t="e">
        <f>IF(AND($BC9=0,$C9=Tab_sel!$P$7,$D9=Tab_sel!$O$24,$E9=Tab_sel!$N$31,$F9=Tab_sel!$N$40,$I9=Tab_sel!$P$61,$H9=Tab_sel!$B$82),1,"")</f>
        <v>#N/A</v>
      </c>
      <c r="CA9" s="359"/>
      <c r="CC9">
        <f t="shared" si="13"/>
        <v>0</v>
      </c>
      <c r="CD9" s="882">
        <f t="shared" si="14"/>
        <v>0</v>
      </c>
      <c r="CE9" s="882">
        <f t="shared" si="15"/>
        <v>0</v>
      </c>
      <c r="CH9" t="s">
        <v>2610</v>
      </c>
      <c r="CJ9" t="s">
        <v>2611</v>
      </c>
    </row>
    <row r="10" spans="2:88" ht="29.25" customHeight="1" x14ac:dyDescent="0.25">
      <c r="B10" s="791" t="s">
        <v>1949</v>
      </c>
      <c r="C10" s="771" t="s">
        <v>75</v>
      </c>
      <c r="D10" s="772" t="s">
        <v>76</v>
      </c>
      <c r="E10" s="771" t="str">
        <f t="shared" si="1"/>
        <v xml:space="preserve">Fichier ou base de données </v>
      </c>
      <c r="F10" s="768" t="str">
        <f>Disp</f>
        <v>Disparition</v>
      </c>
      <c r="G10" s="768" t="s">
        <v>2563</v>
      </c>
      <c r="H10" s="768" t="s">
        <v>2328</v>
      </c>
      <c r="I10" s="771" t="s">
        <v>1171</v>
      </c>
      <c r="J10" s="769"/>
      <c r="K10" s="769"/>
      <c r="L10" s="769"/>
      <c r="M10" s="788"/>
      <c r="N10" s="767"/>
      <c r="O10" s="767"/>
      <c r="P10" s="772"/>
      <c r="Q10" s="803"/>
      <c r="R10" s="803"/>
      <c r="S10" s="804"/>
      <c r="T10" s="772"/>
      <c r="U10" s="772"/>
      <c r="V10" s="805"/>
      <c r="W10" s="767"/>
      <c r="X10" s="767"/>
      <c r="Y10" s="772"/>
      <c r="Z10" s="772"/>
      <c r="AA10" s="772"/>
      <c r="AB10" s="805"/>
      <c r="AC10" s="806"/>
      <c r="AD10" s="806"/>
      <c r="AE10" s="806"/>
      <c r="AF10" s="806"/>
      <c r="AG10" s="806"/>
      <c r="AH10" s="805"/>
      <c r="AI10" s="807" t="str">
        <f t="shared" si="2"/>
        <v/>
      </c>
      <c r="AJ10" s="805"/>
      <c r="AK10" s="359"/>
      <c r="AM10" t="str">
        <f t="shared" si="9"/>
        <v/>
      </c>
      <c r="AN10">
        <f t="shared" si="10"/>
        <v>0</v>
      </c>
      <c r="AW10" s="882">
        <f t="shared" si="11"/>
        <v>0</v>
      </c>
      <c r="AX10" s="882">
        <f t="shared" si="5"/>
        <v>1</v>
      </c>
      <c r="AY10" s="882">
        <f t="shared" si="6"/>
        <v>1</v>
      </c>
      <c r="AZ10" s="927">
        <f t="shared" si="7"/>
        <v>1</v>
      </c>
      <c r="BA10" s="882">
        <v>1</v>
      </c>
      <c r="BB10" s="925">
        <f t="shared" si="12"/>
        <v>0</v>
      </c>
      <c r="BC10" s="882">
        <f t="shared" si="8"/>
        <v>1</v>
      </c>
      <c r="BD10" s="342" t="e">
        <f>IF(AND($BC10=0,C10=Tab_sel!$P$7,$D10=Tab_sel!$O$24,$E10=Tab_sel!$B$31),1,"")</f>
        <v>#N/A</v>
      </c>
      <c r="BE10" s="322" t="e">
        <f>IF(AND($BC10=0,C10=Tab_sel!$P$7,$D10=Tab_sel!$O$24,$E10=Tab_sel!$B$32),1,"")</f>
        <v>#N/A</v>
      </c>
      <c r="BF10" s="322" t="e">
        <f>IF(AND($BC10=0,C10=Tab_sel!$P$7,$D10=Tab_sel!$O$24,$E10=Tab_sel!$B$33),1,"")</f>
        <v>#N/A</v>
      </c>
      <c r="BG10" s="322" t="e">
        <f>IF(AND($BC10=0,C10=Tab_sel!$P$7,$D10=Tab_sel!$O$24,$E10=Tab_sel!$B$34),1,"")</f>
        <v>#N/A</v>
      </c>
      <c r="BH10" s="322" t="e">
        <f>IF(AND($BC10=0,C10=Tab_sel!$P$7,$D10=Tab_sel!$O$24,$E10=Tab_sel!$B$35),1,"")</f>
        <v>#N/A</v>
      </c>
      <c r="BI10" s="343" t="e">
        <f>IF(AND($BC10=0,C10=Tab_sel!$P$7,$D10=Tab_sel!$O$24,$E10=Tab_sel!$B$36),1,"")</f>
        <v>#N/A</v>
      </c>
      <c r="BJ10" s="342" t="e">
        <f>IF(AND($BC10=0,$C10=Tab_sel!$P$7,$D10=Tab_sel!$O$24,$E10=Tab_sel!$N$31,$F10=Tab_sel!$B$40),1,"")</f>
        <v>#N/A</v>
      </c>
      <c r="BK10" s="322" t="e">
        <f>IF(AND($BC10=0,$C10=Tab_sel!$P$7,$D10=Tab_sel!$O$24,$E10=Tab_sel!$N$31,$F10=Tab_sel!$B$41),1,"")</f>
        <v>#N/A</v>
      </c>
      <c r="BL10" s="322" t="e">
        <f>IF(AND($BC10=0,$C10=Tab_sel!$P$7,$D10=Tab_sel!$O$24,$E10=Tab_sel!$N$31,$F10=Tab_sel!$B$42),1,"")</f>
        <v>#N/A</v>
      </c>
      <c r="BM10" s="322" t="e">
        <f>IF(AND($BC10=0,$C10=Tab_sel!$P$7,$D10=Tab_sel!$O$24,$E10=Tab_sel!$N$31,$F10=Tab_sel!$B$43),1,"")</f>
        <v>#N/A</v>
      </c>
      <c r="BN10" s="322" t="e">
        <f>IF(AND($BC10=0,$C10=Tab_sel!$P$7,$D10=Tab_sel!$O$24,$E10=Tab_sel!$N$31,$F10=Tab_sel!$B$44),1,"")</f>
        <v>#N/A</v>
      </c>
      <c r="BO10" s="343" t="e">
        <f>IF(AND($BC10=0,$C10=Tab_sel!$P$7,$D10=Tab_sel!$O$24,$E10=Tab_sel!$N$31,$F10=Tab_sel!$B$45),1,"")</f>
        <v>#N/A</v>
      </c>
      <c r="BP10" s="354" t="e">
        <f>IF(AND($BC10=0,$C10=Tab_sel!$P$7,$D10=Tab_sel!$O$24,$E10=Tab_sel!$N$31,$F10=Tab_sel!$N$40,$I10=Tab_sel!$B$61),1,"")</f>
        <v>#N/A</v>
      </c>
      <c r="BQ10" s="355" t="e">
        <f>IF(AND($BC10=0,$C10=Tab_sel!$P$7,$D10=Tab_sel!$O$24,$E10=Tab_sel!$N$31,$F10=Tab_sel!$N$40,$I10=Tab_sel!$B$62),1,"")</f>
        <v>#N/A</v>
      </c>
      <c r="BR10" s="355" t="e">
        <f>IF(AND($BC10=0,$C10=Tab_sel!$P$7,$D10=Tab_sel!$O$24,$E10=Tab_sel!$N$31,$F10=Tab_sel!$N$40,$I10=Tab_sel!$B$63),1,"")</f>
        <v>#N/A</v>
      </c>
      <c r="BS10" s="355" t="e">
        <f>IF(AND($BC10=0,$C10=Tab_sel!$P$7,$D10=Tab_sel!$O$24,$E10=Tab_sel!$N$31,$F10=Tab_sel!$N$40,$I10=Tab_sel!$B$64),1,"")</f>
        <v>#N/A</v>
      </c>
      <c r="BT10" s="356" t="e">
        <f>IF(AND($BC10=0,$C10=Tab_sel!$P$7,$D10=Tab_sel!$O$24,$E10=Tab_sel!$N$31,$F10=Tab_sel!$N$40,$I10=Tab_sel!$B$65),1,"")</f>
        <v>#N/A</v>
      </c>
      <c r="BU10" s="856" t="e">
        <f>IF(AND($BC10=0,$C10=Tab_sel!$P$7,$D10=Tab_sel!$O$24,$E10=Tab_sel!$N$31,$F10=Tab_sel!$N$40,$I10=Tab_sel!$P$61,$H10=Tab_sel!$B$77),1,"")</f>
        <v>#N/A</v>
      </c>
      <c r="BV10" s="883" t="e">
        <f>IF(AND($BC10=0,$C10=Tab_sel!$P$7,$D10=Tab_sel!$O$24,$E10=Tab_sel!$N$31,$F10=Tab_sel!$N$40,$I10=Tab_sel!$P$61,$H10=Tab_sel!$B$78),1,"")</f>
        <v>#N/A</v>
      </c>
      <c r="BW10" s="883" t="e">
        <f>IF(AND($BC10=0,$C10=Tab_sel!$P$7,$D10=Tab_sel!$O$24,$E10=Tab_sel!$N$31,$F10=Tab_sel!$N$40,$I10=Tab_sel!$P$61,$H10=Tab_sel!$B$79),1,"")</f>
        <v>#N/A</v>
      </c>
      <c r="BX10" s="883" t="e">
        <f>IF(AND($BC10=0,$C10=Tab_sel!$P$7,$D10=Tab_sel!$O$24,$E10=Tab_sel!$N$31,$F10=Tab_sel!$N$40,$I10=Tab_sel!$P$61,$H10=Tab_sel!$B$80),1,"")</f>
        <v>#N/A</v>
      </c>
      <c r="BY10" s="883" t="e">
        <f>IF(AND($BC10=0,$C10=Tab_sel!$P$7,$D10=Tab_sel!$O$24,$E10=Tab_sel!$N$31,$F10=Tab_sel!$N$40,$I10=Tab_sel!$P$61,$H10=Tab_sel!$B$81),1,"")</f>
        <v>#N/A</v>
      </c>
      <c r="BZ10" s="857" t="e">
        <f>IF(AND($BC10=0,$C10=Tab_sel!$P$7,$D10=Tab_sel!$O$24,$E10=Tab_sel!$N$31,$F10=Tab_sel!$N$40,$I10=Tab_sel!$P$61,$H10=Tab_sel!$B$82),1,"")</f>
        <v>#N/A</v>
      </c>
      <c r="CA10" s="359"/>
      <c r="CC10">
        <f t="shared" si="13"/>
        <v>0</v>
      </c>
      <c r="CD10" s="882">
        <f t="shared" si="14"/>
        <v>0</v>
      </c>
      <c r="CE10" s="882">
        <f t="shared" si="15"/>
        <v>0</v>
      </c>
      <c r="CJ10" t="s">
        <v>2611</v>
      </c>
    </row>
    <row r="11" spans="2:88" ht="29.25" customHeight="1" x14ac:dyDescent="0.25">
      <c r="B11" s="791" t="s">
        <v>1950</v>
      </c>
      <c r="C11" s="771" t="s">
        <v>75</v>
      </c>
      <c r="D11" s="772" t="s">
        <v>76</v>
      </c>
      <c r="E11" s="771" t="str">
        <f t="shared" si="1"/>
        <v xml:space="preserve">Fichier ou base de données </v>
      </c>
      <c r="F11" s="768" t="str">
        <f>Disp</f>
        <v>Disparition</v>
      </c>
      <c r="G11" s="771" t="s">
        <v>2256</v>
      </c>
      <c r="H11" s="771" t="s">
        <v>2328</v>
      </c>
      <c r="I11" s="771" t="s">
        <v>1201</v>
      </c>
      <c r="J11" s="769" t="s">
        <v>2537</v>
      </c>
      <c r="K11" s="770"/>
      <c r="L11" s="769"/>
      <c r="M11" s="788"/>
      <c r="N11" s="767"/>
      <c r="O11" s="767"/>
      <c r="P11" s="772"/>
      <c r="Q11" s="803"/>
      <c r="R11" s="803"/>
      <c r="S11" s="804"/>
      <c r="T11" s="772"/>
      <c r="U11" s="772"/>
      <c r="V11" s="805"/>
      <c r="W11" s="767"/>
      <c r="X11" s="767"/>
      <c r="Y11" s="772"/>
      <c r="Z11" s="772"/>
      <c r="AA11" s="772"/>
      <c r="AB11" s="805"/>
      <c r="AC11" s="806"/>
      <c r="AD11" s="806"/>
      <c r="AE11" s="806"/>
      <c r="AF11" s="806"/>
      <c r="AG11" s="806"/>
      <c r="AH11" s="805"/>
      <c r="AI11" s="807" t="str">
        <f t="shared" si="2"/>
        <v/>
      </c>
      <c r="AJ11" s="805"/>
      <c r="AK11" s="359"/>
      <c r="AM11" t="str">
        <f t="shared" si="9"/>
        <v/>
      </c>
      <c r="AN11">
        <f t="shared" si="10"/>
        <v>0</v>
      </c>
      <c r="AW11" s="882">
        <f t="shared" si="11"/>
        <v>0</v>
      </c>
      <c r="AX11" s="882">
        <f t="shared" si="5"/>
        <v>1</v>
      </c>
      <c r="AY11" s="882">
        <f t="shared" si="6"/>
        <v>1</v>
      </c>
      <c r="AZ11" s="927">
        <f t="shared" si="7"/>
        <v>1</v>
      </c>
      <c r="BA11" s="882">
        <v>1</v>
      </c>
      <c r="BB11" s="925">
        <f t="shared" si="12"/>
        <v>0</v>
      </c>
      <c r="BC11" s="882">
        <f t="shared" si="8"/>
        <v>1</v>
      </c>
      <c r="BD11" s="342" t="e">
        <f>IF(AND($BC11=0,C11=Tab_sel!$P$7,$D11=Tab_sel!$O$24,$E11=Tab_sel!$B$31),1,"")</f>
        <v>#N/A</v>
      </c>
      <c r="BE11" s="322" t="e">
        <f>IF(AND($BC11=0,C11=Tab_sel!$P$7,$D11=Tab_sel!$O$24,$E11=Tab_sel!$B$32),1,"")</f>
        <v>#N/A</v>
      </c>
      <c r="BF11" s="322" t="e">
        <f>IF(AND($BC11=0,C11=Tab_sel!$P$7,$D11=Tab_sel!$O$24,$E11=Tab_sel!$B$33),1,"")</f>
        <v>#N/A</v>
      </c>
      <c r="BG11" s="322" t="e">
        <f>IF(AND($BC11=0,C11=Tab_sel!$P$7,$D11=Tab_sel!$O$24,$E11=Tab_sel!$B$34),1,"")</f>
        <v>#N/A</v>
      </c>
      <c r="BH11" s="322" t="e">
        <f>IF(AND($BC11=0,C11=Tab_sel!$P$7,$D11=Tab_sel!$O$24,$E11=Tab_sel!$B$35),1,"")</f>
        <v>#N/A</v>
      </c>
      <c r="BI11" s="343" t="e">
        <f>IF(AND($BC11=0,C11=Tab_sel!$P$7,$D11=Tab_sel!$O$24,$E11=Tab_sel!$B$36),1,"")</f>
        <v>#N/A</v>
      </c>
      <c r="BJ11" s="342" t="e">
        <f>IF(AND($BC11=0,$C11=Tab_sel!$P$7,$D11=Tab_sel!$O$24,$E11=Tab_sel!$N$31,$F11=Tab_sel!$B$40),1,"")</f>
        <v>#N/A</v>
      </c>
      <c r="BK11" s="322" t="e">
        <f>IF(AND($BC11=0,$C11=Tab_sel!$P$7,$D11=Tab_sel!$O$24,$E11=Tab_sel!$N$31,$F11=Tab_sel!$B$41),1,"")</f>
        <v>#N/A</v>
      </c>
      <c r="BL11" s="322" t="e">
        <f>IF(AND($BC11=0,$C11=Tab_sel!$P$7,$D11=Tab_sel!$O$24,$E11=Tab_sel!$N$31,$F11=Tab_sel!$B$42),1,"")</f>
        <v>#N/A</v>
      </c>
      <c r="BM11" s="322" t="e">
        <f>IF(AND($BC11=0,$C11=Tab_sel!$P$7,$D11=Tab_sel!$O$24,$E11=Tab_sel!$N$31,$F11=Tab_sel!$B$43),1,"")</f>
        <v>#N/A</v>
      </c>
      <c r="BN11" s="322" t="e">
        <f>IF(AND($BC11=0,$C11=Tab_sel!$P$7,$D11=Tab_sel!$O$24,$E11=Tab_sel!$N$31,$F11=Tab_sel!$B$44),1,"")</f>
        <v>#N/A</v>
      </c>
      <c r="BO11" s="343" t="e">
        <f>IF(AND($BC11=0,$C11=Tab_sel!$P$7,$D11=Tab_sel!$O$24,$E11=Tab_sel!$N$31,$F11=Tab_sel!$B$45),1,"")</f>
        <v>#N/A</v>
      </c>
      <c r="BP11" s="354" t="e">
        <f>IF(AND($BC11=0,$C11=Tab_sel!$P$7,$D11=Tab_sel!$O$24,$E11=Tab_sel!$N$31,$F11=Tab_sel!$N$40,$I11=Tab_sel!$B$61),1,"")</f>
        <v>#N/A</v>
      </c>
      <c r="BQ11" s="355" t="e">
        <f>IF(AND($BC11=0,$C11=Tab_sel!$P$7,$D11=Tab_sel!$O$24,$E11=Tab_sel!$N$31,$F11=Tab_sel!$N$40,$I11=Tab_sel!$B$62),1,"")</f>
        <v>#N/A</v>
      </c>
      <c r="BR11" s="355" t="e">
        <f>IF(AND($BC11=0,$C11=Tab_sel!$P$7,$D11=Tab_sel!$O$24,$E11=Tab_sel!$N$31,$F11=Tab_sel!$N$40,$I11=Tab_sel!$B$63),1,"")</f>
        <v>#N/A</v>
      </c>
      <c r="BS11" s="355" t="e">
        <f>IF(AND($BC11=0,$C11=Tab_sel!$P$7,$D11=Tab_sel!$O$24,$E11=Tab_sel!$N$31,$F11=Tab_sel!$N$40,$I11=Tab_sel!$B$64),1,"")</f>
        <v>#N/A</v>
      </c>
      <c r="BT11" s="356" t="e">
        <f>IF(AND($BC11=0,$C11=Tab_sel!$P$7,$D11=Tab_sel!$O$24,$E11=Tab_sel!$N$31,$F11=Tab_sel!$N$40,$I11=Tab_sel!$B$65),1,"")</f>
        <v>#N/A</v>
      </c>
      <c r="BU11" s="856" t="e">
        <f>IF(AND($BC11=0,$C11=Tab_sel!$P$7,$D11=Tab_sel!$O$24,$E11=Tab_sel!$N$31,$F11=Tab_sel!$N$40,$I11=Tab_sel!$P$61,$H11=Tab_sel!$B$77),1,"")</f>
        <v>#N/A</v>
      </c>
      <c r="BV11" s="883" t="e">
        <f>IF(AND($BC11=0,$C11=Tab_sel!$P$7,$D11=Tab_sel!$O$24,$E11=Tab_sel!$N$31,$F11=Tab_sel!$N$40,$I11=Tab_sel!$P$61,$H11=Tab_sel!$B$78),1,"")</f>
        <v>#N/A</v>
      </c>
      <c r="BW11" s="883" t="e">
        <f>IF(AND($BC11=0,$C11=Tab_sel!$P$7,$D11=Tab_sel!$O$24,$E11=Tab_sel!$N$31,$F11=Tab_sel!$N$40,$I11=Tab_sel!$P$61,$H11=Tab_sel!$B$79),1,"")</f>
        <v>#N/A</v>
      </c>
      <c r="BX11" s="883" t="e">
        <f>IF(AND($BC11=0,$C11=Tab_sel!$P$7,$D11=Tab_sel!$O$24,$E11=Tab_sel!$N$31,$F11=Tab_sel!$N$40,$I11=Tab_sel!$P$61,$H11=Tab_sel!$B$80),1,"")</f>
        <v>#N/A</v>
      </c>
      <c r="BY11" s="883" t="e">
        <f>IF(AND($BC11=0,$C11=Tab_sel!$P$7,$D11=Tab_sel!$O$24,$E11=Tab_sel!$N$31,$F11=Tab_sel!$N$40,$I11=Tab_sel!$P$61,$H11=Tab_sel!$B$81),1,"")</f>
        <v>#N/A</v>
      </c>
      <c r="BZ11" s="857" t="e">
        <f>IF(AND($BC11=0,$C11=Tab_sel!$P$7,$D11=Tab_sel!$O$24,$E11=Tab_sel!$N$31,$F11=Tab_sel!$N$40,$I11=Tab_sel!$P$61,$H11=Tab_sel!$B$82),1,"")</f>
        <v>#N/A</v>
      </c>
      <c r="CA11" s="359"/>
      <c r="CC11">
        <f t="shared" si="13"/>
        <v>0</v>
      </c>
      <c r="CD11" s="882">
        <f t="shared" si="14"/>
        <v>0</v>
      </c>
      <c r="CE11" s="882">
        <f t="shared" si="15"/>
        <v>0</v>
      </c>
      <c r="CG11" t="s">
        <v>2609</v>
      </c>
    </row>
    <row r="12" spans="2:88" ht="39.75" customHeight="1" x14ac:dyDescent="0.25">
      <c r="B12" s="791" t="s">
        <v>1951</v>
      </c>
      <c r="C12" s="771" t="s">
        <v>75</v>
      </c>
      <c r="D12" s="772" t="s">
        <v>76</v>
      </c>
      <c r="E12" s="771" t="str">
        <f t="shared" si="1"/>
        <v xml:space="preserve">Fichier ou base de données </v>
      </c>
      <c r="F12" s="768" t="str">
        <f>Inex</f>
        <v>Inexploitabilité</v>
      </c>
      <c r="G12" s="769" t="s">
        <v>1371</v>
      </c>
      <c r="H12" s="769" t="s">
        <v>2328</v>
      </c>
      <c r="I12" s="771" t="s">
        <v>1197</v>
      </c>
      <c r="J12" s="769"/>
      <c r="K12" s="769" t="s">
        <v>2027</v>
      </c>
      <c r="L12" s="769"/>
      <c r="M12" s="788"/>
      <c r="N12" s="767"/>
      <c r="O12" s="767"/>
      <c r="P12" s="772"/>
      <c r="Q12" s="803"/>
      <c r="R12" s="803"/>
      <c r="S12" s="804"/>
      <c r="T12" s="772"/>
      <c r="U12" s="772"/>
      <c r="V12" s="805"/>
      <c r="W12" s="767"/>
      <c r="X12" s="767"/>
      <c r="Y12" s="772"/>
      <c r="Z12" s="772"/>
      <c r="AA12" s="772"/>
      <c r="AB12" s="805"/>
      <c r="AC12" s="806"/>
      <c r="AD12" s="806"/>
      <c r="AE12" s="806"/>
      <c r="AF12" s="806"/>
      <c r="AG12" s="806"/>
      <c r="AH12" s="805"/>
      <c r="AI12" s="807" t="str">
        <f t="shared" si="2"/>
        <v/>
      </c>
      <c r="AJ12" s="805"/>
      <c r="AK12" s="359"/>
      <c r="AM12" t="str">
        <f t="shared" si="9"/>
        <v/>
      </c>
      <c r="AN12">
        <f t="shared" si="10"/>
        <v>0</v>
      </c>
      <c r="AW12" s="882">
        <f t="shared" si="11"/>
        <v>0</v>
      </c>
      <c r="AX12" s="882">
        <f t="shared" si="5"/>
        <v>1</v>
      </c>
      <c r="AY12" s="882">
        <f t="shared" si="6"/>
        <v>1</v>
      </c>
      <c r="AZ12" s="927">
        <f t="shared" si="7"/>
        <v>1</v>
      </c>
      <c r="BA12" s="882">
        <v>1</v>
      </c>
      <c r="BB12" s="925">
        <f t="shared" si="12"/>
        <v>0</v>
      </c>
      <c r="BC12" s="882">
        <f t="shared" si="8"/>
        <v>1</v>
      </c>
      <c r="BD12" s="342" t="e">
        <f>IF(AND($BC12=0,C12=Tab_sel!$P$7,$D12=Tab_sel!$O$24,$E12=Tab_sel!$B$31),1,"")</f>
        <v>#N/A</v>
      </c>
      <c r="BE12" s="322" t="e">
        <f>IF(AND($BC12=0,C12=Tab_sel!$P$7,$D12=Tab_sel!$O$24,$E12=Tab_sel!$B$32),1,"")</f>
        <v>#N/A</v>
      </c>
      <c r="BF12" s="322" t="e">
        <f>IF(AND($BC12=0,C12=Tab_sel!$P$7,$D12=Tab_sel!$O$24,$E12=Tab_sel!$B$33),1,"")</f>
        <v>#N/A</v>
      </c>
      <c r="BG12" s="322" t="e">
        <f>IF(AND($BC12=0,C12=Tab_sel!$P$7,$D12=Tab_sel!$O$24,$E12=Tab_sel!$B$34),1,"")</f>
        <v>#N/A</v>
      </c>
      <c r="BH12" s="322" t="e">
        <f>IF(AND($BC12=0,C12=Tab_sel!$P$7,$D12=Tab_sel!$O$24,$E12=Tab_sel!$B$35),1,"")</f>
        <v>#N/A</v>
      </c>
      <c r="BI12" s="343" t="e">
        <f>IF(AND($BC12=0,C12=Tab_sel!$P$7,$D12=Tab_sel!$O$24,$E12=Tab_sel!$B$36),1,"")</f>
        <v>#N/A</v>
      </c>
      <c r="BJ12" s="342" t="e">
        <f>IF(AND($BC12=0,$C12=Tab_sel!$P$7,$D12=Tab_sel!$O$24,$E12=Tab_sel!$N$31,$F12=Tab_sel!$B$40),1,"")</f>
        <v>#N/A</v>
      </c>
      <c r="BK12" s="322" t="e">
        <f>IF(AND($BC12=0,$C12=Tab_sel!$P$7,$D12=Tab_sel!$O$24,$E12=Tab_sel!$N$31,$F12=Tab_sel!$B$41),1,"")</f>
        <v>#N/A</v>
      </c>
      <c r="BL12" s="322" t="e">
        <f>IF(AND($BC12=0,$C12=Tab_sel!$P$7,$D12=Tab_sel!$O$24,$E12=Tab_sel!$N$31,$F12=Tab_sel!$B$42),1,"")</f>
        <v>#N/A</v>
      </c>
      <c r="BM12" s="322" t="e">
        <f>IF(AND($BC12=0,$C12=Tab_sel!$P$7,$D12=Tab_sel!$O$24,$E12=Tab_sel!$N$31,$F12=Tab_sel!$B$43),1,"")</f>
        <v>#N/A</v>
      </c>
      <c r="BN12" s="322" t="e">
        <f>IF(AND($BC12=0,$C12=Tab_sel!$P$7,$D12=Tab_sel!$O$24,$E12=Tab_sel!$N$31,$F12=Tab_sel!$B$44),1,"")</f>
        <v>#N/A</v>
      </c>
      <c r="BO12" s="343" t="e">
        <f>IF(AND($BC12=0,$C12=Tab_sel!$P$7,$D12=Tab_sel!$O$24,$E12=Tab_sel!$N$31,$F12=Tab_sel!$B$45),1,"")</f>
        <v>#N/A</v>
      </c>
      <c r="BP12" s="354" t="e">
        <f>IF(AND($BC12=0,$C12=Tab_sel!$P$7,$D12=Tab_sel!$O$24,$E12=Tab_sel!$N$31,$F12=Tab_sel!$N$40,$I12=Tab_sel!$B$61),1,"")</f>
        <v>#N/A</v>
      </c>
      <c r="BQ12" s="355" t="e">
        <f>IF(AND($BC12=0,$C12=Tab_sel!$P$7,$D12=Tab_sel!$O$24,$E12=Tab_sel!$N$31,$F12=Tab_sel!$N$40,$I12=Tab_sel!$B$62),1,"")</f>
        <v>#N/A</v>
      </c>
      <c r="BR12" s="355" t="e">
        <f>IF(AND($BC12=0,$C12=Tab_sel!$P$7,$D12=Tab_sel!$O$24,$E12=Tab_sel!$N$31,$F12=Tab_sel!$N$40,$I12=Tab_sel!$B$63),1,"")</f>
        <v>#N/A</v>
      </c>
      <c r="BS12" s="355" t="e">
        <f>IF(AND($BC12=0,$C12=Tab_sel!$P$7,$D12=Tab_sel!$O$24,$E12=Tab_sel!$N$31,$F12=Tab_sel!$N$40,$I12=Tab_sel!$B$64),1,"")</f>
        <v>#N/A</v>
      </c>
      <c r="BT12" s="356" t="e">
        <f>IF(AND($BC12=0,$C12=Tab_sel!$P$7,$D12=Tab_sel!$O$24,$E12=Tab_sel!$N$31,$F12=Tab_sel!$N$40,$I12=Tab_sel!$B$65),1,"")</f>
        <v>#N/A</v>
      </c>
      <c r="BU12" s="856" t="e">
        <f>IF(AND($BC12=0,$C12=Tab_sel!$P$7,$D12=Tab_sel!$O$24,$E12=Tab_sel!$N$31,$F12=Tab_sel!$N$40,$I12=Tab_sel!$P$61,$H12=Tab_sel!$B$77),1,"")</f>
        <v>#N/A</v>
      </c>
      <c r="BV12" s="883" t="e">
        <f>IF(AND($BC12=0,$C12=Tab_sel!$P$7,$D12=Tab_sel!$O$24,$E12=Tab_sel!$N$31,$F12=Tab_sel!$N$40,$I12=Tab_sel!$P$61,$H12=Tab_sel!$B$78),1,"")</f>
        <v>#N/A</v>
      </c>
      <c r="BW12" s="883" t="e">
        <f>IF(AND($BC12=0,$C12=Tab_sel!$P$7,$D12=Tab_sel!$O$24,$E12=Tab_sel!$N$31,$F12=Tab_sel!$N$40,$I12=Tab_sel!$P$61,$H12=Tab_sel!$B$79),1,"")</f>
        <v>#N/A</v>
      </c>
      <c r="BX12" s="883" t="e">
        <f>IF(AND($BC12=0,$C12=Tab_sel!$P$7,$D12=Tab_sel!$O$24,$E12=Tab_sel!$N$31,$F12=Tab_sel!$N$40,$I12=Tab_sel!$P$61,$H12=Tab_sel!$B$80),1,"")</f>
        <v>#N/A</v>
      </c>
      <c r="BY12" s="883" t="e">
        <f>IF(AND($BC12=0,$C12=Tab_sel!$P$7,$D12=Tab_sel!$O$24,$E12=Tab_sel!$N$31,$F12=Tab_sel!$N$40,$I12=Tab_sel!$P$61,$H12=Tab_sel!$B$81),1,"")</f>
        <v>#N/A</v>
      </c>
      <c r="BZ12" s="857" t="e">
        <f>IF(AND($BC12=0,$C12=Tab_sel!$P$7,$D12=Tab_sel!$O$24,$E12=Tab_sel!$N$31,$F12=Tab_sel!$N$40,$I12=Tab_sel!$P$61,$H12=Tab_sel!$B$82),1,"")</f>
        <v>#N/A</v>
      </c>
      <c r="CA12" s="359"/>
      <c r="CC12">
        <f t="shared" si="13"/>
        <v>0</v>
      </c>
      <c r="CD12" s="882">
        <f t="shared" si="14"/>
        <v>0</v>
      </c>
      <c r="CE12" s="882">
        <f t="shared" si="15"/>
        <v>0</v>
      </c>
      <c r="CH12" t="s">
        <v>2612</v>
      </c>
    </row>
    <row r="13" spans="2:88" ht="29.25" customHeight="1" x14ac:dyDescent="0.25">
      <c r="B13" s="791" t="s">
        <v>1952</v>
      </c>
      <c r="C13" s="771" t="s">
        <v>75</v>
      </c>
      <c r="D13" s="772" t="s">
        <v>76</v>
      </c>
      <c r="E13" s="771" t="str">
        <f t="shared" si="1"/>
        <v xml:space="preserve">Fichier ou base de données </v>
      </c>
      <c r="F13" s="768" t="str">
        <f t="shared" ref="F13:F19" si="16">Endl</f>
        <v>Endommagement logique</v>
      </c>
      <c r="G13" s="768" t="s">
        <v>2260</v>
      </c>
      <c r="H13" s="768" t="s">
        <v>2328</v>
      </c>
      <c r="I13" s="771" t="s">
        <v>1171</v>
      </c>
      <c r="J13" s="769"/>
      <c r="K13" s="769" t="s">
        <v>2372</v>
      </c>
      <c r="L13" s="769"/>
      <c r="M13" s="788" t="s">
        <v>1259</v>
      </c>
      <c r="N13" s="767"/>
      <c r="O13" s="767"/>
      <c r="P13" s="772"/>
      <c r="Q13" s="803"/>
      <c r="R13" s="803"/>
      <c r="S13" s="804"/>
      <c r="T13" s="772"/>
      <c r="U13" s="772"/>
      <c r="V13" s="805"/>
      <c r="W13" s="767"/>
      <c r="X13" s="767"/>
      <c r="Y13" s="772"/>
      <c r="Z13" s="772"/>
      <c r="AA13" s="772"/>
      <c r="AB13" s="805"/>
      <c r="AC13" s="806"/>
      <c r="AD13" s="806"/>
      <c r="AE13" s="806"/>
      <c r="AF13" s="806"/>
      <c r="AG13" s="806"/>
      <c r="AH13" s="805"/>
      <c r="AI13" s="807" t="str">
        <f t="shared" si="2"/>
        <v/>
      </c>
      <c r="AJ13" s="805"/>
      <c r="AK13" s="359"/>
      <c r="AM13" t="str">
        <f t="shared" si="9"/>
        <v/>
      </c>
      <c r="AN13">
        <f t="shared" si="10"/>
        <v>0</v>
      </c>
      <c r="AV13" s="758"/>
      <c r="AW13" s="882">
        <f t="shared" si="11"/>
        <v>0</v>
      </c>
      <c r="AX13" s="882">
        <f t="shared" si="5"/>
        <v>1</v>
      </c>
      <c r="AY13" s="882">
        <f t="shared" si="6"/>
        <v>1</v>
      </c>
      <c r="AZ13" s="927">
        <f t="shared" si="7"/>
        <v>1</v>
      </c>
      <c r="BA13" s="882">
        <v>1</v>
      </c>
      <c r="BB13" s="925">
        <f t="shared" si="12"/>
        <v>0</v>
      </c>
      <c r="BC13" s="882">
        <f t="shared" si="8"/>
        <v>1</v>
      </c>
      <c r="BD13" s="342" t="e">
        <f>IF(AND($BC13=0,C13=Tab_sel!$P$7,$D13=Tab_sel!$O$24,$E13=Tab_sel!$B$31),1,"")</f>
        <v>#N/A</v>
      </c>
      <c r="BE13" s="322" t="e">
        <f>IF(AND($BC13=0,C13=Tab_sel!$P$7,$D13=Tab_sel!$O$24,$E13=Tab_sel!$B$32),1,"")</f>
        <v>#N/A</v>
      </c>
      <c r="BF13" s="322" t="e">
        <f>IF(AND($BC13=0,C13=Tab_sel!$P$7,$D13=Tab_sel!$O$24,$E13=Tab_sel!$B$33),1,"")</f>
        <v>#N/A</v>
      </c>
      <c r="BG13" s="322" t="e">
        <f>IF(AND($BC13=0,C13=Tab_sel!$P$7,$D13=Tab_sel!$O$24,$E13=Tab_sel!$B$34),1,"")</f>
        <v>#N/A</v>
      </c>
      <c r="BH13" s="322" t="e">
        <f>IF(AND($BC13=0,C13=Tab_sel!$P$7,$D13=Tab_sel!$O$24,$E13=Tab_sel!$B$35),1,"")</f>
        <v>#N/A</v>
      </c>
      <c r="BI13" s="343" t="e">
        <f>IF(AND($BC13=0,C13=Tab_sel!$P$7,$D13=Tab_sel!$O$24,$E13=Tab_sel!$B$36),1,"")</f>
        <v>#N/A</v>
      </c>
      <c r="BJ13" s="342" t="e">
        <f>IF(AND($BC13=0,$C13=Tab_sel!$P$7,$D13=Tab_sel!$O$24,$E13=Tab_sel!$N$31,$F13=Tab_sel!$B$40),1,"")</f>
        <v>#N/A</v>
      </c>
      <c r="BK13" s="322" t="e">
        <f>IF(AND($BC13=0,$C13=Tab_sel!$P$7,$D13=Tab_sel!$O$24,$E13=Tab_sel!$N$31,$F13=Tab_sel!$B$41),1,"")</f>
        <v>#N/A</v>
      </c>
      <c r="BL13" s="322" t="e">
        <f>IF(AND($BC13=0,$C13=Tab_sel!$P$7,$D13=Tab_sel!$O$24,$E13=Tab_sel!$N$31,$F13=Tab_sel!$B$42),1,"")</f>
        <v>#N/A</v>
      </c>
      <c r="BM13" s="322" t="e">
        <f>IF(AND($BC13=0,$C13=Tab_sel!$P$7,$D13=Tab_sel!$O$24,$E13=Tab_sel!$N$31,$F13=Tab_sel!$B$43),1,"")</f>
        <v>#N/A</v>
      </c>
      <c r="BN13" s="322" t="e">
        <f>IF(AND($BC13=0,$C13=Tab_sel!$P$7,$D13=Tab_sel!$O$24,$E13=Tab_sel!$N$31,$F13=Tab_sel!$B$44),1,"")</f>
        <v>#N/A</v>
      </c>
      <c r="BO13" s="343" t="e">
        <f>IF(AND($BC13=0,$C13=Tab_sel!$P$7,$D13=Tab_sel!$O$24,$E13=Tab_sel!$N$31,$F13=Tab_sel!$B$45),1,"")</f>
        <v>#N/A</v>
      </c>
      <c r="BP13" s="354" t="e">
        <f>IF(AND($BC13=0,$C13=Tab_sel!$P$7,$D13=Tab_sel!$O$24,$E13=Tab_sel!$N$31,$F13=Tab_sel!$N$40,$I13=Tab_sel!$B$61),1,"")</f>
        <v>#N/A</v>
      </c>
      <c r="BQ13" s="355" t="e">
        <f>IF(AND($BC13=0,$C13=Tab_sel!$P$7,$D13=Tab_sel!$O$24,$E13=Tab_sel!$N$31,$F13=Tab_sel!$N$40,$I13=Tab_sel!$B$62),1,"")</f>
        <v>#N/A</v>
      </c>
      <c r="BR13" s="355" t="e">
        <f>IF(AND($BC13=0,$C13=Tab_sel!$P$7,$D13=Tab_sel!$O$24,$E13=Tab_sel!$N$31,$F13=Tab_sel!$N$40,$I13=Tab_sel!$B$63),1,"")</f>
        <v>#N/A</v>
      </c>
      <c r="BS13" s="355" t="e">
        <f>IF(AND($BC13=0,$C13=Tab_sel!$P$7,$D13=Tab_sel!$O$24,$E13=Tab_sel!$N$31,$F13=Tab_sel!$N$40,$I13=Tab_sel!$B$64),1,"")</f>
        <v>#N/A</v>
      </c>
      <c r="BT13" s="356" t="e">
        <f>IF(AND($BC13=0,$C13=Tab_sel!$P$7,$D13=Tab_sel!$O$24,$E13=Tab_sel!$N$31,$F13=Tab_sel!$N$40,$I13=Tab_sel!$B$65),1,"")</f>
        <v>#N/A</v>
      </c>
      <c r="BU13" s="856" t="e">
        <f>IF(AND($BC13=0,$C13=Tab_sel!$P$7,$D13=Tab_sel!$O$24,$E13=Tab_sel!$N$31,$F13=Tab_sel!$N$40,$I13=Tab_sel!$P$61,$H13=Tab_sel!$B$77),1,"")</f>
        <v>#N/A</v>
      </c>
      <c r="BV13" s="883" t="e">
        <f>IF(AND($BC13=0,$C13=Tab_sel!$P$7,$D13=Tab_sel!$O$24,$E13=Tab_sel!$N$31,$F13=Tab_sel!$N$40,$I13=Tab_sel!$P$61,$H13=Tab_sel!$B$78),1,"")</f>
        <v>#N/A</v>
      </c>
      <c r="BW13" s="883" t="e">
        <f>IF(AND($BC13=0,$C13=Tab_sel!$P$7,$D13=Tab_sel!$O$24,$E13=Tab_sel!$N$31,$F13=Tab_sel!$N$40,$I13=Tab_sel!$P$61,$H13=Tab_sel!$B$79),1,"")</f>
        <v>#N/A</v>
      </c>
      <c r="BX13" s="883" t="e">
        <f>IF(AND($BC13=0,$C13=Tab_sel!$P$7,$D13=Tab_sel!$O$24,$E13=Tab_sel!$N$31,$F13=Tab_sel!$N$40,$I13=Tab_sel!$P$61,$H13=Tab_sel!$B$80),1,"")</f>
        <v>#N/A</v>
      </c>
      <c r="BY13" s="883" t="e">
        <f>IF(AND($BC13=0,$C13=Tab_sel!$P$7,$D13=Tab_sel!$O$24,$E13=Tab_sel!$N$31,$F13=Tab_sel!$N$40,$I13=Tab_sel!$P$61,$H13=Tab_sel!$B$81),1,"")</f>
        <v>#N/A</v>
      </c>
      <c r="BZ13" s="857" t="e">
        <f>IF(AND($BC13=0,$C13=Tab_sel!$P$7,$D13=Tab_sel!$O$24,$E13=Tab_sel!$N$31,$F13=Tab_sel!$N$40,$I13=Tab_sel!$P$61,$H13=Tab_sel!$B$82),1,"")</f>
        <v>#N/A</v>
      </c>
      <c r="CA13" s="359"/>
      <c r="CC13">
        <f t="shared" si="13"/>
        <v>0</v>
      </c>
      <c r="CD13" s="882">
        <f t="shared" si="14"/>
        <v>0</v>
      </c>
      <c r="CE13" s="882">
        <f t="shared" si="15"/>
        <v>0</v>
      </c>
      <c r="CH13" t="s">
        <v>2613</v>
      </c>
      <c r="CJ13" t="s">
        <v>2611</v>
      </c>
    </row>
    <row r="14" spans="2:88" ht="29.25" customHeight="1" x14ac:dyDescent="0.25">
      <c r="B14" s="791" t="s">
        <v>2290</v>
      </c>
      <c r="C14" s="771" t="s">
        <v>75</v>
      </c>
      <c r="D14" s="772" t="s">
        <v>76</v>
      </c>
      <c r="E14" s="771" t="str">
        <f t="shared" si="1"/>
        <v xml:space="preserve">Fichier ou base de données </v>
      </c>
      <c r="F14" s="768" t="str">
        <f t="shared" si="16"/>
        <v>Endommagement logique</v>
      </c>
      <c r="G14" s="768" t="s">
        <v>2260</v>
      </c>
      <c r="H14" s="850" t="s">
        <v>2292</v>
      </c>
      <c r="I14" s="771" t="s">
        <v>1171</v>
      </c>
      <c r="J14" s="769"/>
      <c r="K14" s="769" t="s">
        <v>2370</v>
      </c>
      <c r="L14" s="769"/>
      <c r="M14" s="788" t="s">
        <v>1259</v>
      </c>
      <c r="N14" s="851"/>
      <c r="O14" s="851"/>
      <c r="P14" s="772"/>
      <c r="Q14" s="803"/>
      <c r="R14" s="803"/>
      <c r="S14" s="804"/>
      <c r="T14" s="772"/>
      <c r="U14" s="772"/>
      <c r="V14" s="805"/>
      <c r="W14" s="851"/>
      <c r="X14" s="851"/>
      <c r="Y14" s="772"/>
      <c r="Z14" s="772"/>
      <c r="AA14" s="772"/>
      <c r="AB14" s="805"/>
      <c r="AC14" s="806"/>
      <c r="AD14" s="806"/>
      <c r="AE14" s="806"/>
      <c r="AF14" s="806"/>
      <c r="AG14" s="806"/>
      <c r="AH14" s="805"/>
      <c r="AI14" s="807" t="str">
        <f t="shared" si="2"/>
        <v/>
      </c>
      <c r="AJ14" s="805"/>
      <c r="AK14" s="359"/>
      <c r="AM14" t="str">
        <f t="shared" si="9"/>
        <v/>
      </c>
      <c r="AN14">
        <f t="shared" si="10"/>
        <v>0</v>
      </c>
      <c r="AV14" s="845"/>
      <c r="AW14" s="882">
        <f t="shared" si="11"/>
        <v>0</v>
      </c>
      <c r="AX14" s="882">
        <f t="shared" si="5"/>
        <v>1</v>
      </c>
      <c r="AY14" s="882">
        <f t="shared" si="6"/>
        <v>1</v>
      </c>
      <c r="AZ14" s="927">
        <f t="shared" si="7"/>
        <v>1</v>
      </c>
      <c r="BA14" s="882">
        <v>0</v>
      </c>
      <c r="BB14" s="925">
        <f t="shared" si="12"/>
        <v>0</v>
      </c>
      <c r="BC14" s="882">
        <f t="shared" si="8"/>
        <v>1</v>
      </c>
      <c r="BD14" s="342" t="e">
        <f>IF(AND($BC14=0,C14=Tab_sel!$P$7,$D14=Tab_sel!$O$24,$E14=Tab_sel!$B$31),1,"")</f>
        <v>#N/A</v>
      </c>
      <c r="BE14" s="322" t="e">
        <f>IF(AND($BC14=0,C14=Tab_sel!$P$7,$D14=Tab_sel!$O$24,$E14=Tab_sel!$B$32),1,"")</f>
        <v>#N/A</v>
      </c>
      <c r="BF14" s="322" t="e">
        <f>IF(AND($BC14=0,C14=Tab_sel!$P$7,$D14=Tab_sel!$O$24,$E14=Tab_sel!$B$33),1,"")</f>
        <v>#N/A</v>
      </c>
      <c r="BG14" s="322" t="e">
        <f>IF(AND($BC14=0,C14=Tab_sel!$P$7,$D14=Tab_sel!$O$24,$E14=Tab_sel!$B$34),1,"")</f>
        <v>#N/A</v>
      </c>
      <c r="BH14" s="322" t="e">
        <f>IF(AND($BC14=0,C14=Tab_sel!$P$7,$D14=Tab_sel!$O$24,$E14=Tab_sel!$B$35),1,"")</f>
        <v>#N/A</v>
      </c>
      <c r="BI14" s="343" t="e">
        <f>IF(AND($BC14=0,C14=Tab_sel!$P$7,$D14=Tab_sel!$O$24,$E14=Tab_sel!$B$36),1,"")</f>
        <v>#N/A</v>
      </c>
      <c r="BJ14" s="342" t="e">
        <f>IF(AND($BC14=0,$C14=Tab_sel!$P$7,$D14=Tab_sel!$O$24,$E14=Tab_sel!$N$31,$F14=Tab_sel!$B$40),1,"")</f>
        <v>#N/A</v>
      </c>
      <c r="BK14" s="322" t="e">
        <f>IF(AND($BC14=0,$C14=Tab_sel!$P$7,$D14=Tab_sel!$O$24,$E14=Tab_sel!$N$31,$F14=Tab_sel!$B$41),1,"")</f>
        <v>#N/A</v>
      </c>
      <c r="BL14" s="322" t="e">
        <f>IF(AND($BC14=0,$C14=Tab_sel!$P$7,$D14=Tab_sel!$O$24,$E14=Tab_sel!$N$31,$F14=Tab_sel!$B$42),1,"")</f>
        <v>#N/A</v>
      </c>
      <c r="BM14" s="322" t="e">
        <f>IF(AND($BC14=0,$C14=Tab_sel!$P$7,$D14=Tab_sel!$O$24,$E14=Tab_sel!$N$31,$F14=Tab_sel!$B$43),1,"")</f>
        <v>#N/A</v>
      </c>
      <c r="BN14" s="322" t="e">
        <f>IF(AND($BC14=0,$C14=Tab_sel!$P$7,$D14=Tab_sel!$O$24,$E14=Tab_sel!$N$31,$F14=Tab_sel!$B$44),1,"")</f>
        <v>#N/A</v>
      </c>
      <c r="BO14" s="343" t="e">
        <f>IF(AND($BC14=0,$C14=Tab_sel!$P$7,$D14=Tab_sel!$O$24,$E14=Tab_sel!$N$31,$F14=Tab_sel!$B$45),1,"")</f>
        <v>#N/A</v>
      </c>
      <c r="BP14" s="354" t="e">
        <f>IF(AND($BC14=0,$C14=Tab_sel!$P$7,$D14=Tab_sel!$O$24,$E14=Tab_sel!$N$31,$F14=Tab_sel!$N$40,$I14=Tab_sel!$B$61),1,"")</f>
        <v>#N/A</v>
      </c>
      <c r="BQ14" s="355" t="e">
        <f>IF(AND($BC14=0,$C14=Tab_sel!$P$7,$D14=Tab_sel!$O$24,$E14=Tab_sel!$N$31,$F14=Tab_sel!$N$40,$I14=Tab_sel!$B$62),1,"")</f>
        <v>#N/A</v>
      </c>
      <c r="BR14" s="355" t="e">
        <f>IF(AND($BC14=0,$C14=Tab_sel!$P$7,$D14=Tab_sel!$O$24,$E14=Tab_sel!$N$31,$F14=Tab_sel!$N$40,$I14=Tab_sel!$B$63),1,"")</f>
        <v>#N/A</v>
      </c>
      <c r="BS14" s="355" t="e">
        <f>IF(AND($BC14=0,$C14=Tab_sel!$P$7,$D14=Tab_sel!$O$24,$E14=Tab_sel!$N$31,$F14=Tab_sel!$N$40,$I14=Tab_sel!$B$64),1,"")</f>
        <v>#N/A</v>
      </c>
      <c r="BT14" s="356" t="e">
        <f>IF(AND($BC14=0,$C14=Tab_sel!$P$7,$D14=Tab_sel!$O$24,$E14=Tab_sel!$N$31,$F14=Tab_sel!$N$40,$I14=Tab_sel!$B$65),1,"")</f>
        <v>#N/A</v>
      </c>
      <c r="BU14" s="856" t="e">
        <f>IF(AND($BC14=0,$C14=Tab_sel!$P$7,$D14=Tab_sel!$O$24,$E14=Tab_sel!$N$31,$F14=Tab_sel!$N$40,$I14=Tab_sel!$P$61,$H14=Tab_sel!$B$77),1,"")</f>
        <v>#N/A</v>
      </c>
      <c r="BV14" s="883" t="e">
        <f>IF(AND($BC14=0,$C14=Tab_sel!$P$7,$D14=Tab_sel!$O$24,$E14=Tab_sel!$N$31,$F14=Tab_sel!$N$40,$I14=Tab_sel!$P$61,$H14=Tab_sel!$B$78),1,"")</f>
        <v>#N/A</v>
      </c>
      <c r="BW14" s="883" t="e">
        <f>IF(AND($BC14=0,$C14=Tab_sel!$P$7,$D14=Tab_sel!$O$24,$E14=Tab_sel!$N$31,$F14=Tab_sel!$N$40,$I14=Tab_sel!$P$61,$H14=Tab_sel!$B$79),1,"")</f>
        <v>#N/A</v>
      </c>
      <c r="BX14" s="883" t="e">
        <f>IF(AND($BC14=0,$C14=Tab_sel!$P$7,$D14=Tab_sel!$O$24,$E14=Tab_sel!$N$31,$F14=Tab_sel!$N$40,$I14=Tab_sel!$P$61,$H14=Tab_sel!$B$80),1,"")</f>
        <v>#N/A</v>
      </c>
      <c r="BY14" s="883" t="e">
        <f>IF(AND($BC14=0,$C14=Tab_sel!$P$7,$D14=Tab_sel!$O$24,$E14=Tab_sel!$N$31,$F14=Tab_sel!$N$40,$I14=Tab_sel!$P$61,$H14=Tab_sel!$B$81),1,"")</f>
        <v>#N/A</v>
      </c>
      <c r="BZ14" s="857" t="e">
        <f>IF(AND($BC14=0,$C14=Tab_sel!$P$7,$D14=Tab_sel!$O$24,$E14=Tab_sel!$N$31,$F14=Tab_sel!$N$40,$I14=Tab_sel!$P$61,$H14=Tab_sel!$B$82),1,"")</f>
        <v>#N/A</v>
      </c>
      <c r="CA14" s="359"/>
      <c r="CC14">
        <f t="shared" si="13"/>
        <v>0</v>
      </c>
      <c r="CD14" s="882">
        <f t="shared" si="14"/>
        <v>0</v>
      </c>
      <c r="CE14" s="882">
        <f t="shared" si="15"/>
        <v>0</v>
      </c>
      <c r="CH14" t="s">
        <v>2614</v>
      </c>
      <c r="CJ14" t="s">
        <v>2611</v>
      </c>
    </row>
    <row r="15" spans="2:88" ht="29.25" customHeight="1" x14ac:dyDescent="0.25">
      <c r="B15" s="791" t="s">
        <v>2291</v>
      </c>
      <c r="C15" s="771" t="s">
        <v>75</v>
      </c>
      <c r="D15" s="772" t="s">
        <v>76</v>
      </c>
      <c r="E15" s="771" t="str">
        <f t="shared" si="1"/>
        <v xml:space="preserve">Fichier ou base de données </v>
      </c>
      <c r="F15" s="768" t="str">
        <f t="shared" si="16"/>
        <v>Endommagement logique</v>
      </c>
      <c r="G15" s="768" t="s">
        <v>2260</v>
      </c>
      <c r="H15" s="850" t="s">
        <v>2293</v>
      </c>
      <c r="I15" s="771" t="s">
        <v>1171</v>
      </c>
      <c r="J15" s="769"/>
      <c r="K15" s="769" t="s">
        <v>2357</v>
      </c>
      <c r="L15" s="769"/>
      <c r="M15" s="788" t="s">
        <v>1259</v>
      </c>
      <c r="N15" s="851"/>
      <c r="O15" s="851"/>
      <c r="P15" s="772"/>
      <c r="Q15" s="803"/>
      <c r="R15" s="803"/>
      <c r="S15" s="804"/>
      <c r="T15" s="772"/>
      <c r="U15" s="772"/>
      <c r="V15" s="805"/>
      <c r="W15" s="851"/>
      <c r="X15" s="851"/>
      <c r="Y15" s="772"/>
      <c r="Z15" s="772"/>
      <c r="AA15" s="772"/>
      <c r="AB15" s="805"/>
      <c r="AC15" s="806"/>
      <c r="AD15" s="806"/>
      <c r="AE15" s="806"/>
      <c r="AF15" s="806"/>
      <c r="AG15" s="806"/>
      <c r="AH15" s="805"/>
      <c r="AI15" s="807" t="str">
        <f t="shared" si="2"/>
        <v/>
      </c>
      <c r="AJ15" s="805"/>
      <c r="AK15" s="359"/>
      <c r="AM15" t="str">
        <f t="shared" si="9"/>
        <v/>
      </c>
      <c r="AN15">
        <f t="shared" si="10"/>
        <v>0</v>
      </c>
      <c r="AV15" s="845"/>
      <c r="AW15" s="882">
        <f t="shared" si="11"/>
        <v>0</v>
      </c>
      <c r="AX15" s="882">
        <f t="shared" si="5"/>
        <v>1</v>
      </c>
      <c r="AY15" s="882">
        <f t="shared" si="6"/>
        <v>1</v>
      </c>
      <c r="AZ15" s="927">
        <f t="shared" si="7"/>
        <v>1</v>
      </c>
      <c r="BA15" s="882">
        <v>0</v>
      </c>
      <c r="BB15" s="925">
        <f t="shared" si="12"/>
        <v>0</v>
      </c>
      <c r="BC15" s="882">
        <f t="shared" si="8"/>
        <v>1</v>
      </c>
      <c r="BD15" s="342" t="e">
        <f>IF(AND($BC15=0,C15=Tab_sel!$P$7,$D15=Tab_sel!$O$24,$E15=Tab_sel!$B$31),1,"")</f>
        <v>#N/A</v>
      </c>
      <c r="BE15" s="322" t="e">
        <f>IF(AND($BC15=0,C15=Tab_sel!$P$7,$D15=Tab_sel!$O$24,$E15=Tab_sel!$B$32),1,"")</f>
        <v>#N/A</v>
      </c>
      <c r="BF15" s="322" t="e">
        <f>IF(AND($BC15=0,C15=Tab_sel!$P$7,$D15=Tab_sel!$O$24,$E15=Tab_sel!$B$33),1,"")</f>
        <v>#N/A</v>
      </c>
      <c r="BG15" s="322" t="e">
        <f>IF(AND($BC15=0,C15=Tab_sel!$P$7,$D15=Tab_sel!$O$24,$E15=Tab_sel!$B$34),1,"")</f>
        <v>#N/A</v>
      </c>
      <c r="BH15" s="322" t="e">
        <f>IF(AND($BC15=0,C15=Tab_sel!$P$7,$D15=Tab_sel!$O$24,$E15=Tab_sel!$B$35),1,"")</f>
        <v>#N/A</v>
      </c>
      <c r="BI15" s="343" t="e">
        <f>IF(AND($BC15=0,C15=Tab_sel!$P$7,$D15=Tab_sel!$O$24,$E15=Tab_sel!$B$36),1,"")</f>
        <v>#N/A</v>
      </c>
      <c r="BJ15" s="342" t="e">
        <f>IF(AND($BC15=0,$C15=Tab_sel!$P$7,$D15=Tab_sel!$O$24,$E15=Tab_sel!$N$31,$F15=Tab_sel!$B$40),1,"")</f>
        <v>#N/A</v>
      </c>
      <c r="BK15" s="322" t="e">
        <f>IF(AND($BC15=0,$C15=Tab_sel!$P$7,$D15=Tab_sel!$O$24,$E15=Tab_sel!$N$31,$F15=Tab_sel!$B$41),1,"")</f>
        <v>#N/A</v>
      </c>
      <c r="BL15" s="322" t="e">
        <f>IF(AND($BC15=0,$C15=Tab_sel!$P$7,$D15=Tab_sel!$O$24,$E15=Tab_sel!$N$31,$F15=Tab_sel!$B$42),1,"")</f>
        <v>#N/A</v>
      </c>
      <c r="BM15" s="322" t="e">
        <f>IF(AND($BC15=0,$C15=Tab_sel!$P$7,$D15=Tab_sel!$O$24,$E15=Tab_sel!$N$31,$F15=Tab_sel!$B$43),1,"")</f>
        <v>#N/A</v>
      </c>
      <c r="BN15" s="322" t="e">
        <f>IF(AND($BC15=0,$C15=Tab_sel!$P$7,$D15=Tab_sel!$O$24,$E15=Tab_sel!$N$31,$F15=Tab_sel!$B$44),1,"")</f>
        <v>#N/A</v>
      </c>
      <c r="BO15" s="343" t="e">
        <f>IF(AND($BC15=0,$C15=Tab_sel!$P$7,$D15=Tab_sel!$O$24,$E15=Tab_sel!$N$31,$F15=Tab_sel!$B$45),1,"")</f>
        <v>#N/A</v>
      </c>
      <c r="BP15" s="354" t="e">
        <f>IF(AND($BC15=0,$C15=Tab_sel!$P$7,$D15=Tab_sel!$O$24,$E15=Tab_sel!$N$31,$F15=Tab_sel!$N$40,$I15=Tab_sel!$B$61),1,"")</f>
        <v>#N/A</v>
      </c>
      <c r="BQ15" s="355" t="e">
        <f>IF(AND($BC15=0,$C15=Tab_sel!$P$7,$D15=Tab_sel!$O$24,$E15=Tab_sel!$N$31,$F15=Tab_sel!$N$40,$I15=Tab_sel!$B$62),1,"")</f>
        <v>#N/A</v>
      </c>
      <c r="BR15" s="355" t="e">
        <f>IF(AND($BC15=0,$C15=Tab_sel!$P$7,$D15=Tab_sel!$O$24,$E15=Tab_sel!$N$31,$F15=Tab_sel!$N$40,$I15=Tab_sel!$B$63),1,"")</f>
        <v>#N/A</v>
      </c>
      <c r="BS15" s="355" t="e">
        <f>IF(AND($BC15=0,$C15=Tab_sel!$P$7,$D15=Tab_sel!$O$24,$E15=Tab_sel!$N$31,$F15=Tab_sel!$N$40,$I15=Tab_sel!$B$64),1,"")</f>
        <v>#N/A</v>
      </c>
      <c r="BT15" s="356" t="e">
        <f>IF(AND($BC15=0,$C15=Tab_sel!$P$7,$D15=Tab_sel!$O$24,$E15=Tab_sel!$N$31,$F15=Tab_sel!$N$40,$I15=Tab_sel!$B$65),1,"")</f>
        <v>#N/A</v>
      </c>
      <c r="BU15" s="856" t="e">
        <f>IF(AND($BC15=0,$C15=Tab_sel!$P$7,$D15=Tab_sel!$O$24,$E15=Tab_sel!$N$31,$F15=Tab_sel!$N$40,$I15=Tab_sel!$P$61,$H15=Tab_sel!$B$77),1,"")</f>
        <v>#N/A</v>
      </c>
      <c r="BV15" s="883" t="e">
        <f>IF(AND($BC15=0,$C15=Tab_sel!$P$7,$D15=Tab_sel!$O$24,$E15=Tab_sel!$N$31,$F15=Tab_sel!$N$40,$I15=Tab_sel!$P$61,$H15=Tab_sel!$B$78),1,"")</f>
        <v>#N/A</v>
      </c>
      <c r="BW15" s="883" t="e">
        <f>IF(AND($BC15=0,$C15=Tab_sel!$P$7,$D15=Tab_sel!$O$24,$E15=Tab_sel!$N$31,$F15=Tab_sel!$N$40,$I15=Tab_sel!$P$61,$H15=Tab_sel!$B$79),1,"")</f>
        <v>#N/A</v>
      </c>
      <c r="BX15" s="883" t="e">
        <f>IF(AND($BC15=0,$C15=Tab_sel!$P$7,$D15=Tab_sel!$O$24,$E15=Tab_sel!$N$31,$F15=Tab_sel!$N$40,$I15=Tab_sel!$P$61,$H15=Tab_sel!$B$80),1,"")</f>
        <v>#N/A</v>
      </c>
      <c r="BY15" s="883" t="e">
        <f>IF(AND($BC15=0,$C15=Tab_sel!$P$7,$D15=Tab_sel!$O$24,$E15=Tab_sel!$N$31,$F15=Tab_sel!$N$40,$I15=Tab_sel!$P$61,$H15=Tab_sel!$B$81),1,"")</f>
        <v>#N/A</v>
      </c>
      <c r="BZ15" s="857" t="e">
        <f>IF(AND($BC15=0,$C15=Tab_sel!$P$7,$D15=Tab_sel!$O$24,$E15=Tab_sel!$N$31,$F15=Tab_sel!$N$40,$I15=Tab_sel!$P$61,$H15=Tab_sel!$B$82),1,"")</f>
        <v>#N/A</v>
      </c>
      <c r="CA15" s="359"/>
      <c r="CC15">
        <f t="shared" si="13"/>
        <v>0</v>
      </c>
      <c r="CD15" s="882">
        <f t="shared" si="14"/>
        <v>0</v>
      </c>
      <c r="CE15" s="882">
        <f t="shared" si="15"/>
        <v>0</v>
      </c>
      <c r="CH15" t="s">
        <v>2615</v>
      </c>
      <c r="CJ15" t="s">
        <v>2611</v>
      </c>
    </row>
    <row r="16" spans="2:88" ht="29.25" customHeight="1" x14ac:dyDescent="0.25">
      <c r="B16" s="791" t="s">
        <v>1953</v>
      </c>
      <c r="C16" s="771" t="s">
        <v>75</v>
      </c>
      <c r="D16" s="772" t="s">
        <v>76</v>
      </c>
      <c r="E16" s="771" t="str">
        <f t="shared" si="1"/>
        <v xml:space="preserve">Fichier ou base de données </v>
      </c>
      <c r="F16" s="768" t="str">
        <f t="shared" si="16"/>
        <v>Endommagement logique</v>
      </c>
      <c r="G16" s="768" t="s">
        <v>1205</v>
      </c>
      <c r="H16" s="768"/>
      <c r="I16" s="771" t="s">
        <v>1198</v>
      </c>
      <c r="J16" s="769" t="s">
        <v>2537</v>
      </c>
      <c r="K16" s="769" t="s">
        <v>2462</v>
      </c>
      <c r="L16" s="769"/>
      <c r="M16" s="788" t="s">
        <v>1259</v>
      </c>
      <c r="N16" s="767"/>
      <c r="O16" s="767"/>
      <c r="P16" s="772"/>
      <c r="Q16" s="803"/>
      <c r="R16" s="803"/>
      <c r="S16" s="804"/>
      <c r="T16" s="772"/>
      <c r="U16" s="772"/>
      <c r="V16" s="805"/>
      <c r="W16" s="767"/>
      <c r="X16" s="767"/>
      <c r="Y16" s="772"/>
      <c r="Z16" s="772"/>
      <c r="AA16" s="772"/>
      <c r="AB16" s="805"/>
      <c r="AC16" s="806"/>
      <c r="AD16" s="806"/>
      <c r="AE16" s="806"/>
      <c r="AF16" s="806"/>
      <c r="AG16" s="806"/>
      <c r="AH16" s="805"/>
      <c r="AI16" s="807" t="str">
        <f t="shared" si="2"/>
        <v/>
      </c>
      <c r="AJ16" s="805"/>
      <c r="AK16" s="359"/>
      <c r="AM16" t="str">
        <f t="shared" si="9"/>
        <v/>
      </c>
      <c r="AN16">
        <f t="shared" si="10"/>
        <v>0</v>
      </c>
      <c r="AW16" s="882">
        <f t="shared" si="11"/>
        <v>0</v>
      </c>
      <c r="AX16" s="882">
        <f t="shared" si="5"/>
        <v>1</v>
      </c>
      <c r="AY16" s="882">
        <f t="shared" si="6"/>
        <v>1</v>
      </c>
      <c r="AZ16" s="927">
        <f t="shared" si="7"/>
        <v>1</v>
      </c>
      <c r="BA16" s="882">
        <v>1</v>
      </c>
      <c r="BB16" s="925">
        <f t="shared" si="12"/>
        <v>0</v>
      </c>
      <c r="BC16" s="882">
        <f t="shared" si="8"/>
        <v>1</v>
      </c>
      <c r="BD16" s="342" t="e">
        <f>IF(AND($BC16=0,C16=Tab_sel!$P$7,$D16=Tab_sel!$O$24,$E16=Tab_sel!$B$31),1,"")</f>
        <v>#N/A</v>
      </c>
      <c r="BE16" s="322" t="e">
        <f>IF(AND($BC16=0,C16=Tab_sel!$P$7,$D16=Tab_sel!$O$24,$E16=Tab_sel!$B$32),1,"")</f>
        <v>#N/A</v>
      </c>
      <c r="BF16" s="322" t="e">
        <f>IF(AND($BC16=0,C16=Tab_sel!$P$7,$D16=Tab_sel!$O$24,$E16=Tab_sel!$B$33),1,"")</f>
        <v>#N/A</v>
      </c>
      <c r="BG16" s="322" t="e">
        <f>IF(AND($BC16=0,C16=Tab_sel!$P$7,$D16=Tab_sel!$O$24,$E16=Tab_sel!$B$34),1,"")</f>
        <v>#N/A</v>
      </c>
      <c r="BH16" s="322" t="e">
        <f>IF(AND($BC16=0,C16=Tab_sel!$P$7,$D16=Tab_sel!$O$24,$E16=Tab_sel!$B$35),1,"")</f>
        <v>#N/A</v>
      </c>
      <c r="BI16" s="343" t="e">
        <f>IF(AND($BC16=0,C16=Tab_sel!$P$7,$D16=Tab_sel!$O$24,$E16=Tab_sel!$B$36),1,"")</f>
        <v>#N/A</v>
      </c>
      <c r="BJ16" s="342" t="e">
        <f>IF(AND($BC16=0,$C16=Tab_sel!$P$7,$D16=Tab_sel!$O$24,$E16=Tab_sel!$N$31,$F16=Tab_sel!$B$40),1,"")</f>
        <v>#N/A</v>
      </c>
      <c r="BK16" s="322" t="e">
        <f>IF(AND($BC16=0,$C16=Tab_sel!$P$7,$D16=Tab_sel!$O$24,$E16=Tab_sel!$N$31,$F16=Tab_sel!$B$41),1,"")</f>
        <v>#N/A</v>
      </c>
      <c r="BL16" s="322" t="e">
        <f>IF(AND($BC16=0,$C16=Tab_sel!$P$7,$D16=Tab_sel!$O$24,$E16=Tab_sel!$N$31,$F16=Tab_sel!$B$42),1,"")</f>
        <v>#N/A</v>
      </c>
      <c r="BM16" s="322" t="e">
        <f>IF(AND($BC16=0,$C16=Tab_sel!$P$7,$D16=Tab_sel!$O$24,$E16=Tab_sel!$N$31,$F16=Tab_sel!$B$43),1,"")</f>
        <v>#N/A</v>
      </c>
      <c r="BN16" s="322" t="e">
        <f>IF(AND($BC16=0,$C16=Tab_sel!$P$7,$D16=Tab_sel!$O$24,$E16=Tab_sel!$N$31,$F16=Tab_sel!$B$44),1,"")</f>
        <v>#N/A</v>
      </c>
      <c r="BO16" s="343" t="e">
        <f>IF(AND($BC16=0,$C16=Tab_sel!$P$7,$D16=Tab_sel!$O$24,$E16=Tab_sel!$N$31,$F16=Tab_sel!$B$45),1,"")</f>
        <v>#N/A</v>
      </c>
      <c r="BP16" s="354" t="e">
        <f>IF(AND($BC16=0,$C16=Tab_sel!$P$7,$D16=Tab_sel!$O$24,$E16=Tab_sel!$N$31,$F16=Tab_sel!$N$40,$I16=Tab_sel!$B$61),1,"")</f>
        <v>#N/A</v>
      </c>
      <c r="BQ16" s="355" t="e">
        <f>IF(AND($BC16=0,$C16=Tab_sel!$P$7,$D16=Tab_sel!$O$24,$E16=Tab_sel!$N$31,$F16=Tab_sel!$N$40,$I16=Tab_sel!$B$62),1,"")</f>
        <v>#N/A</v>
      </c>
      <c r="BR16" s="355" t="e">
        <f>IF(AND($BC16=0,$C16=Tab_sel!$P$7,$D16=Tab_sel!$O$24,$E16=Tab_sel!$N$31,$F16=Tab_sel!$N$40,$I16=Tab_sel!$B$63),1,"")</f>
        <v>#N/A</v>
      </c>
      <c r="BS16" s="355" t="e">
        <f>IF(AND($BC16=0,$C16=Tab_sel!$P$7,$D16=Tab_sel!$O$24,$E16=Tab_sel!$N$31,$F16=Tab_sel!$N$40,$I16=Tab_sel!$B$64),1,"")</f>
        <v>#N/A</v>
      </c>
      <c r="BT16" s="356" t="e">
        <f>IF(AND($BC16=0,$C16=Tab_sel!$P$7,$D16=Tab_sel!$O$24,$E16=Tab_sel!$N$31,$F16=Tab_sel!$N$40,$I16=Tab_sel!$B$65),1,"")</f>
        <v>#N/A</v>
      </c>
      <c r="BU16" s="856" t="e">
        <f>IF(AND($BC16=0,$C16=Tab_sel!$P$7,$D16=Tab_sel!$O$24,$E16=Tab_sel!$N$31,$F16=Tab_sel!$N$40,$I16=Tab_sel!$P$61,$H16=Tab_sel!$B$77),1,"")</f>
        <v>#N/A</v>
      </c>
      <c r="BV16" s="883" t="e">
        <f>IF(AND($BC16=0,$C16=Tab_sel!$P$7,$D16=Tab_sel!$O$24,$E16=Tab_sel!$N$31,$F16=Tab_sel!$N$40,$I16=Tab_sel!$P$61,$H16=Tab_sel!$B$78),1,"")</f>
        <v>#N/A</v>
      </c>
      <c r="BW16" s="883" t="e">
        <f>IF(AND($BC16=0,$C16=Tab_sel!$P$7,$D16=Tab_sel!$O$24,$E16=Tab_sel!$N$31,$F16=Tab_sel!$N$40,$I16=Tab_sel!$P$61,$H16=Tab_sel!$B$79),1,"")</f>
        <v>#N/A</v>
      </c>
      <c r="BX16" s="883" t="e">
        <f>IF(AND($BC16=0,$C16=Tab_sel!$P$7,$D16=Tab_sel!$O$24,$E16=Tab_sel!$N$31,$F16=Tab_sel!$N$40,$I16=Tab_sel!$P$61,$H16=Tab_sel!$B$80),1,"")</f>
        <v>#N/A</v>
      </c>
      <c r="BY16" s="883" t="e">
        <f>IF(AND($BC16=0,$C16=Tab_sel!$P$7,$D16=Tab_sel!$O$24,$E16=Tab_sel!$N$31,$F16=Tab_sel!$N$40,$I16=Tab_sel!$P$61,$H16=Tab_sel!$B$81),1,"")</f>
        <v>#N/A</v>
      </c>
      <c r="BZ16" s="857" t="e">
        <f>IF(AND($BC16=0,$C16=Tab_sel!$P$7,$D16=Tab_sel!$O$24,$E16=Tab_sel!$N$31,$F16=Tab_sel!$N$40,$I16=Tab_sel!$P$61,$H16=Tab_sel!$B$82),1,"")</f>
        <v>#N/A</v>
      </c>
      <c r="CA16" s="359"/>
      <c r="CC16">
        <f t="shared" si="13"/>
        <v>0</v>
      </c>
      <c r="CD16" s="882">
        <f t="shared" si="14"/>
        <v>0</v>
      </c>
      <c r="CE16" s="882">
        <f t="shared" si="15"/>
        <v>0</v>
      </c>
      <c r="CG16" t="s">
        <v>2609</v>
      </c>
      <c r="CH16" t="s">
        <v>2616</v>
      </c>
      <c r="CJ16" t="s">
        <v>2611</v>
      </c>
    </row>
    <row r="17" spans="2:88" ht="29.25" customHeight="1" x14ac:dyDescent="0.25">
      <c r="B17" s="791" t="s">
        <v>2294</v>
      </c>
      <c r="C17" s="771" t="s">
        <v>75</v>
      </c>
      <c r="D17" s="772" t="s">
        <v>76</v>
      </c>
      <c r="E17" s="771" t="str">
        <f t="shared" si="1"/>
        <v xml:space="preserve">Fichier ou base de données </v>
      </c>
      <c r="F17" s="768" t="str">
        <f t="shared" si="16"/>
        <v>Endommagement logique</v>
      </c>
      <c r="G17" s="768" t="s">
        <v>1205</v>
      </c>
      <c r="H17" s="768" t="s">
        <v>2298</v>
      </c>
      <c r="I17" s="771" t="s">
        <v>1198</v>
      </c>
      <c r="J17" s="769"/>
      <c r="K17" s="769" t="s">
        <v>2370</v>
      </c>
      <c r="L17" s="769"/>
      <c r="M17" s="788" t="s">
        <v>1259</v>
      </c>
      <c r="N17" s="851"/>
      <c r="O17" s="851"/>
      <c r="P17" s="772"/>
      <c r="Q17" s="803"/>
      <c r="R17" s="803"/>
      <c r="S17" s="804"/>
      <c r="T17" s="772"/>
      <c r="U17" s="772"/>
      <c r="V17" s="805"/>
      <c r="W17" s="851"/>
      <c r="X17" s="851"/>
      <c r="Y17" s="772"/>
      <c r="Z17" s="772"/>
      <c r="AA17" s="772"/>
      <c r="AB17" s="805"/>
      <c r="AC17" s="806"/>
      <c r="AD17" s="806"/>
      <c r="AE17" s="806"/>
      <c r="AF17" s="806"/>
      <c r="AG17" s="806"/>
      <c r="AH17" s="805"/>
      <c r="AI17" s="807" t="str">
        <f t="shared" si="2"/>
        <v/>
      </c>
      <c r="AJ17" s="805"/>
      <c r="AK17" s="359"/>
      <c r="AM17" t="str">
        <f t="shared" si="9"/>
        <v/>
      </c>
      <c r="AN17">
        <f t="shared" si="10"/>
        <v>0</v>
      </c>
      <c r="AV17" s="845"/>
      <c r="AW17" s="882">
        <f t="shared" si="11"/>
        <v>0</v>
      </c>
      <c r="AX17" s="882">
        <f t="shared" si="5"/>
        <v>1</v>
      </c>
      <c r="AY17" s="882">
        <f t="shared" si="6"/>
        <v>1</v>
      </c>
      <c r="AZ17" s="927">
        <f t="shared" si="7"/>
        <v>1</v>
      </c>
      <c r="BA17" s="882">
        <v>0</v>
      </c>
      <c r="BB17" s="925">
        <f t="shared" si="12"/>
        <v>0</v>
      </c>
      <c r="BC17" s="882">
        <f t="shared" si="8"/>
        <v>1</v>
      </c>
      <c r="BD17" s="342" t="e">
        <f>IF(AND($BC17=0,C17=Tab_sel!$P$7,$D17=Tab_sel!$O$24,$E17=Tab_sel!$B$31),1,"")</f>
        <v>#N/A</v>
      </c>
      <c r="BE17" s="322" t="e">
        <f>IF(AND($BC17=0,C17=Tab_sel!$P$7,$D17=Tab_sel!$O$24,$E17=Tab_sel!$B$32),1,"")</f>
        <v>#N/A</v>
      </c>
      <c r="BF17" s="322" t="e">
        <f>IF(AND($BC17=0,C17=Tab_sel!$P$7,$D17=Tab_sel!$O$24,$E17=Tab_sel!$B$33),1,"")</f>
        <v>#N/A</v>
      </c>
      <c r="BG17" s="322" t="e">
        <f>IF(AND($BC17=0,C17=Tab_sel!$P$7,$D17=Tab_sel!$O$24,$E17=Tab_sel!$B$34),1,"")</f>
        <v>#N/A</v>
      </c>
      <c r="BH17" s="322" t="e">
        <f>IF(AND($BC17=0,C17=Tab_sel!$P$7,$D17=Tab_sel!$O$24,$E17=Tab_sel!$B$35),1,"")</f>
        <v>#N/A</v>
      </c>
      <c r="BI17" s="343" t="e">
        <f>IF(AND($BC17=0,C17=Tab_sel!$P$7,$D17=Tab_sel!$O$24,$E17=Tab_sel!$B$36),1,"")</f>
        <v>#N/A</v>
      </c>
      <c r="BJ17" s="342" t="e">
        <f>IF(AND($BC17=0,$C17=Tab_sel!$P$7,$D17=Tab_sel!$O$24,$E17=Tab_sel!$N$31,$F17=Tab_sel!$B$40),1,"")</f>
        <v>#N/A</v>
      </c>
      <c r="BK17" s="322" t="e">
        <f>IF(AND($BC17=0,$C17=Tab_sel!$P$7,$D17=Tab_sel!$O$24,$E17=Tab_sel!$N$31,$F17=Tab_sel!$B$41),1,"")</f>
        <v>#N/A</v>
      </c>
      <c r="BL17" s="322" t="e">
        <f>IF(AND($BC17=0,$C17=Tab_sel!$P$7,$D17=Tab_sel!$O$24,$E17=Tab_sel!$N$31,$F17=Tab_sel!$B$42),1,"")</f>
        <v>#N/A</v>
      </c>
      <c r="BM17" s="322" t="e">
        <f>IF(AND($BC17=0,$C17=Tab_sel!$P$7,$D17=Tab_sel!$O$24,$E17=Tab_sel!$N$31,$F17=Tab_sel!$B$43),1,"")</f>
        <v>#N/A</v>
      </c>
      <c r="BN17" s="322" t="e">
        <f>IF(AND($BC17=0,$C17=Tab_sel!$P$7,$D17=Tab_sel!$O$24,$E17=Tab_sel!$N$31,$F17=Tab_sel!$B$44),1,"")</f>
        <v>#N/A</v>
      </c>
      <c r="BO17" s="343" t="e">
        <f>IF(AND($BC17=0,$C17=Tab_sel!$P$7,$D17=Tab_sel!$O$24,$E17=Tab_sel!$N$31,$F17=Tab_sel!$B$45),1,"")</f>
        <v>#N/A</v>
      </c>
      <c r="BP17" s="354" t="e">
        <f>IF(AND($BC17=0,$C17=Tab_sel!$P$7,$D17=Tab_sel!$O$24,$E17=Tab_sel!$N$31,$F17=Tab_sel!$N$40,$I17=Tab_sel!$B$61),1,"")</f>
        <v>#N/A</v>
      </c>
      <c r="BQ17" s="355" t="e">
        <f>IF(AND($BC17=0,$C17=Tab_sel!$P$7,$D17=Tab_sel!$O$24,$E17=Tab_sel!$N$31,$F17=Tab_sel!$N$40,$I17=Tab_sel!$B$62),1,"")</f>
        <v>#N/A</v>
      </c>
      <c r="BR17" s="355" t="e">
        <f>IF(AND($BC17=0,$C17=Tab_sel!$P$7,$D17=Tab_sel!$O$24,$E17=Tab_sel!$N$31,$F17=Tab_sel!$N$40,$I17=Tab_sel!$B$63),1,"")</f>
        <v>#N/A</v>
      </c>
      <c r="BS17" s="355" t="e">
        <f>IF(AND($BC17=0,$C17=Tab_sel!$P$7,$D17=Tab_sel!$O$24,$E17=Tab_sel!$N$31,$F17=Tab_sel!$N$40,$I17=Tab_sel!$B$64),1,"")</f>
        <v>#N/A</v>
      </c>
      <c r="BT17" s="356" t="e">
        <f>IF(AND($BC17=0,$C17=Tab_sel!$P$7,$D17=Tab_sel!$O$24,$E17=Tab_sel!$N$31,$F17=Tab_sel!$N$40,$I17=Tab_sel!$B$65),1,"")</f>
        <v>#N/A</v>
      </c>
      <c r="BU17" s="856" t="e">
        <f>IF(AND($BC17=0,$C17=Tab_sel!$P$7,$D17=Tab_sel!$O$24,$E17=Tab_sel!$N$31,$F17=Tab_sel!$N$40,$I17=Tab_sel!$P$61,$H17=Tab_sel!$B$77),1,"")</f>
        <v>#N/A</v>
      </c>
      <c r="BV17" s="883" t="e">
        <f>IF(AND($BC17=0,$C17=Tab_sel!$P$7,$D17=Tab_sel!$O$24,$E17=Tab_sel!$N$31,$F17=Tab_sel!$N$40,$I17=Tab_sel!$P$61,$H17=Tab_sel!$B$78),1,"")</f>
        <v>#N/A</v>
      </c>
      <c r="BW17" s="883" t="e">
        <f>IF(AND($BC17=0,$C17=Tab_sel!$P$7,$D17=Tab_sel!$O$24,$E17=Tab_sel!$N$31,$F17=Tab_sel!$N$40,$I17=Tab_sel!$P$61,$H17=Tab_sel!$B$79),1,"")</f>
        <v>#N/A</v>
      </c>
      <c r="BX17" s="883" t="e">
        <f>IF(AND($BC17=0,$C17=Tab_sel!$P$7,$D17=Tab_sel!$O$24,$E17=Tab_sel!$N$31,$F17=Tab_sel!$N$40,$I17=Tab_sel!$P$61,$H17=Tab_sel!$B$80),1,"")</f>
        <v>#N/A</v>
      </c>
      <c r="BY17" s="883" t="e">
        <f>IF(AND($BC17=0,$C17=Tab_sel!$P$7,$D17=Tab_sel!$O$24,$E17=Tab_sel!$N$31,$F17=Tab_sel!$N$40,$I17=Tab_sel!$P$61,$H17=Tab_sel!$B$81),1,"")</f>
        <v>#N/A</v>
      </c>
      <c r="BZ17" s="857" t="e">
        <f>IF(AND($BC17=0,$C17=Tab_sel!$P$7,$D17=Tab_sel!$O$24,$E17=Tab_sel!$N$31,$F17=Tab_sel!$N$40,$I17=Tab_sel!$P$61,$H17=Tab_sel!$B$82),1,"")</f>
        <v>#N/A</v>
      </c>
      <c r="CA17" s="359"/>
      <c r="CC17">
        <f t="shared" si="13"/>
        <v>0</v>
      </c>
      <c r="CD17" s="882">
        <f t="shared" si="14"/>
        <v>0</v>
      </c>
      <c r="CE17" s="882">
        <f t="shared" si="15"/>
        <v>0</v>
      </c>
      <c r="CH17" t="s">
        <v>2614</v>
      </c>
      <c r="CJ17" t="s">
        <v>2611</v>
      </c>
    </row>
    <row r="18" spans="2:88" ht="29.25" customHeight="1" x14ac:dyDescent="0.25">
      <c r="B18" s="791" t="s">
        <v>2295</v>
      </c>
      <c r="C18" s="771" t="s">
        <v>75</v>
      </c>
      <c r="D18" s="772" t="s">
        <v>76</v>
      </c>
      <c r="E18" s="771" t="str">
        <f t="shared" si="1"/>
        <v xml:space="preserve">Fichier ou base de données </v>
      </c>
      <c r="F18" s="768" t="str">
        <f t="shared" si="16"/>
        <v>Endommagement logique</v>
      </c>
      <c r="G18" s="768" t="s">
        <v>1205</v>
      </c>
      <c r="H18" s="850" t="s">
        <v>2586</v>
      </c>
      <c r="I18" s="771" t="s">
        <v>1198</v>
      </c>
      <c r="J18" s="769" t="s">
        <v>2537</v>
      </c>
      <c r="K18" s="769"/>
      <c r="L18" s="769"/>
      <c r="M18" s="788" t="s">
        <v>1259</v>
      </c>
      <c r="N18" s="851"/>
      <c r="O18" s="851"/>
      <c r="P18" s="772"/>
      <c r="Q18" s="803"/>
      <c r="R18" s="803"/>
      <c r="S18" s="804"/>
      <c r="T18" s="772"/>
      <c r="U18" s="772"/>
      <c r="V18" s="805"/>
      <c r="W18" s="851"/>
      <c r="X18" s="851"/>
      <c r="Y18" s="772"/>
      <c r="Z18" s="772"/>
      <c r="AA18" s="772"/>
      <c r="AB18" s="805"/>
      <c r="AC18" s="806"/>
      <c r="AD18" s="806"/>
      <c r="AE18" s="806"/>
      <c r="AF18" s="806"/>
      <c r="AG18" s="806"/>
      <c r="AH18" s="805"/>
      <c r="AI18" s="807" t="str">
        <f t="shared" si="2"/>
        <v/>
      </c>
      <c r="AJ18" s="805"/>
      <c r="AK18" s="359"/>
      <c r="AM18" t="str">
        <f t="shared" si="9"/>
        <v/>
      </c>
      <c r="AN18">
        <f t="shared" si="10"/>
        <v>0</v>
      </c>
      <c r="AV18" s="845"/>
      <c r="AW18" s="882">
        <f t="shared" si="11"/>
        <v>0</v>
      </c>
      <c r="AX18" s="882">
        <f t="shared" si="5"/>
        <v>1</v>
      </c>
      <c r="AY18" s="882">
        <f t="shared" si="6"/>
        <v>1</v>
      </c>
      <c r="AZ18" s="927">
        <f t="shared" si="7"/>
        <v>1</v>
      </c>
      <c r="BA18" s="882">
        <v>0</v>
      </c>
      <c r="BB18" s="925">
        <f t="shared" si="12"/>
        <v>0</v>
      </c>
      <c r="BC18" s="882">
        <f t="shared" si="8"/>
        <v>1</v>
      </c>
      <c r="BD18" s="342" t="e">
        <f>IF(AND($BC18=0,C18=Tab_sel!$P$7,$D18=Tab_sel!$O$24,$E18=Tab_sel!$B$31),1,"")</f>
        <v>#N/A</v>
      </c>
      <c r="BE18" s="322" t="e">
        <f>IF(AND($BC18=0,C18=Tab_sel!$P$7,$D18=Tab_sel!$O$24,$E18=Tab_sel!$B$32),1,"")</f>
        <v>#N/A</v>
      </c>
      <c r="BF18" s="322" t="e">
        <f>IF(AND($BC18=0,C18=Tab_sel!$P$7,$D18=Tab_sel!$O$24,$E18=Tab_sel!$B$33),1,"")</f>
        <v>#N/A</v>
      </c>
      <c r="BG18" s="322" t="e">
        <f>IF(AND($BC18=0,C18=Tab_sel!$P$7,$D18=Tab_sel!$O$24,$E18=Tab_sel!$B$34),1,"")</f>
        <v>#N/A</v>
      </c>
      <c r="BH18" s="322" t="e">
        <f>IF(AND($BC18=0,C18=Tab_sel!$P$7,$D18=Tab_sel!$O$24,$E18=Tab_sel!$B$35),1,"")</f>
        <v>#N/A</v>
      </c>
      <c r="BI18" s="343" t="e">
        <f>IF(AND($BC18=0,C18=Tab_sel!$P$7,$D18=Tab_sel!$O$24,$E18=Tab_sel!$B$36),1,"")</f>
        <v>#N/A</v>
      </c>
      <c r="BJ18" s="342" t="e">
        <f>IF(AND($BC18=0,$C18=Tab_sel!$P$7,$D18=Tab_sel!$O$24,$E18=Tab_sel!$N$31,$F18=Tab_sel!$B$40),1,"")</f>
        <v>#N/A</v>
      </c>
      <c r="BK18" s="322" t="e">
        <f>IF(AND($BC18=0,$C18=Tab_sel!$P$7,$D18=Tab_sel!$O$24,$E18=Tab_sel!$N$31,$F18=Tab_sel!$B$41),1,"")</f>
        <v>#N/A</v>
      </c>
      <c r="BL18" s="322" t="e">
        <f>IF(AND($BC18=0,$C18=Tab_sel!$P$7,$D18=Tab_sel!$O$24,$E18=Tab_sel!$N$31,$F18=Tab_sel!$B$42),1,"")</f>
        <v>#N/A</v>
      </c>
      <c r="BM18" s="322" t="e">
        <f>IF(AND($BC18=0,$C18=Tab_sel!$P$7,$D18=Tab_sel!$O$24,$E18=Tab_sel!$N$31,$F18=Tab_sel!$B$43),1,"")</f>
        <v>#N/A</v>
      </c>
      <c r="BN18" s="322" t="e">
        <f>IF(AND($BC18=0,$C18=Tab_sel!$P$7,$D18=Tab_sel!$O$24,$E18=Tab_sel!$N$31,$F18=Tab_sel!$B$44),1,"")</f>
        <v>#N/A</v>
      </c>
      <c r="BO18" s="343" t="e">
        <f>IF(AND($BC18=0,$C18=Tab_sel!$P$7,$D18=Tab_sel!$O$24,$E18=Tab_sel!$N$31,$F18=Tab_sel!$B$45),1,"")</f>
        <v>#N/A</v>
      </c>
      <c r="BP18" s="354" t="e">
        <f>IF(AND($BC18=0,$C18=Tab_sel!$P$7,$D18=Tab_sel!$O$24,$E18=Tab_sel!$N$31,$F18=Tab_sel!$N$40,$I18=Tab_sel!$B$61),1,"")</f>
        <v>#N/A</v>
      </c>
      <c r="BQ18" s="355" t="e">
        <f>IF(AND($BC18=0,$C18=Tab_sel!$P$7,$D18=Tab_sel!$O$24,$E18=Tab_sel!$N$31,$F18=Tab_sel!$N$40,$I18=Tab_sel!$B$62),1,"")</f>
        <v>#N/A</v>
      </c>
      <c r="BR18" s="355" t="e">
        <f>IF(AND($BC18=0,$C18=Tab_sel!$P$7,$D18=Tab_sel!$O$24,$E18=Tab_sel!$N$31,$F18=Tab_sel!$N$40,$I18=Tab_sel!$B$63),1,"")</f>
        <v>#N/A</v>
      </c>
      <c r="BS18" s="355" t="e">
        <f>IF(AND($BC18=0,$C18=Tab_sel!$P$7,$D18=Tab_sel!$O$24,$E18=Tab_sel!$N$31,$F18=Tab_sel!$N$40,$I18=Tab_sel!$B$64),1,"")</f>
        <v>#N/A</v>
      </c>
      <c r="BT18" s="356" t="e">
        <f>IF(AND($BC18=0,$C18=Tab_sel!$P$7,$D18=Tab_sel!$O$24,$E18=Tab_sel!$N$31,$F18=Tab_sel!$N$40,$I18=Tab_sel!$B$65),1,"")</f>
        <v>#N/A</v>
      </c>
      <c r="BU18" s="856" t="e">
        <f>IF(AND($BC18=0,$C18=Tab_sel!$P$7,$D18=Tab_sel!$O$24,$E18=Tab_sel!$N$31,$F18=Tab_sel!$N$40,$I18=Tab_sel!$P$61,$H18=Tab_sel!$B$77),1,"")</f>
        <v>#N/A</v>
      </c>
      <c r="BV18" s="883" t="e">
        <f>IF(AND($BC18=0,$C18=Tab_sel!$P$7,$D18=Tab_sel!$O$24,$E18=Tab_sel!$N$31,$F18=Tab_sel!$N$40,$I18=Tab_sel!$P$61,$H18=Tab_sel!$B$78),1,"")</f>
        <v>#N/A</v>
      </c>
      <c r="BW18" s="883" t="e">
        <f>IF(AND($BC18=0,$C18=Tab_sel!$P$7,$D18=Tab_sel!$O$24,$E18=Tab_sel!$N$31,$F18=Tab_sel!$N$40,$I18=Tab_sel!$P$61,$H18=Tab_sel!$B$79),1,"")</f>
        <v>#N/A</v>
      </c>
      <c r="BX18" s="883" t="e">
        <f>IF(AND($BC18=0,$C18=Tab_sel!$P$7,$D18=Tab_sel!$O$24,$E18=Tab_sel!$N$31,$F18=Tab_sel!$N$40,$I18=Tab_sel!$P$61,$H18=Tab_sel!$B$80),1,"")</f>
        <v>#N/A</v>
      </c>
      <c r="BY18" s="883" t="e">
        <f>IF(AND($BC18=0,$C18=Tab_sel!$P$7,$D18=Tab_sel!$O$24,$E18=Tab_sel!$N$31,$F18=Tab_sel!$N$40,$I18=Tab_sel!$P$61,$H18=Tab_sel!$B$81),1,"")</f>
        <v>#N/A</v>
      </c>
      <c r="BZ18" s="857" t="e">
        <f>IF(AND($BC18=0,$C18=Tab_sel!$P$7,$D18=Tab_sel!$O$24,$E18=Tab_sel!$N$31,$F18=Tab_sel!$N$40,$I18=Tab_sel!$P$61,$H18=Tab_sel!$B$82),1,"")</f>
        <v>#N/A</v>
      </c>
      <c r="CA18" s="359"/>
      <c r="CC18">
        <f t="shared" si="13"/>
        <v>0</v>
      </c>
      <c r="CD18" s="882">
        <f t="shared" si="14"/>
        <v>0</v>
      </c>
      <c r="CE18" s="882">
        <f t="shared" si="15"/>
        <v>0</v>
      </c>
      <c r="CG18" t="s">
        <v>2609</v>
      </c>
      <c r="CJ18" t="s">
        <v>2611</v>
      </c>
    </row>
    <row r="19" spans="2:88" ht="29.25" customHeight="1" x14ac:dyDescent="0.25">
      <c r="B19" s="791" t="s">
        <v>2296</v>
      </c>
      <c r="C19" s="771" t="s">
        <v>75</v>
      </c>
      <c r="D19" s="772" t="s">
        <v>76</v>
      </c>
      <c r="E19" s="771" t="str">
        <f t="shared" si="1"/>
        <v xml:space="preserve">Fichier ou base de données </v>
      </c>
      <c r="F19" s="768" t="str">
        <f t="shared" si="16"/>
        <v>Endommagement logique</v>
      </c>
      <c r="G19" s="768" t="s">
        <v>1205</v>
      </c>
      <c r="H19" s="850" t="s">
        <v>2297</v>
      </c>
      <c r="I19" s="771" t="s">
        <v>1198</v>
      </c>
      <c r="J19" s="769"/>
      <c r="K19" s="769" t="s">
        <v>1300</v>
      </c>
      <c r="L19" s="769"/>
      <c r="M19" s="788" t="s">
        <v>1259</v>
      </c>
      <c r="N19" s="851"/>
      <c r="O19" s="851"/>
      <c r="P19" s="772"/>
      <c r="Q19" s="803"/>
      <c r="R19" s="803"/>
      <c r="S19" s="804"/>
      <c r="T19" s="772"/>
      <c r="U19" s="772"/>
      <c r="V19" s="805"/>
      <c r="W19" s="851"/>
      <c r="X19" s="851"/>
      <c r="Y19" s="772"/>
      <c r="Z19" s="772"/>
      <c r="AA19" s="772"/>
      <c r="AB19" s="805"/>
      <c r="AC19" s="806"/>
      <c r="AD19" s="806"/>
      <c r="AE19" s="806"/>
      <c r="AF19" s="806"/>
      <c r="AG19" s="806"/>
      <c r="AH19" s="805"/>
      <c r="AI19" s="807" t="str">
        <f t="shared" si="2"/>
        <v/>
      </c>
      <c r="AJ19" s="805"/>
      <c r="AK19" s="359"/>
      <c r="AM19" t="str">
        <f t="shared" si="9"/>
        <v/>
      </c>
      <c r="AN19">
        <f t="shared" si="10"/>
        <v>0</v>
      </c>
      <c r="AV19" s="845"/>
      <c r="AW19" s="882">
        <f t="shared" si="11"/>
        <v>0</v>
      </c>
      <c r="AX19" s="882">
        <f t="shared" si="5"/>
        <v>1</v>
      </c>
      <c r="AY19" s="882">
        <f t="shared" si="6"/>
        <v>1</v>
      </c>
      <c r="AZ19" s="927">
        <f t="shared" si="7"/>
        <v>1</v>
      </c>
      <c r="BA19" s="882">
        <v>0</v>
      </c>
      <c r="BB19" s="925">
        <f t="shared" si="12"/>
        <v>0</v>
      </c>
      <c r="BC19" s="882">
        <f t="shared" si="8"/>
        <v>1</v>
      </c>
      <c r="BD19" s="342" t="e">
        <f>IF(AND($BC19=0,C19=Tab_sel!$P$7,$D19=Tab_sel!$O$24,$E19=Tab_sel!$B$31),1,"")</f>
        <v>#N/A</v>
      </c>
      <c r="BE19" s="322" t="e">
        <f>IF(AND($BC19=0,C19=Tab_sel!$P$7,$D19=Tab_sel!$O$24,$E19=Tab_sel!$B$32),1,"")</f>
        <v>#N/A</v>
      </c>
      <c r="BF19" s="322" t="e">
        <f>IF(AND($BC19=0,C19=Tab_sel!$P$7,$D19=Tab_sel!$O$24,$E19=Tab_sel!$B$33),1,"")</f>
        <v>#N/A</v>
      </c>
      <c r="BG19" s="322" t="e">
        <f>IF(AND($BC19=0,C19=Tab_sel!$P$7,$D19=Tab_sel!$O$24,$E19=Tab_sel!$B$34),1,"")</f>
        <v>#N/A</v>
      </c>
      <c r="BH19" s="322" t="e">
        <f>IF(AND($BC19=0,C19=Tab_sel!$P$7,$D19=Tab_sel!$O$24,$E19=Tab_sel!$B$35),1,"")</f>
        <v>#N/A</v>
      </c>
      <c r="BI19" s="343" t="e">
        <f>IF(AND($BC19=0,C19=Tab_sel!$P$7,$D19=Tab_sel!$O$24,$E19=Tab_sel!$B$36),1,"")</f>
        <v>#N/A</v>
      </c>
      <c r="BJ19" s="342" t="e">
        <f>IF(AND($BC19=0,$C19=Tab_sel!$P$7,$D19=Tab_sel!$O$24,$E19=Tab_sel!$N$31,$F19=Tab_sel!$B$40),1,"")</f>
        <v>#N/A</v>
      </c>
      <c r="BK19" s="322" t="e">
        <f>IF(AND($BC19=0,$C19=Tab_sel!$P$7,$D19=Tab_sel!$O$24,$E19=Tab_sel!$N$31,$F19=Tab_sel!$B$41),1,"")</f>
        <v>#N/A</v>
      </c>
      <c r="BL19" s="322" t="e">
        <f>IF(AND($BC19=0,$C19=Tab_sel!$P$7,$D19=Tab_sel!$O$24,$E19=Tab_sel!$N$31,$F19=Tab_sel!$B$42),1,"")</f>
        <v>#N/A</v>
      </c>
      <c r="BM19" s="322" t="e">
        <f>IF(AND($BC19=0,$C19=Tab_sel!$P$7,$D19=Tab_sel!$O$24,$E19=Tab_sel!$N$31,$F19=Tab_sel!$B$43),1,"")</f>
        <v>#N/A</v>
      </c>
      <c r="BN19" s="322" t="e">
        <f>IF(AND($BC19=0,$C19=Tab_sel!$P$7,$D19=Tab_sel!$O$24,$E19=Tab_sel!$N$31,$F19=Tab_sel!$B$44),1,"")</f>
        <v>#N/A</v>
      </c>
      <c r="BO19" s="343" t="e">
        <f>IF(AND($BC19=0,$C19=Tab_sel!$P$7,$D19=Tab_sel!$O$24,$E19=Tab_sel!$N$31,$F19=Tab_sel!$B$45),1,"")</f>
        <v>#N/A</v>
      </c>
      <c r="BP19" s="354" t="e">
        <f>IF(AND($BC19=0,$C19=Tab_sel!$P$7,$D19=Tab_sel!$O$24,$E19=Tab_sel!$N$31,$F19=Tab_sel!$N$40,$I19=Tab_sel!$B$61),1,"")</f>
        <v>#N/A</v>
      </c>
      <c r="BQ19" s="355" t="e">
        <f>IF(AND($BC19=0,$C19=Tab_sel!$P$7,$D19=Tab_sel!$O$24,$E19=Tab_sel!$N$31,$F19=Tab_sel!$N$40,$I19=Tab_sel!$B$62),1,"")</f>
        <v>#N/A</v>
      </c>
      <c r="BR19" s="355" t="e">
        <f>IF(AND($BC19=0,$C19=Tab_sel!$P$7,$D19=Tab_sel!$O$24,$E19=Tab_sel!$N$31,$F19=Tab_sel!$N$40,$I19=Tab_sel!$B$63),1,"")</f>
        <v>#N/A</v>
      </c>
      <c r="BS19" s="355" t="e">
        <f>IF(AND($BC19=0,$C19=Tab_sel!$P$7,$D19=Tab_sel!$O$24,$E19=Tab_sel!$N$31,$F19=Tab_sel!$N$40,$I19=Tab_sel!$B$64),1,"")</f>
        <v>#N/A</v>
      </c>
      <c r="BT19" s="356" t="e">
        <f>IF(AND($BC19=0,$C19=Tab_sel!$P$7,$D19=Tab_sel!$O$24,$E19=Tab_sel!$N$31,$F19=Tab_sel!$N$40,$I19=Tab_sel!$B$65),1,"")</f>
        <v>#N/A</v>
      </c>
      <c r="BU19" s="856" t="e">
        <f>IF(AND($BC19=0,$C19=Tab_sel!$P$7,$D19=Tab_sel!$O$24,$E19=Tab_sel!$N$31,$F19=Tab_sel!$N$40,$I19=Tab_sel!$P$61,$H19=Tab_sel!$B$77),1,"")</f>
        <v>#N/A</v>
      </c>
      <c r="BV19" s="883" t="e">
        <f>IF(AND($BC19=0,$C19=Tab_sel!$P$7,$D19=Tab_sel!$O$24,$E19=Tab_sel!$N$31,$F19=Tab_sel!$N$40,$I19=Tab_sel!$P$61,$H19=Tab_sel!$B$78),1,"")</f>
        <v>#N/A</v>
      </c>
      <c r="BW19" s="883" t="e">
        <f>IF(AND($BC19=0,$C19=Tab_sel!$P$7,$D19=Tab_sel!$O$24,$E19=Tab_sel!$N$31,$F19=Tab_sel!$N$40,$I19=Tab_sel!$P$61,$H19=Tab_sel!$B$79),1,"")</f>
        <v>#N/A</v>
      </c>
      <c r="BX19" s="883" t="e">
        <f>IF(AND($BC19=0,$C19=Tab_sel!$P$7,$D19=Tab_sel!$O$24,$E19=Tab_sel!$N$31,$F19=Tab_sel!$N$40,$I19=Tab_sel!$P$61,$H19=Tab_sel!$B$80),1,"")</f>
        <v>#N/A</v>
      </c>
      <c r="BY19" s="883" t="e">
        <f>IF(AND($BC19=0,$C19=Tab_sel!$P$7,$D19=Tab_sel!$O$24,$E19=Tab_sel!$N$31,$F19=Tab_sel!$N$40,$I19=Tab_sel!$P$61,$H19=Tab_sel!$B$81),1,"")</f>
        <v>#N/A</v>
      </c>
      <c r="BZ19" s="857" t="e">
        <f>IF(AND($BC19=0,$C19=Tab_sel!$P$7,$D19=Tab_sel!$O$24,$E19=Tab_sel!$N$31,$F19=Tab_sel!$N$40,$I19=Tab_sel!$P$61,$H19=Tab_sel!$B$82),1,"")</f>
        <v>#N/A</v>
      </c>
      <c r="CA19" s="359"/>
      <c r="CC19">
        <f t="shared" si="13"/>
        <v>0</v>
      </c>
      <c r="CD19" s="882">
        <f t="shared" si="14"/>
        <v>0</v>
      </c>
      <c r="CE19" s="882">
        <f t="shared" si="15"/>
        <v>0</v>
      </c>
      <c r="CH19" t="s">
        <v>2610</v>
      </c>
      <c r="CJ19" t="s">
        <v>2611</v>
      </c>
    </row>
    <row r="20" spans="2:88" ht="29.25" customHeight="1" x14ac:dyDescent="0.25">
      <c r="B20" s="791" t="s">
        <v>1955</v>
      </c>
      <c r="C20" s="771" t="s">
        <v>75</v>
      </c>
      <c r="D20" s="772" t="s">
        <v>76</v>
      </c>
      <c r="E20" s="771" t="str">
        <f>Det</f>
        <v>Données en transit</v>
      </c>
      <c r="F20" s="771" t="str">
        <f>Disp</f>
        <v>Disparition</v>
      </c>
      <c r="G20" s="768" t="s">
        <v>1954</v>
      </c>
      <c r="H20" s="768"/>
      <c r="I20" s="771" t="s">
        <v>1171</v>
      </c>
      <c r="J20" s="769"/>
      <c r="L20" s="769"/>
      <c r="M20" s="769" t="s">
        <v>1348</v>
      </c>
      <c r="N20" s="767"/>
      <c r="O20" s="767"/>
      <c r="P20" s="772"/>
      <c r="Q20" s="803"/>
      <c r="R20" s="803"/>
      <c r="S20" s="804"/>
      <c r="T20" s="772"/>
      <c r="U20" s="772"/>
      <c r="V20" s="805"/>
      <c r="W20" s="767"/>
      <c r="X20" s="767"/>
      <c r="Y20" s="772"/>
      <c r="Z20" s="772"/>
      <c r="AA20" s="772"/>
      <c r="AB20" s="805"/>
      <c r="AC20" s="806"/>
      <c r="AD20" s="806"/>
      <c r="AE20" s="806"/>
      <c r="AF20" s="806"/>
      <c r="AG20" s="806"/>
      <c r="AH20" s="805"/>
      <c r="AI20" s="807" t="str">
        <f t="shared" si="2"/>
        <v/>
      </c>
      <c r="AJ20" s="805"/>
      <c r="AK20" s="359"/>
      <c r="AM20" t="str">
        <f t="shared" si="9"/>
        <v/>
      </c>
      <c r="AN20">
        <f t="shared" si="10"/>
        <v>0</v>
      </c>
      <c r="AW20" s="882">
        <f t="shared" si="11"/>
        <v>0</v>
      </c>
      <c r="AX20" s="882">
        <f t="shared" si="5"/>
        <v>1</v>
      </c>
      <c r="AY20" s="882">
        <f t="shared" si="6"/>
        <v>1</v>
      </c>
      <c r="AZ20" s="927">
        <f t="shared" si="7"/>
        <v>1</v>
      </c>
      <c r="BA20" s="882">
        <v>1</v>
      </c>
      <c r="BB20" s="925">
        <f t="shared" si="12"/>
        <v>0</v>
      </c>
      <c r="BC20" s="882">
        <f t="shared" si="8"/>
        <v>1</v>
      </c>
      <c r="BD20" s="342" t="e">
        <f>IF(AND($BC20=0,C20=Tab_sel!$P$7,$D20=Tab_sel!$O$24,$E20=Tab_sel!$B$31),1,"")</f>
        <v>#N/A</v>
      </c>
      <c r="BE20" s="322" t="e">
        <f>IF(AND($BC20=0,C20=Tab_sel!$P$7,$D20=Tab_sel!$O$24,$E20=Tab_sel!$B$32),1,"")</f>
        <v>#N/A</v>
      </c>
      <c r="BF20" s="322" t="e">
        <f>IF(AND($BC20=0,C20=Tab_sel!$P$7,$D20=Tab_sel!$O$24,$E20=Tab_sel!$B$33),1,"")</f>
        <v>#N/A</v>
      </c>
      <c r="BG20" s="322" t="e">
        <f>IF(AND($BC20=0,C20=Tab_sel!$P$7,$D20=Tab_sel!$O$24,$E20=Tab_sel!$B$34),1,"")</f>
        <v>#N/A</v>
      </c>
      <c r="BH20" s="322" t="e">
        <f>IF(AND($BC20=0,C20=Tab_sel!$P$7,$D20=Tab_sel!$O$24,$E20=Tab_sel!$B$35),1,"")</f>
        <v>#N/A</v>
      </c>
      <c r="BI20" s="343" t="e">
        <f>IF(AND($BC20=0,C20=Tab_sel!$P$7,$D20=Tab_sel!$O$24,$E20=Tab_sel!$B$36),1,"")</f>
        <v>#N/A</v>
      </c>
      <c r="BJ20" s="342" t="e">
        <f>IF(AND($BC20=0,$C20=Tab_sel!$P$7,$D20=Tab_sel!$O$24,$E20=Tab_sel!$N$31,$F20=Tab_sel!$B$40),1,"")</f>
        <v>#N/A</v>
      </c>
      <c r="BK20" s="322" t="e">
        <f>IF(AND($BC20=0,$C20=Tab_sel!$P$7,$D20=Tab_sel!$O$24,$E20=Tab_sel!$N$31,$F20=Tab_sel!$B$41),1,"")</f>
        <v>#N/A</v>
      </c>
      <c r="BL20" s="322" t="e">
        <f>IF(AND($BC20=0,$C20=Tab_sel!$P$7,$D20=Tab_sel!$O$24,$E20=Tab_sel!$N$31,$F20=Tab_sel!$B$42),1,"")</f>
        <v>#N/A</v>
      </c>
      <c r="BM20" s="322" t="e">
        <f>IF(AND($BC20=0,$C20=Tab_sel!$P$7,$D20=Tab_sel!$O$24,$E20=Tab_sel!$N$31,$F20=Tab_sel!$B$43),1,"")</f>
        <v>#N/A</v>
      </c>
      <c r="BN20" s="322" t="e">
        <f>IF(AND($BC20=0,$C20=Tab_sel!$P$7,$D20=Tab_sel!$O$24,$E20=Tab_sel!$N$31,$F20=Tab_sel!$B$44),1,"")</f>
        <v>#N/A</v>
      </c>
      <c r="BO20" s="343" t="e">
        <f>IF(AND($BC20=0,$C20=Tab_sel!$P$7,$D20=Tab_sel!$O$24,$E20=Tab_sel!$N$31,$F20=Tab_sel!$B$45),1,"")</f>
        <v>#N/A</v>
      </c>
      <c r="BP20" s="354" t="e">
        <f>IF(AND($BC20=0,$C20=Tab_sel!$P$7,$D20=Tab_sel!$O$24,$E20=Tab_sel!$N$31,$F20=Tab_sel!$N$40,$I20=Tab_sel!$B$61),1,"")</f>
        <v>#N/A</v>
      </c>
      <c r="BQ20" s="355" t="e">
        <f>IF(AND($BC20=0,$C20=Tab_sel!$P$7,$D20=Tab_sel!$O$24,$E20=Tab_sel!$N$31,$F20=Tab_sel!$N$40,$I20=Tab_sel!$B$62),1,"")</f>
        <v>#N/A</v>
      </c>
      <c r="BR20" s="355" t="e">
        <f>IF(AND($BC20=0,$C20=Tab_sel!$P$7,$D20=Tab_sel!$O$24,$E20=Tab_sel!$N$31,$F20=Tab_sel!$N$40,$I20=Tab_sel!$B$63),1,"")</f>
        <v>#N/A</v>
      </c>
      <c r="BS20" s="355" t="e">
        <f>IF(AND($BC20=0,$C20=Tab_sel!$P$7,$D20=Tab_sel!$O$24,$E20=Tab_sel!$N$31,$F20=Tab_sel!$N$40,$I20=Tab_sel!$B$64),1,"")</f>
        <v>#N/A</v>
      </c>
      <c r="BT20" s="356" t="e">
        <f>IF(AND($BC20=0,$C20=Tab_sel!$P$7,$D20=Tab_sel!$O$24,$E20=Tab_sel!$N$31,$F20=Tab_sel!$N$40,$I20=Tab_sel!$B$65),1,"")</f>
        <v>#N/A</v>
      </c>
      <c r="BU20" s="856" t="e">
        <f>IF(AND($BC20=0,$C20=Tab_sel!$P$7,$D20=Tab_sel!$O$24,$E20=Tab_sel!$N$31,$F20=Tab_sel!$N$40,$I20=Tab_sel!$P$61,$H20=Tab_sel!$B$77),1,"")</f>
        <v>#N/A</v>
      </c>
      <c r="BV20" s="883" t="e">
        <f>IF(AND($BC20=0,$C20=Tab_sel!$P$7,$D20=Tab_sel!$O$24,$E20=Tab_sel!$N$31,$F20=Tab_sel!$N$40,$I20=Tab_sel!$P$61,$H20=Tab_sel!$B$78),1,"")</f>
        <v>#N/A</v>
      </c>
      <c r="BW20" s="883" t="e">
        <f>IF(AND($BC20=0,$C20=Tab_sel!$P$7,$D20=Tab_sel!$O$24,$E20=Tab_sel!$N$31,$F20=Tab_sel!$N$40,$I20=Tab_sel!$P$61,$H20=Tab_sel!$B$79),1,"")</f>
        <v>#N/A</v>
      </c>
      <c r="BX20" s="883" t="e">
        <f>IF(AND($BC20=0,$C20=Tab_sel!$P$7,$D20=Tab_sel!$O$24,$E20=Tab_sel!$N$31,$F20=Tab_sel!$N$40,$I20=Tab_sel!$P$61,$H20=Tab_sel!$B$80),1,"")</f>
        <v>#N/A</v>
      </c>
      <c r="BY20" s="883" t="e">
        <f>IF(AND($BC20=0,$C20=Tab_sel!$P$7,$D20=Tab_sel!$O$24,$E20=Tab_sel!$N$31,$F20=Tab_sel!$N$40,$I20=Tab_sel!$P$61,$H20=Tab_sel!$B$81),1,"")</f>
        <v>#N/A</v>
      </c>
      <c r="BZ20" s="857" t="e">
        <f>IF(AND($BC20=0,$C20=Tab_sel!$P$7,$D20=Tab_sel!$O$24,$E20=Tab_sel!$N$31,$F20=Tab_sel!$N$40,$I20=Tab_sel!$P$61,$H20=Tab_sel!$B$82),1,"")</f>
        <v>#N/A</v>
      </c>
      <c r="CA20" s="359"/>
      <c r="CC20">
        <f t="shared" si="13"/>
        <v>0</v>
      </c>
      <c r="CD20" s="882">
        <f t="shared" si="14"/>
        <v>0</v>
      </c>
      <c r="CE20" s="882">
        <f t="shared" si="15"/>
        <v>0</v>
      </c>
      <c r="CJ20" t="s">
        <v>2617</v>
      </c>
    </row>
    <row r="21" spans="2:88" ht="29.25" customHeight="1" x14ac:dyDescent="0.25">
      <c r="B21" s="791" t="s">
        <v>1956</v>
      </c>
      <c r="C21" s="771" t="s">
        <v>75</v>
      </c>
      <c r="D21" s="772" t="s">
        <v>76</v>
      </c>
      <c r="E21" s="771" t="str">
        <f t="shared" ref="E21:E29" si="17">Med</f>
        <v>Media support de données</v>
      </c>
      <c r="F21" s="768" t="str">
        <f>Inac</f>
        <v>Inaccessibilité</v>
      </c>
      <c r="G21" s="768" t="s">
        <v>2257</v>
      </c>
      <c r="H21" s="768"/>
      <c r="I21" s="771" t="s">
        <v>1197</v>
      </c>
      <c r="J21" s="769"/>
      <c r="K21" s="769" t="s">
        <v>2027</v>
      </c>
      <c r="L21" s="769"/>
      <c r="M21" s="789"/>
      <c r="N21" s="767"/>
      <c r="O21" s="767"/>
      <c r="P21" s="772"/>
      <c r="Q21" s="803"/>
      <c r="R21" s="803"/>
      <c r="S21" s="804"/>
      <c r="T21" s="772"/>
      <c r="U21" s="772"/>
      <c r="V21" s="805"/>
      <c r="W21" s="767"/>
      <c r="X21" s="767"/>
      <c r="Y21" s="772"/>
      <c r="Z21" s="772"/>
      <c r="AA21" s="772"/>
      <c r="AB21" s="805"/>
      <c r="AC21" s="806"/>
      <c r="AD21" s="806"/>
      <c r="AE21" s="806"/>
      <c r="AF21" s="806"/>
      <c r="AG21" s="806"/>
      <c r="AH21" s="805"/>
      <c r="AI21" s="807" t="str">
        <f t="shared" si="2"/>
        <v/>
      </c>
      <c r="AJ21" s="805"/>
      <c r="AK21" s="359"/>
      <c r="AM21" t="str">
        <f t="shared" si="9"/>
        <v/>
      </c>
      <c r="AN21">
        <f t="shared" si="10"/>
        <v>0</v>
      </c>
      <c r="AW21" s="882">
        <f t="shared" si="11"/>
        <v>0</v>
      </c>
      <c r="AX21" s="882">
        <f t="shared" si="5"/>
        <v>1</v>
      </c>
      <c r="AY21" s="882">
        <f t="shared" si="6"/>
        <v>1</v>
      </c>
      <c r="AZ21" s="927">
        <f t="shared" si="7"/>
        <v>1</v>
      </c>
      <c r="BA21" s="882">
        <v>1</v>
      </c>
      <c r="BB21" s="925">
        <f t="shared" si="12"/>
        <v>0</v>
      </c>
      <c r="BC21" s="882">
        <f t="shared" si="8"/>
        <v>1</v>
      </c>
      <c r="BD21" s="342" t="e">
        <f>IF(AND($BC21=0,C21=Tab_sel!$P$7,$D21=Tab_sel!$O$24,$E21=Tab_sel!$B$31),1,"")</f>
        <v>#N/A</v>
      </c>
      <c r="BE21" s="322" t="e">
        <f>IF(AND($BC21=0,C21=Tab_sel!$P$7,$D21=Tab_sel!$O$24,$E21=Tab_sel!$B$32),1,"")</f>
        <v>#N/A</v>
      </c>
      <c r="BF21" s="322" t="e">
        <f>IF(AND($BC21=0,C21=Tab_sel!$P$7,$D21=Tab_sel!$O$24,$E21=Tab_sel!$B$33),1,"")</f>
        <v>#N/A</v>
      </c>
      <c r="BG21" s="322" t="e">
        <f>IF(AND($BC21=0,C21=Tab_sel!$P$7,$D21=Tab_sel!$O$24,$E21=Tab_sel!$B$34),1,"")</f>
        <v>#N/A</v>
      </c>
      <c r="BH21" s="322" t="e">
        <f>IF(AND($BC21=0,C21=Tab_sel!$P$7,$D21=Tab_sel!$O$24,$E21=Tab_sel!$B$35),1,"")</f>
        <v>#N/A</v>
      </c>
      <c r="BI21" s="343" t="e">
        <f>IF(AND($BC21=0,C21=Tab_sel!$P$7,$D21=Tab_sel!$O$24,$E21=Tab_sel!$B$36),1,"")</f>
        <v>#N/A</v>
      </c>
      <c r="BJ21" s="342" t="e">
        <f>IF(AND($BC21=0,$C21=Tab_sel!$P$7,$D21=Tab_sel!$O$24,$E21=Tab_sel!$N$31,$F21=Tab_sel!$B$40),1,"")</f>
        <v>#N/A</v>
      </c>
      <c r="BK21" s="322" t="e">
        <f>IF(AND($BC21=0,$C21=Tab_sel!$P$7,$D21=Tab_sel!$O$24,$E21=Tab_sel!$N$31,$F21=Tab_sel!$B$41),1,"")</f>
        <v>#N/A</v>
      </c>
      <c r="BL21" s="322" t="e">
        <f>IF(AND($BC21=0,$C21=Tab_sel!$P$7,$D21=Tab_sel!$O$24,$E21=Tab_sel!$N$31,$F21=Tab_sel!$B$42),1,"")</f>
        <v>#N/A</v>
      </c>
      <c r="BM21" s="322" t="e">
        <f>IF(AND($BC21=0,$C21=Tab_sel!$P$7,$D21=Tab_sel!$O$24,$E21=Tab_sel!$N$31,$F21=Tab_sel!$B$43),1,"")</f>
        <v>#N/A</v>
      </c>
      <c r="BN21" s="322" t="e">
        <f>IF(AND($BC21=0,$C21=Tab_sel!$P$7,$D21=Tab_sel!$O$24,$E21=Tab_sel!$N$31,$F21=Tab_sel!$B$44),1,"")</f>
        <v>#N/A</v>
      </c>
      <c r="BO21" s="343" t="e">
        <f>IF(AND($BC21=0,$C21=Tab_sel!$P$7,$D21=Tab_sel!$O$24,$E21=Tab_sel!$N$31,$F21=Tab_sel!$B$45),1,"")</f>
        <v>#N/A</v>
      </c>
      <c r="BP21" s="354" t="e">
        <f>IF(AND($BC21=0,$C21=Tab_sel!$P$7,$D21=Tab_sel!$O$24,$E21=Tab_sel!$N$31,$F21=Tab_sel!$N$40,$I21=Tab_sel!$B$61),1,"")</f>
        <v>#N/A</v>
      </c>
      <c r="BQ21" s="355" t="e">
        <f>IF(AND($BC21=0,$C21=Tab_sel!$P$7,$D21=Tab_sel!$O$24,$E21=Tab_sel!$N$31,$F21=Tab_sel!$N$40,$I21=Tab_sel!$B$62),1,"")</f>
        <v>#N/A</v>
      </c>
      <c r="BR21" s="355" t="e">
        <f>IF(AND($BC21=0,$C21=Tab_sel!$P$7,$D21=Tab_sel!$O$24,$E21=Tab_sel!$N$31,$F21=Tab_sel!$N$40,$I21=Tab_sel!$B$63),1,"")</f>
        <v>#N/A</v>
      </c>
      <c r="BS21" s="355" t="e">
        <f>IF(AND($BC21=0,$C21=Tab_sel!$P$7,$D21=Tab_sel!$O$24,$E21=Tab_sel!$N$31,$F21=Tab_sel!$N$40,$I21=Tab_sel!$B$64),1,"")</f>
        <v>#N/A</v>
      </c>
      <c r="BT21" s="356" t="e">
        <f>IF(AND($BC21=0,$C21=Tab_sel!$P$7,$D21=Tab_sel!$O$24,$E21=Tab_sel!$N$31,$F21=Tab_sel!$N$40,$I21=Tab_sel!$B$65),1,"")</f>
        <v>#N/A</v>
      </c>
      <c r="BU21" s="856" t="e">
        <f>IF(AND($BC21=0,$C21=Tab_sel!$P$7,$D21=Tab_sel!$O$24,$E21=Tab_sel!$N$31,$F21=Tab_sel!$N$40,$I21=Tab_sel!$P$61,$H21=Tab_sel!$B$77),1,"")</f>
        <v>#N/A</v>
      </c>
      <c r="BV21" s="883" t="e">
        <f>IF(AND($BC21=0,$C21=Tab_sel!$P$7,$D21=Tab_sel!$O$24,$E21=Tab_sel!$N$31,$F21=Tab_sel!$N$40,$I21=Tab_sel!$P$61,$H21=Tab_sel!$B$78),1,"")</f>
        <v>#N/A</v>
      </c>
      <c r="BW21" s="883" t="e">
        <f>IF(AND($BC21=0,$C21=Tab_sel!$P$7,$D21=Tab_sel!$O$24,$E21=Tab_sel!$N$31,$F21=Tab_sel!$N$40,$I21=Tab_sel!$P$61,$H21=Tab_sel!$B$79),1,"")</f>
        <v>#N/A</v>
      </c>
      <c r="BX21" s="883" t="e">
        <f>IF(AND($BC21=0,$C21=Tab_sel!$P$7,$D21=Tab_sel!$O$24,$E21=Tab_sel!$N$31,$F21=Tab_sel!$N$40,$I21=Tab_sel!$P$61,$H21=Tab_sel!$B$80),1,"")</f>
        <v>#N/A</v>
      </c>
      <c r="BY21" s="883" t="e">
        <f>IF(AND($BC21=0,$C21=Tab_sel!$P$7,$D21=Tab_sel!$O$24,$E21=Tab_sel!$N$31,$F21=Tab_sel!$N$40,$I21=Tab_sel!$P$61,$H21=Tab_sel!$B$81),1,"")</f>
        <v>#N/A</v>
      </c>
      <c r="BZ21" s="857" t="e">
        <f>IF(AND($BC21=0,$C21=Tab_sel!$P$7,$D21=Tab_sel!$O$24,$E21=Tab_sel!$N$31,$F21=Tab_sel!$N$40,$I21=Tab_sel!$P$61,$H21=Tab_sel!$B$82),1,"")</f>
        <v>#N/A</v>
      </c>
      <c r="CA21" s="359"/>
      <c r="CC21">
        <f t="shared" si="13"/>
        <v>0</v>
      </c>
      <c r="CD21" s="882">
        <f t="shared" si="14"/>
        <v>0</v>
      </c>
      <c r="CE21" s="882">
        <f t="shared" si="15"/>
        <v>0</v>
      </c>
      <c r="CH21" t="s">
        <v>2612</v>
      </c>
    </row>
    <row r="22" spans="2:88" ht="29.25" customHeight="1" x14ac:dyDescent="0.25">
      <c r="B22" s="791" t="s">
        <v>1957</v>
      </c>
      <c r="C22" s="771" t="s">
        <v>75</v>
      </c>
      <c r="D22" s="772" t="s">
        <v>76</v>
      </c>
      <c r="E22" s="771" t="str">
        <f t="shared" si="17"/>
        <v>Media support de données</v>
      </c>
      <c r="F22" s="773" t="str">
        <f>Disp</f>
        <v>Disparition</v>
      </c>
      <c r="G22" s="773" t="s">
        <v>2486</v>
      </c>
      <c r="H22" s="773"/>
      <c r="I22" s="771" t="s">
        <v>1169</v>
      </c>
      <c r="J22" s="774"/>
      <c r="K22" s="821"/>
      <c r="L22" s="774"/>
      <c r="M22" s="788" t="s">
        <v>1259</v>
      </c>
      <c r="N22" s="767"/>
      <c r="O22" s="767"/>
      <c r="P22" s="772"/>
      <c r="Q22" s="803"/>
      <c r="R22" s="803"/>
      <c r="S22" s="804"/>
      <c r="T22" s="772"/>
      <c r="U22" s="772"/>
      <c r="V22" s="805"/>
      <c r="W22" s="767"/>
      <c r="X22" s="767"/>
      <c r="Y22" s="772"/>
      <c r="Z22" s="772"/>
      <c r="AA22" s="772"/>
      <c r="AB22" s="805"/>
      <c r="AC22" s="806"/>
      <c r="AD22" s="806"/>
      <c r="AE22" s="806"/>
      <c r="AF22" s="806"/>
      <c r="AG22" s="806"/>
      <c r="AH22" s="805"/>
      <c r="AI22" s="807" t="str">
        <f t="shared" si="2"/>
        <v/>
      </c>
      <c r="AJ22" s="805"/>
      <c r="AK22" s="359"/>
      <c r="AM22" t="str">
        <f t="shared" si="9"/>
        <v/>
      </c>
      <c r="AN22">
        <f t="shared" si="10"/>
        <v>0</v>
      </c>
      <c r="AW22" s="882">
        <f t="shared" si="11"/>
        <v>0</v>
      </c>
      <c r="AX22" s="882">
        <f t="shared" si="5"/>
        <v>1</v>
      </c>
      <c r="AY22" s="882">
        <f t="shared" si="6"/>
        <v>1</v>
      </c>
      <c r="AZ22" s="927">
        <f t="shared" si="7"/>
        <v>1</v>
      </c>
      <c r="BA22" s="882">
        <v>1</v>
      </c>
      <c r="BB22" s="925">
        <f t="shared" si="12"/>
        <v>0</v>
      </c>
      <c r="BC22" s="882">
        <f t="shared" si="8"/>
        <v>1</v>
      </c>
      <c r="BD22" s="342" t="e">
        <f>IF(AND($BC22=0,C22=Tab_sel!$P$7,$D22=Tab_sel!$O$24,$E22=Tab_sel!$B$31),1,"")</f>
        <v>#N/A</v>
      </c>
      <c r="BE22" s="322" t="e">
        <f>IF(AND($BC22=0,C22=Tab_sel!$P$7,$D22=Tab_sel!$O$24,$E22=Tab_sel!$B$32),1,"")</f>
        <v>#N/A</v>
      </c>
      <c r="BF22" s="322" t="e">
        <f>IF(AND($BC22=0,C22=Tab_sel!$P$7,$D22=Tab_sel!$O$24,$E22=Tab_sel!$B$33),1,"")</f>
        <v>#N/A</v>
      </c>
      <c r="BG22" s="322" t="e">
        <f>IF(AND($BC22=0,C22=Tab_sel!$P$7,$D22=Tab_sel!$O$24,$E22=Tab_sel!$B$34),1,"")</f>
        <v>#N/A</v>
      </c>
      <c r="BH22" s="322" t="e">
        <f>IF(AND($BC22=0,C22=Tab_sel!$P$7,$D22=Tab_sel!$O$24,$E22=Tab_sel!$B$35),1,"")</f>
        <v>#N/A</v>
      </c>
      <c r="BI22" s="343" t="e">
        <f>IF(AND($BC22=0,C22=Tab_sel!$P$7,$D22=Tab_sel!$O$24,$E22=Tab_sel!$B$36),1,"")</f>
        <v>#N/A</v>
      </c>
      <c r="BJ22" s="342" t="e">
        <f>IF(AND($BC22=0,$C22=Tab_sel!$P$7,$D22=Tab_sel!$O$24,$E22=Tab_sel!$N$31,$F22=Tab_sel!$B$40),1,"")</f>
        <v>#N/A</v>
      </c>
      <c r="BK22" s="322" t="e">
        <f>IF(AND($BC22=0,$C22=Tab_sel!$P$7,$D22=Tab_sel!$O$24,$E22=Tab_sel!$N$31,$F22=Tab_sel!$B$41),1,"")</f>
        <v>#N/A</v>
      </c>
      <c r="BL22" s="322" t="e">
        <f>IF(AND($BC22=0,$C22=Tab_sel!$P$7,$D22=Tab_sel!$O$24,$E22=Tab_sel!$N$31,$F22=Tab_sel!$B$42),1,"")</f>
        <v>#N/A</v>
      </c>
      <c r="BM22" s="322" t="e">
        <f>IF(AND($BC22=0,$C22=Tab_sel!$P$7,$D22=Tab_sel!$O$24,$E22=Tab_sel!$N$31,$F22=Tab_sel!$B$43),1,"")</f>
        <v>#N/A</v>
      </c>
      <c r="BN22" s="322" t="e">
        <f>IF(AND($BC22=0,$C22=Tab_sel!$P$7,$D22=Tab_sel!$O$24,$E22=Tab_sel!$N$31,$F22=Tab_sel!$B$44),1,"")</f>
        <v>#N/A</v>
      </c>
      <c r="BO22" s="343" t="e">
        <f>IF(AND($BC22=0,$C22=Tab_sel!$P$7,$D22=Tab_sel!$O$24,$E22=Tab_sel!$N$31,$F22=Tab_sel!$B$45),1,"")</f>
        <v>#N/A</v>
      </c>
      <c r="BP22" s="354" t="e">
        <f>IF(AND($BC22=0,$C22=Tab_sel!$P$7,$D22=Tab_sel!$O$24,$E22=Tab_sel!$N$31,$F22=Tab_sel!$N$40,$I22=Tab_sel!$B$61),1,"")</f>
        <v>#N/A</v>
      </c>
      <c r="BQ22" s="355" t="e">
        <f>IF(AND($BC22=0,$C22=Tab_sel!$P$7,$D22=Tab_sel!$O$24,$E22=Tab_sel!$N$31,$F22=Tab_sel!$N$40,$I22=Tab_sel!$B$62),1,"")</f>
        <v>#N/A</v>
      </c>
      <c r="BR22" s="355" t="e">
        <f>IF(AND($BC22=0,$C22=Tab_sel!$P$7,$D22=Tab_sel!$O$24,$E22=Tab_sel!$N$31,$F22=Tab_sel!$N$40,$I22=Tab_sel!$B$63),1,"")</f>
        <v>#N/A</v>
      </c>
      <c r="BS22" s="355" t="e">
        <f>IF(AND($BC22=0,$C22=Tab_sel!$P$7,$D22=Tab_sel!$O$24,$E22=Tab_sel!$N$31,$F22=Tab_sel!$N$40,$I22=Tab_sel!$B$64),1,"")</f>
        <v>#N/A</v>
      </c>
      <c r="BT22" s="356" t="e">
        <f>IF(AND($BC22=0,$C22=Tab_sel!$P$7,$D22=Tab_sel!$O$24,$E22=Tab_sel!$N$31,$F22=Tab_sel!$N$40,$I22=Tab_sel!$B$65),1,"")</f>
        <v>#N/A</v>
      </c>
      <c r="BU22" s="856" t="e">
        <f>IF(AND($BC22=0,$C22=Tab_sel!$P$7,$D22=Tab_sel!$O$24,$E22=Tab_sel!$N$31,$F22=Tab_sel!$N$40,$I22=Tab_sel!$P$61,$H22=Tab_sel!$B$77),1,"")</f>
        <v>#N/A</v>
      </c>
      <c r="BV22" s="883" t="e">
        <f>IF(AND($BC22=0,$C22=Tab_sel!$P$7,$D22=Tab_sel!$O$24,$E22=Tab_sel!$N$31,$F22=Tab_sel!$N$40,$I22=Tab_sel!$P$61,$H22=Tab_sel!$B$78),1,"")</f>
        <v>#N/A</v>
      </c>
      <c r="BW22" s="883" t="e">
        <f>IF(AND($BC22=0,$C22=Tab_sel!$P$7,$D22=Tab_sel!$O$24,$E22=Tab_sel!$N$31,$F22=Tab_sel!$N$40,$I22=Tab_sel!$P$61,$H22=Tab_sel!$B$79),1,"")</f>
        <v>#N/A</v>
      </c>
      <c r="BX22" s="883" t="e">
        <f>IF(AND($BC22=0,$C22=Tab_sel!$P$7,$D22=Tab_sel!$O$24,$E22=Tab_sel!$N$31,$F22=Tab_sel!$N$40,$I22=Tab_sel!$P$61,$H22=Tab_sel!$B$80),1,"")</f>
        <v>#N/A</v>
      </c>
      <c r="BY22" s="883" t="e">
        <f>IF(AND($BC22=0,$C22=Tab_sel!$P$7,$D22=Tab_sel!$O$24,$E22=Tab_sel!$N$31,$F22=Tab_sel!$N$40,$I22=Tab_sel!$P$61,$H22=Tab_sel!$B$81),1,"")</f>
        <v>#N/A</v>
      </c>
      <c r="BZ22" s="857" t="e">
        <f>IF(AND($BC22=0,$C22=Tab_sel!$P$7,$D22=Tab_sel!$O$24,$E22=Tab_sel!$N$31,$F22=Tab_sel!$N$40,$I22=Tab_sel!$P$61,$H22=Tab_sel!$B$82),1,"")</f>
        <v>#N/A</v>
      </c>
      <c r="CA22" s="359"/>
      <c r="CC22">
        <f t="shared" si="13"/>
        <v>0</v>
      </c>
      <c r="CD22" s="882">
        <f t="shared" si="14"/>
        <v>0</v>
      </c>
      <c r="CE22" s="882">
        <f t="shared" si="15"/>
        <v>0</v>
      </c>
      <c r="CJ22" t="s">
        <v>2611</v>
      </c>
    </row>
    <row r="23" spans="2:88" ht="29.25" customHeight="1" x14ac:dyDescent="0.25">
      <c r="B23" s="791" t="s">
        <v>1958</v>
      </c>
      <c r="C23" s="771" t="s">
        <v>75</v>
      </c>
      <c r="D23" s="772" t="s">
        <v>76</v>
      </c>
      <c r="E23" s="771" t="str">
        <f t="shared" si="17"/>
        <v>Media support de données</v>
      </c>
      <c r="F23" s="773" t="str">
        <f>Disp</f>
        <v>Disparition</v>
      </c>
      <c r="G23" s="773" t="s">
        <v>2476</v>
      </c>
      <c r="H23" s="852"/>
      <c r="I23" s="771" t="s">
        <v>1204</v>
      </c>
      <c r="J23" s="774" t="s">
        <v>2374</v>
      </c>
      <c r="K23" s="821" t="s">
        <v>1292</v>
      </c>
      <c r="L23" s="774"/>
      <c r="M23" s="788" t="s">
        <v>1259</v>
      </c>
      <c r="N23" s="851"/>
      <c r="O23" s="851"/>
      <c r="P23" s="772"/>
      <c r="Q23" s="803"/>
      <c r="R23" s="803"/>
      <c r="S23" s="804"/>
      <c r="T23" s="772"/>
      <c r="U23" s="772"/>
      <c r="V23" s="805"/>
      <c r="W23" s="851"/>
      <c r="X23" s="851"/>
      <c r="Y23" s="772"/>
      <c r="Z23" s="772"/>
      <c r="AA23" s="772"/>
      <c r="AB23" s="805"/>
      <c r="AC23" s="806"/>
      <c r="AD23" s="806"/>
      <c r="AE23" s="806"/>
      <c r="AF23" s="806"/>
      <c r="AG23" s="806"/>
      <c r="AH23" s="805"/>
      <c r="AI23" s="807" t="str">
        <f t="shared" si="2"/>
        <v/>
      </c>
      <c r="AJ23" s="805"/>
      <c r="AK23" s="359"/>
      <c r="AM23" t="str">
        <f t="shared" si="9"/>
        <v/>
      </c>
      <c r="AN23">
        <f t="shared" si="10"/>
        <v>0</v>
      </c>
      <c r="AV23" s="845"/>
      <c r="AW23" s="882">
        <f t="shared" si="11"/>
        <v>0</v>
      </c>
      <c r="AX23" s="882">
        <f t="shared" si="5"/>
        <v>1</v>
      </c>
      <c r="AY23" s="882">
        <f t="shared" si="6"/>
        <v>1</v>
      </c>
      <c r="AZ23" s="927">
        <f t="shared" si="7"/>
        <v>1</v>
      </c>
      <c r="BA23" s="882">
        <v>1</v>
      </c>
      <c r="BB23" s="925">
        <f t="shared" si="12"/>
        <v>0</v>
      </c>
      <c r="BC23" s="882">
        <f t="shared" si="8"/>
        <v>1</v>
      </c>
      <c r="BD23" s="342" t="e">
        <f>IF(AND($BC23=0,C23=Tab_sel!$P$7,$D23=Tab_sel!$O$24,$E23=Tab_sel!$B$31),1,"")</f>
        <v>#N/A</v>
      </c>
      <c r="BE23" s="322" t="e">
        <f>IF(AND($BC23=0,C23=Tab_sel!$P$7,$D23=Tab_sel!$O$24,$E23=Tab_sel!$B$32),1,"")</f>
        <v>#N/A</v>
      </c>
      <c r="BF23" s="322" t="e">
        <f>IF(AND($BC23=0,C23=Tab_sel!$P$7,$D23=Tab_sel!$O$24,$E23=Tab_sel!$B$33),1,"")</f>
        <v>#N/A</v>
      </c>
      <c r="BG23" s="322" t="e">
        <f>IF(AND($BC23=0,C23=Tab_sel!$P$7,$D23=Tab_sel!$O$24,$E23=Tab_sel!$B$34),1,"")</f>
        <v>#N/A</v>
      </c>
      <c r="BH23" s="322" t="e">
        <f>IF(AND($BC23=0,C23=Tab_sel!$P$7,$D23=Tab_sel!$O$24,$E23=Tab_sel!$B$35),1,"")</f>
        <v>#N/A</v>
      </c>
      <c r="BI23" s="343" t="e">
        <f>IF(AND($BC23=0,C23=Tab_sel!$P$7,$D23=Tab_sel!$O$24,$E23=Tab_sel!$B$36),1,"")</f>
        <v>#N/A</v>
      </c>
      <c r="BJ23" s="342" t="e">
        <f>IF(AND($BC23=0,$C23=Tab_sel!$P$7,$D23=Tab_sel!$O$24,$E23=Tab_sel!$N$31,$F23=Tab_sel!$B$40),1,"")</f>
        <v>#N/A</v>
      </c>
      <c r="BK23" s="322" t="e">
        <f>IF(AND($BC23=0,$C23=Tab_sel!$P$7,$D23=Tab_sel!$O$24,$E23=Tab_sel!$N$31,$F23=Tab_sel!$B$41),1,"")</f>
        <v>#N/A</v>
      </c>
      <c r="BL23" s="322" t="e">
        <f>IF(AND($BC23=0,$C23=Tab_sel!$P$7,$D23=Tab_sel!$O$24,$E23=Tab_sel!$N$31,$F23=Tab_sel!$B$42),1,"")</f>
        <v>#N/A</v>
      </c>
      <c r="BM23" s="322" t="e">
        <f>IF(AND($BC23=0,$C23=Tab_sel!$P$7,$D23=Tab_sel!$O$24,$E23=Tab_sel!$N$31,$F23=Tab_sel!$B$43),1,"")</f>
        <v>#N/A</v>
      </c>
      <c r="BN23" s="322" t="e">
        <f>IF(AND($BC23=0,$C23=Tab_sel!$P$7,$D23=Tab_sel!$O$24,$E23=Tab_sel!$N$31,$F23=Tab_sel!$B$44),1,"")</f>
        <v>#N/A</v>
      </c>
      <c r="BO23" s="343" t="e">
        <f>IF(AND($BC23=0,$C23=Tab_sel!$P$7,$D23=Tab_sel!$O$24,$E23=Tab_sel!$N$31,$F23=Tab_sel!$B$45),1,"")</f>
        <v>#N/A</v>
      </c>
      <c r="BP23" s="354" t="e">
        <f>IF(AND($BC23=0,$C23=Tab_sel!$P$7,$D23=Tab_sel!$O$24,$E23=Tab_sel!$N$31,$F23=Tab_sel!$N$40,$I23=Tab_sel!$B$61),1,"")</f>
        <v>#N/A</v>
      </c>
      <c r="BQ23" s="355" t="e">
        <f>IF(AND($BC23=0,$C23=Tab_sel!$P$7,$D23=Tab_sel!$O$24,$E23=Tab_sel!$N$31,$F23=Tab_sel!$N$40,$I23=Tab_sel!$B$62),1,"")</f>
        <v>#N/A</v>
      </c>
      <c r="BR23" s="355" t="e">
        <f>IF(AND($BC23=0,$C23=Tab_sel!$P$7,$D23=Tab_sel!$O$24,$E23=Tab_sel!$N$31,$F23=Tab_sel!$N$40,$I23=Tab_sel!$B$63),1,"")</f>
        <v>#N/A</v>
      </c>
      <c r="BS23" s="355" t="e">
        <f>IF(AND($BC23=0,$C23=Tab_sel!$P$7,$D23=Tab_sel!$O$24,$E23=Tab_sel!$N$31,$F23=Tab_sel!$N$40,$I23=Tab_sel!$B$64),1,"")</f>
        <v>#N/A</v>
      </c>
      <c r="BT23" s="356" t="e">
        <f>IF(AND($BC23=0,$C23=Tab_sel!$P$7,$D23=Tab_sel!$O$24,$E23=Tab_sel!$N$31,$F23=Tab_sel!$N$40,$I23=Tab_sel!$B$65),1,"")</f>
        <v>#N/A</v>
      </c>
      <c r="BU23" s="856" t="e">
        <f>IF(AND($BC23=0,$C23=Tab_sel!$P$7,$D23=Tab_sel!$O$24,$E23=Tab_sel!$N$31,$F23=Tab_sel!$N$40,$I23=Tab_sel!$P$61,$H23=Tab_sel!$B$77),1,"")</f>
        <v>#N/A</v>
      </c>
      <c r="BV23" s="883" t="e">
        <f>IF(AND($BC23=0,$C23=Tab_sel!$P$7,$D23=Tab_sel!$O$24,$E23=Tab_sel!$N$31,$F23=Tab_sel!$N$40,$I23=Tab_sel!$P$61,$H23=Tab_sel!$B$78),1,"")</f>
        <v>#N/A</v>
      </c>
      <c r="BW23" s="883" t="e">
        <f>IF(AND($BC23=0,$C23=Tab_sel!$P$7,$D23=Tab_sel!$O$24,$E23=Tab_sel!$N$31,$F23=Tab_sel!$N$40,$I23=Tab_sel!$P$61,$H23=Tab_sel!$B$79),1,"")</f>
        <v>#N/A</v>
      </c>
      <c r="BX23" s="883" t="e">
        <f>IF(AND($BC23=0,$C23=Tab_sel!$P$7,$D23=Tab_sel!$O$24,$E23=Tab_sel!$N$31,$F23=Tab_sel!$N$40,$I23=Tab_sel!$P$61,$H23=Tab_sel!$B$80),1,"")</f>
        <v>#N/A</v>
      </c>
      <c r="BY23" s="883" t="e">
        <f>IF(AND($BC23=0,$C23=Tab_sel!$P$7,$D23=Tab_sel!$O$24,$E23=Tab_sel!$N$31,$F23=Tab_sel!$N$40,$I23=Tab_sel!$P$61,$H23=Tab_sel!$B$81),1,"")</f>
        <v>#N/A</v>
      </c>
      <c r="BZ23" s="857" t="e">
        <f>IF(AND($BC23=0,$C23=Tab_sel!$P$7,$D23=Tab_sel!$O$24,$E23=Tab_sel!$N$31,$F23=Tab_sel!$N$40,$I23=Tab_sel!$P$61,$H23=Tab_sel!$B$82),1,"")</f>
        <v>#N/A</v>
      </c>
      <c r="CA23" s="359"/>
      <c r="CC23">
        <f t="shared" si="13"/>
        <v>0</v>
      </c>
      <c r="CD23" s="882">
        <f t="shared" si="14"/>
        <v>0</v>
      </c>
      <c r="CE23" s="882">
        <f t="shared" si="15"/>
        <v>0</v>
      </c>
      <c r="CG23" t="s">
        <v>2618</v>
      </c>
      <c r="CH23" t="s">
        <v>2619</v>
      </c>
      <c r="CJ23" t="s">
        <v>2611</v>
      </c>
    </row>
    <row r="24" spans="2:88" ht="29.25" customHeight="1" x14ac:dyDescent="0.25">
      <c r="B24" s="791" t="s">
        <v>2477</v>
      </c>
      <c r="C24" s="771" t="s">
        <v>75</v>
      </c>
      <c r="D24" s="772" t="s">
        <v>76</v>
      </c>
      <c r="E24" s="771" t="str">
        <f t="shared" si="17"/>
        <v>Media support de données</v>
      </c>
      <c r="F24" s="773" t="str">
        <f>Disp</f>
        <v>Disparition</v>
      </c>
      <c r="G24" s="773" t="s">
        <v>2476</v>
      </c>
      <c r="H24" s="850" t="s">
        <v>2587</v>
      </c>
      <c r="I24" s="771" t="s">
        <v>1204</v>
      </c>
      <c r="J24" s="774" t="s">
        <v>2374</v>
      </c>
      <c r="K24" s="821"/>
      <c r="L24" s="774"/>
      <c r="M24" s="788" t="s">
        <v>1259</v>
      </c>
      <c r="N24" s="851"/>
      <c r="O24" s="851"/>
      <c r="P24" s="772"/>
      <c r="Q24" s="803"/>
      <c r="R24" s="803"/>
      <c r="S24" s="804"/>
      <c r="T24" s="772"/>
      <c r="U24" s="772"/>
      <c r="V24" s="805"/>
      <c r="W24" s="851"/>
      <c r="X24" s="851"/>
      <c r="Y24" s="772"/>
      <c r="Z24" s="772"/>
      <c r="AA24" s="772"/>
      <c r="AB24" s="805"/>
      <c r="AC24" s="806"/>
      <c r="AD24" s="806"/>
      <c r="AE24" s="806"/>
      <c r="AF24" s="806"/>
      <c r="AG24" s="806"/>
      <c r="AH24" s="805"/>
      <c r="AI24" s="807" t="str">
        <f t="shared" si="2"/>
        <v/>
      </c>
      <c r="AJ24" s="805"/>
      <c r="AK24" s="359"/>
      <c r="AM24" t="str">
        <f t="shared" si="9"/>
        <v/>
      </c>
      <c r="AN24">
        <f t="shared" si="10"/>
        <v>0</v>
      </c>
      <c r="AV24" s="845"/>
      <c r="AW24" s="882">
        <f t="shared" si="11"/>
        <v>0</v>
      </c>
      <c r="AX24" s="882">
        <f t="shared" si="5"/>
        <v>1</v>
      </c>
      <c r="AY24" s="882">
        <f t="shared" si="6"/>
        <v>1</v>
      </c>
      <c r="AZ24" s="927">
        <f t="shared" si="7"/>
        <v>1</v>
      </c>
      <c r="BA24" s="882">
        <v>0</v>
      </c>
      <c r="BB24" s="925">
        <f t="shared" si="12"/>
        <v>0</v>
      </c>
      <c r="BC24" s="882">
        <f t="shared" si="8"/>
        <v>1</v>
      </c>
      <c r="BD24" s="342" t="e">
        <f>IF(AND($BC24=0,C24=Tab_sel!$P$7,$D24=Tab_sel!$O$24,$E24=Tab_sel!$B$31),1,"")</f>
        <v>#N/A</v>
      </c>
      <c r="BE24" s="322" t="e">
        <f>IF(AND($BC24=0,C24=Tab_sel!$P$7,$D24=Tab_sel!$O$24,$E24=Tab_sel!$B$32),1,"")</f>
        <v>#N/A</v>
      </c>
      <c r="BF24" s="322" t="e">
        <f>IF(AND($BC24=0,C24=Tab_sel!$P$7,$D24=Tab_sel!$O$24,$E24=Tab_sel!$B$33),1,"")</f>
        <v>#N/A</v>
      </c>
      <c r="BG24" s="322" t="e">
        <f>IF(AND($BC24=0,C24=Tab_sel!$P$7,$D24=Tab_sel!$O$24,$E24=Tab_sel!$B$34),1,"")</f>
        <v>#N/A</v>
      </c>
      <c r="BH24" s="322" t="e">
        <f>IF(AND($BC24=0,C24=Tab_sel!$P$7,$D24=Tab_sel!$O$24,$E24=Tab_sel!$B$35),1,"")</f>
        <v>#N/A</v>
      </c>
      <c r="BI24" s="343" t="e">
        <f>IF(AND($BC24=0,C24=Tab_sel!$P$7,$D24=Tab_sel!$O$24,$E24=Tab_sel!$B$36),1,"")</f>
        <v>#N/A</v>
      </c>
      <c r="BJ24" s="342" t="e">
        <f>IF(AND($BC24=0,$C24=Tab_sel!$P$7,$D24=Tab_sel!$O$24,$E24=Tab_sel!$N$31,$F24=Tab_sel!$B$40),1,"")</f>
        <v>#N/A</v>
      </c>
      <c r="BK24" s="322" t="e">
        <f>IF(AND($BC24=0,$C24=Tab_sel!$P$7,$D24=Tab_sel!$O$24,$E24=Tab_sel!$N$31,$F24=Tab_sel!$B$41),1,"")</f>
        <v>#N/A</v>
      </c>
      <c r="BL24" s="322" t="e">
        <f>IF(AND($BC24=0,$C24=Tab_sel!$P$7,$D24=Tab_sel!$O$24,$E24=Tab_sel!$N$31,$F24=Tab_sel!$B$42),1,"")</f>
        <v>#N/A</v>
      </c>
      <c r="BM24" s="322" t="e">
        <f>IF(AND($BC24=0,$C24=Tab_sel!$P$7,$D24=Tab_sel!$O$24,$E24=Tab_sel!$N$31,$F24=Tab_sel!$B$43),1,"")</f>
        <v>#N/A</v>
      </c>
      <c r="BN24" s="322" t="e">
        <f>IF(AND($BC24=0,$C24=Tab_sel!$P$7,$D24=Tab_sel!$O$24,$E24=Tab_sel!$N$31,$F24=Tab_sel!$B$44),1,"")</f>
        <v>#N/A</v>
      </c>
      <c r="BO24" s="343" t="e">
        <f>IF(AND($BC24=0,$C24=Tab_sel!$P$7,$D24=Tab_sel!$O$24,$E24=Tab_sel!$N$31,$F24=Tab_sel!$B$45),1,"")</f>
        <v>#N/A</v>
      </c>
      <c r="BP24" s="354" t="e">
        <f>IF(AND($BC24=0,$C24=Tab_sel!$P$7,$D24=Tab_sel!$O$24,$E24=Tab_sel!$N$31,$F24=Tab_sel!$N$40,$I24=Tab_sel!$B$61),1,"")</f>
        <v>#N/A</v>
      </c>
      <c r="BQ24" s="355" t="e">
        <f>IF(AND($BC24=0,$C24=Tab_sel!$P$7,$D24=Tab_sel!$O$24,$E24=Tab_sel!$N$31,$F24=Tab_sel!$N$40,$I24=Tab_sel!$B$62),1,"")</f>
        <v>#N/A</v>
      </c>
      <c r="BR24" s="355" t="e">
        <f>IF(AND($BC24=0,$C24=Tab_sel!$P$7,$D24=Tab_sel!$O$24,$E24=Tab_sel!$N$31,$F24=Tab_sel!$N$40,$I24=Tab_sel!$B$63),1,"")</f>
        <v>#N/A</v>
      </c>
      <c r="BS24" s="355" t="e">
        <f>IF(AND($BC24=0,$C24=Tab_sel!$P$7,$D24=Tab_sel!$O$24,$E24=Tab_sel!$N$31,$F24=Tab_sel!$N$40,$I24=Tab_sel!$B$64),1,"")</f>
        <v>#N/A</v>
      </c>
      <c r="BT24" s="356" t="e">
        <f>IF(AND($BC24=0,$C24=Tab_sel!$P$7,$D24=Tab_sel!$O$24,$E24=Tab_sel!$N$31,$F24=Tab_sel!$N$40,$I24=Tab_sel!$B$65),1,"")</f>
        <v>#N/A</v>
      </c>
      <c r="BU24" s="856" t="e">
        <f>IF(AND($BC24=0,$C24=Tab_sel!$P$7,$D24=Tab_sel!$O$24,$E24=Tab_sel!$N$31,$F24=Tab_sel!$N$40,$I24=Tab_sel!$P$61,$H24=Tab_sel!$B$77),1,"")</f>
        <v>#N/A</v>
      </c>
      <c r="BV24" s="883" t="e">
        <f>IF(AND($BC24=0,$C24=Tab_sel!$P$7,$D24=Tab_sel!$O$24,$E24=Tab_sel!$N$31,$F24=Tab_sel!$N$40,$I24=Tab_sel!$P$61,$H24=Tab_sel!$B$78),1,"")</f>
        <v>#N/A</v>
      </c>
      <c r="BW24" s="883" t="e">
        <f>IF(AND($BC24=0,$C24=Tab_sel!$P$7,$D24=Tab_sel!$O$24,$E24=Tab_sel!$N$31,$F24=Tab_sel!$N$40,$I24=Tab_sel!$P$61,$H24=Tab_sel!$B$79),1,"")</f>
        <v>#N/A</v>
      </c>
      <c r="BX24" s="883" t="e">
        <f>IF(AND($BC24=0,$C24=Tab_sel!$P$7,$D24=Tab_sel!$O$24,$E24=Tab_sel!$N$31,$F24=Tab_sel!$N$40,$I24=Tab_sel!$P$61,$H24=Tab_sel!$B$80),1,"")</f>
        <v>#N/A</v>
      </c>
      <c r="BY24" s="883" t="e">
        <f>IF(AND($BC24=0,$C24=Tab_sel!$P$7,$D24=Tab_sel!$O$24,$E24=Tab_sel!$N$31,$F24=Tab_sel!$N$40,$I24=Tab_sel!$P$61,$H24=Tab_sel!$B$81),1,"")</f>
        <v>#N/A</v>
      </c>
      <c r="BZ24" s="857" t="e">
        <f>IF(AND($BC24=0,$C24=Tab_sel!$P$7,$D24=Tab_sel!$O$24,$E24=Tab_sel!$N$31,$F24=Tab_sel!$N$40,$I24=Tab_sel!$P$61,$H24=Tab_sel!$B$82),1,"")</f>
        <v>#N/A</v>
      </c>
      <c r="CA24" s="359"/>
      <c r="CC24">
        <f t="shared" si="13"/>
        <v>0</v>
      </c>
      <c r="CD24" s="882">
        <f t="shared" si="14"/>
        <v>0</v>
      </c>
      <c r="CE24" s="882">
        <f t="shared" si="15"/>
        <v>0</v>
      </c>
      <c r="CG24" t="s">
        <v>2618</v>
      </c>
      <c r="CJ24" t="s">
        <v>2611</v>
      </c>
    </row>
    <row r="25" spans="2:88" ht="29.25" customHeight="1" x14ac:dyDescent="0.25">
      <c r="B25" s="791" t="s">
        <v>2478</v>
      </c>
      <c r="C25" s="771" t="s">
        <v>75</v>
      </c>
      <c r="D25" s="772" t="s">
        <v>76</v>
      </c>
      <c r="E25" s="771" t="str">
        <f t="shared" si="17"/>
        <v>Media support de données</v>
      </c>
      <c r="F25" s="773" t="str">
        <f>Disp</f>
        <v>Disparition</v>
      </c>
      <c r="G25" s="773" t="s">
        <v>2476</v>
      </c>
      <c r="H25" s="850" t="s">
        <v>2499</v>
      </c>
      <c r="I25" s="771" t="s">
        <v>1204</v>
      </c>
      <c r="J25" s="774"/>
      <c r="K25" s="821" t="s">
        <v>1292</v>
      </c>
      <c r="L25" s="774"/>
      <c r="M25" s="788" t="s">
        <v>1259</v>
      </c>
      <c r="N25" s="851"/>
      <c r="O25" s="851"/>
      <c r="P25" s="772"/>
      <c r="Q25" s="803"/>
      <c r="R25" s="803"/>
      <c r="S25" s="804"/>
      <c r="T25" s="772"/>
      <c r="U25" s="772"/>
      <c r="V25" s="805"/>
      <c r="W25" s="851"/>
      <c r="X25" s="851"/>
      <c r="Y25" s="772"/>
      <c r="Z25" s="772"/>
      <c r="AA25" s="772"/>
      <c r="AB25" s="805"/>
      <c r="AC25" s="806"/>
      <c r="AD25" s="806"/>
      <c r="AE25" s="806"/>
      <c r="AF25" s="806"/>
      <c r="AG25" s="806"/>
      <c r="AH25" s="805"/>
      <c r="AI25" s="807" t="str">
        <f t="shared" si="2"/>
        <v/>
      </c>
      <c r="AJ25" s="805"/>
      <c r="AK25" s="359"/>
      <c r="AM25" t="str">
        <f t="shared" si="9"/>
        <v/>
      </c>
      <c r="AN25">
        <f t="shared" si="10"/>
        <v>0</v>
      </c>
      <c r="AV25" s="845"/>
      <c r="AW25" s="882">
        <f t="shared" si="11"/>
        <v>0</v>
      </c>
      <c r="AX25" s="882">
        <f t="shared" si="5"/>
        <v>1</v>
      </c>
      <c r="AY25" s="882">
        <f t="shared" si="6"/>
        <v>1</v>
      </c>
      <c r="AZ25" s="927">
        <f t="shared" si="7"/>
        <v>1</v>
      </c>
      <c r="BA25" s="882">
        <v>0</v>
      </c>
      <c r="BB25" s="925">
        <f t="shared" si="12"/>
        <v>0</v>
      </c>
      <c r="BC25" s="882">
        <f t="shared" si="8"/>
        <v>1</v>
      </c>
      <c r="BD25" s="342" t="e">
        <f>IF(AND($BC25=0,C25=Tab_sel!$P$7,$D25=Tab_sel!$O$24,$E25=Tab_sel!$B$31),1,"")</f>
        <v>#N/A</v>
      </c>
      <c r="BE25" s="322" t="e">
        <f>IF(AND($BC25=0,C25=Tab_sel!$P$7,$D25=Tab_sel!$O$24,$E25=Tab_sel!$B$32),1,"")</f>
        <v>#N/A</v>
      </c>
      <c r="BF25" s="322" t="e">
        <f>IF(AND($BC25=0,C25=Tab_sel!$P$7,$D25=Tab_sel!$O$24,$E25=Tab_sel!$B$33),1,"")</f>
        <v>#N/A</v>
      </c>
      <c r="BG25" s="322" t="e">
        <f>IF(AND($BC25=0,C25=Tab_sel!$P$7,$D25=Tab_sel!$O$24,$E25=Tab_sel!$B$34),1,"")</f>
        <v>#N/A</v>
      </c>
      <c r="BH25" s="322" t="e">
        <f>IF(AND($BC25=0,C25=Tab_sel!$P$7,$D25=Tab_sel!$O$24,$E25=Tab_sel!$B$35),1,"")</f>
        <v>#N/A</v>
      </c>
      <c r="BI25" s="343" t="e">
        <f>IF(AND($BC25=0,C25=Tab_sel!$P$7,$D25=Tab_sel!$O$24,$E25=Tab_sel!$B$36),1,"")</f>
        <v>#N/A</v>
      </c>
      <c r="BJ25" s="342" t="e">
        <f>IF(AND($BC25=0,$C25=Tab_sel!$P$7,$D25=Tab_sel!$O$24,$E25=Tab_sel!$N$31,$F25=Tab_sel!$B$40),1,"")</f>
        <v>#N/A</v>
      </c>
      <c r="BK25" s="322" t="e">
        <f>IF(AND($BC25=0,$C25=Tab_sel!$P$7,$D25=Tab_sel!$O$24,$E25=Tab_sel!$N$31,$F25=Tab_sel!$B$41),1,"")</f>
        <v>#N/A</v>
      </c>
      <c r="BL25" s="322" t="e">
        <f>IF(AND($BC25=0,$C25=Tab_sel!$P$7,$D25=Tab_sel!$O$24,$E25=Tab_sel!$N$31,$F25=Tab_sel!$B$42),1,"")</f>
        <v>#N/A</v>
      </c>
      <c r="BM25" s="322" t="e">
        <f>IF(AND($BC25=0,$C25=Tab_sel!$P$7,$D25=Tab_sel!$O$24,$E25=Tab_sel!$N$31,$F25=Tab_sel!$B$43),1,"")</f>
        <v>#N/A</v>
      </c>
      <c r="BN25" s="322" t="e">
        <f>IF(AND($BC25=0,$C25=Tab_sel!$P$7,$D25=Tab_sel!$O$24,$E25=Tab_sel!$N$31,$F25=Tab_sel!$B$44),1,"")</f>
        <v>#N/A</v>
      </c>
      <c r="BO25" s="343" t="e">
        <f>IF(AND($BC25=0,$C25=Tab_sel!$P$7,$D25=Tab_sel!$O$24,$E25=Tab_sel!$N$31,$F25=Tab_sel!$B$45),1,"")</f>
        <v>#N/A</v>
      </c>
      <c r="BP25" s="354" t="e">
        <f>IF(AND($BC25=0,$C25=Tab_sel!$P$7,$D25=Tab_sel!$O$24,$E25=Tab_sel!$N$31,$F25=Tab_sel!$N$40,$I25=Tab_sel!$B$61),1,"")</f>
        <v>#N/A</v>
      </c>
      <c r="BQ25" s="355" t="e">
        <f>IF(AND($BC25=0,$C25=Tab_sel!$P$7,$D25=Tab_sel!$O$24,$E25=Tab_sel!$N$31,$F25=Tab_sel!$N$40,$I25=Tab_sel!$B$62),1,"")</f>
        <v>#N/A</v>
      </c>
      <c r="BR25" s="355" t="e">
        <f>IF(AND($BC25=0,$C25=Tab_sel!$P$7,$D25=Tab_sel!$O$24,$E25=Tab_sel!$N$31,$F25=Tab_sel!$N$40,$I25=Tab_sel!$B$63),1,"")</f>
        <v>#N/A</v>
      </c>
      <c r="BS25" s="355" t="e">
        <f>IF(AND($BC25=0,$C25=Tab_sel!$P$7,$D25=Tab_sel!$O$24,$E25=Tab_sel!$N$31,$F25=Tab_sel!$N$40,$I25=Tab_sel!$B$64),1,"")</f>
        <v>#N/A</v>
      </c>
      <c r="BT25" s="356" t="e">
        <f>IF(AND($BC25=0,$C25=Tab_sel!$P$7,$D25=Tab_sel!$O$24,$E25=Tab_sel!$N$31,$F25=Tab_sel!$N$40,$I25=Tab_sel!$B$65),1,"")</f>
        <v>#N/A</v>
      </c>
      <c r="BU25" s="856" t="e">
        <f>IF(AND($BC25=0,$C25=Tab_sel!$P$7,$D25=Tab_sel!$O$24,$E25=Tab_sel!$N$31,$F25=Tab_sel!$N$40,$I25=Tab_sel!$P$61,$H25=Tab_sel!$B$77),1,"")</f>
        <v>#N/A</v>
      </c>
      <c r="BV25" s="883" t="e">
        <f>IF(AND($BC25=0,$C25=Tab_sel!$P$7,$D25=Tab_sel!$O$24,$E25=Tab_sel!$N$31,$F25=Tab_sel!$N$40,$I25=Tab_sel!$P$61,$H25=Tab_sel!$B$78),1,"")</f>
        <v>#N/A</v>
      </c>
      <c r="BW25" s="883" t="e">
        <f>IF(AND($BC25=0,$C25=Tab_sel!$P$7,$D25=Tab_sel!$O$24,$E25=Tab_sel!$N$31,$F25=Tab_sel!$N$40,$I25=Tab_sel!$P$61,$H25=Tab_sel!$B$79),1,"")</f>
        <v>#N/A</v>
      </c>
      <c r="BX25" s="883" t="e">
        <f>IF(AND($BC25=0,$C25=Tab_sel!$P$7,$D25=Tab_sel!$O$24,$E25=Tab_sel!$N$31,$F25=Tab_sel!$N$40,$I25=Tab_sel!$P$61,$H25=Tab_sel!$B$80),1,"")</f>
        <v>#N/A</v>
      </c>
      <c r="BY25" s="883" t="e">
        <f>IF(AND($BC25=0,$C25=Tab_sel!$P$7,$D25=Tab_sel!$O$24,$E25=Tab_sel!$N$31,$F25=Tab_sel!$N$40,$I25=Tab_sel!$P$61,$H25=Tab_sel!$B$81),1,"")</f>
        <v>#N/A</v>
      </c>
      <c r="BZ25" s="857" t="e">
        <f>IF(AND($BC25=0,$C25=Tab_sel!$P$7,$D25=Tab_sel!$O$24,$E25=Tab_sel!$N$31,$F25=Tab_sel!$N$40,$I25=Tab_sel!$P$61,$H25=Tab_sel!$B$82),1,"")</f>
        <v>#N/A</v>
      </c>
      <c r="CA25" s="359"/>
      <c r="CC25">
        <f t="shared" si="13"/>
        <v>0</v>
      </c>
      <c r="CD25" s="882">
        <f t="shared" si="14"/>
        <v>0</v>
      </c>
      <c r="CE25" s="882">
        <f t="shared" si="15"/>
        <v>0</v>
      </c>
      <c r="CH25" t="s">
        <v>2619</v>
      </c>
      <c r="CJ25" t="s">
        <v>2611</v>
      </c>
    </row>
    <row r="26" spans="2:88" ht="29.25" customHeight="1" x14ac:dyDescent="0.25">
      <c r="B26" s="791" t="s">
        <v>1959</v>
      </c>
      <c r="C26" s="771" t="s">
        <v>75</v>
      </c>
      <c r="D26" s="772" t="s">
        <v>76</v>
      </c>
      <c r="E26" s="771" t="str">
        <f t="shared" si="17"/>
        <v>Media support de données</v>
      </c>
      <c r="F26" s="783" t="str">
        <f>Endp</f>
        <v>Endommagement physique</v>
      </c>
      <c r="G26" s="780" t="s">
        <v>1111</v>
      </c>
      <c r="H26" s="780" t="s">
        <v>2328</v>
      </c>
      <c r="I26" s="771" t="s">
        <v>1206</v>
      </c>
      <c r="J26" s="771"/>
      <c r="K26" s="775" t="s">
        <v>1361</v>
      </c>
      <c r="L26" s="775"/>
      <c r="M26" s="788" t="s">
        <v>1259</v>
      </c>
      <c r="N26" s="767"/>
      <c r="O26" s="767"/>
      <c r="P26" s="772"/>
      <c r="Q26" s="803"/>
      <c r="R26" s="803"/>
      <c r="S26" s="804"/>
      <c r="T26" s="772"/>
      <c r="U26" s="772"/>
      <c r="V26" s="805"/>
      <c r="W26" s="767"/>
      <c r="X26" s="767"/>
      <c r="Y26" s="772"/>
      <c r="Z26" s="772"/>
      <c r="AA26" s="772"/>
      <c r="AB26" s="805"/>
      <c r="AC26" s="806"/>
      <c r="AD26" s="806"/>
      <c r="AE26" s="806"/>
      <c r="AF26" s="806"/>
      <c r="AG26" s="806"/>
      <c r="AH26" s="805"/>
      <c r="AI26" s="807" t="str">
        <f t="shared" si="2"/>
        <v/>
      </c>
      <c r="AJ26" s="805"/>
      <c r="AK26" s="359"/>
      <c r="AM26" t="str">
        <f t="shared" si="9"/>
        <v/>
      </c>
      <c r="AN26">
        <f t="shared" si="10"/>
        <v>0</v>
      </c>
      <c r="AW26" s="882">
        <f t="shared" si="11"/>
        <v>0</v>
      </c>
      <c r="AX26" s="882">
        <f t="shared" si="5"/>
        <v>1</v>
      </c>
      <c r="AY26" s="882">
        <f t="shared" si="6"/>
        <v>1</v>
      </c>
      <c r="AZ26" s="927">
        <f t="shared" si="7"/>
        <v>1</v>
      </c>
      <c r="BA26" s="882">
        <v>1</v>
      </c>
      <c r="BB26" s="925">
        <f t="shared" si="12"/>
        <v>0</v>
      </c>
      <c r="BC26" s="882">
        <f t="shared" si="8"/>
        <v>1</v>
      </c>
      <c r="BD26" s="342" t="e">
        <f>IF(AND($BC26=0,C26=Tab_sel!$P$7,$D26=Tab_sel!$O$24,$E26=Tab_sel!$B$31),1,"")</f>
        <v>#N/A</v>
      </c>
      <c r="BE26" s="322" t="e">
        <f>IF(AND($BC26=0,C26=Tab_sel!$P$7,$D26=Tab_sel!$O$24,$E26=Tab_sel!$B$32),1,"")</f>
        <v>#N/A</v>
      </c>
      <c r="BF26" s="322" t="e">
        <f>IF(AND($BC26=0,C26=Tab_sel!$P$7,$D26=Tab_sel!$O$24,$E26=Tab_sel!$B$33),1,"")</f>
        <v>#N/A</v>
      </c>
      <c r="BG26" s="322" t="e">
        <f>IF(AND($BC26=0,C26=Tab_sel!$P$7,$D26=Tab_sel!$O$24,$E26=Tab_sel!$B$34),1,"")</f>
        <v>#N/A</v>
      </c>
      <c r="BH26" s="322" t="e">
        <f>IF(AND($BC26=0,C26=Tab_sel!$P$7,$D26=Tab_sel!$O$24,$E26=Tab_sel!$B$35),1,"")</f>
        <v>#N/A</v>
      </c>
      <c r="BI26" s="343" t="e">
        <f>IF(AND($BC26=0,C26=Tab_sel!$P$7,$D26=Tab_sel!$O$24,$E26=Tab_sel!$B$36),1,"")</f>
        <v>#N/A</v>
      </c>
      <c r="BJ26" s="342" t="e">
        <f>IF(AND($BC26=0,$C26=Tab_sel!$P$7,$D26=Tab_sel!$O$24,$E26=Tab_sel!$N$31,$F26=Tab_sel!$B$40),1,"")</f>
        <v>#N/A</v>
      </c>
      <c r="BK26" s="322" t="e">
        <f>IF(AND($BC26=0,$C26=Tab_sel!$P$7,$D26=Tab_sel!$O$24,$E26=Tab_sel!$N$31,$F26=Tab_sel!$B$41),1,"")</f>
        <v>#N/A</v>
      </c>
      <c r="BL26" s="322" t="e">
        <f>IF(AND($BC26=0,$C26=Tab_sel!$P$7,$D26=Tab_sel!$O$24,$E26=Tab_sel!$N$31,$F26=Tab_sel!$B$42),1,"")</f>
        <v>#N/A</v>
      </c>
      <c r="BM26" s="322" t="e">
        <f>IF(AND($BC26=0,$C26=Tab_sel!$P$7,$D26=Tab_sel!$O$24,$E26=Tab_sel!$N$31,$F26=Tab_sel!$B$43),1,"")</f>
        <v>#N/A</v>
      </c>
      <c r="BN26" s="322" t="e">
        <f>IF(AND($BC26=0,$C26=Tab_sel!$P$7,$D26=Tab_sel!$O$24,$E26=Tab_sel!$N$31,$F26=Tab_sel!$B$44),1,"")</f>
        <v>#N/A</v>
      </c>
      <c r="BO26" s="343" t="e">
        <f>IF(AND($BC26=0,$C26=Tab_sel!$P$7,$D26=Tab_sel!$O$24,$E26=Tab_sel!$N$31,$F26=Tab_sel!$B$45),1,"")</f>
        <v>#N/A</v>
      </c>
      <c r="BP26" s="354" t="e">
        <f>IF(AND($BC26=0,$C26=Tab_sel!$P$7,$D26=Tab_sel!$O$24,$E26=Tab_sel!$N$31,$F26=Tab_sel!$N$40,$I26=Tab_sel!$B$61),1,"")</f>
        <v>#N/A</v>
      </c>
      <c r="BQ26" s="355" t="e">
        <f>IF(AND($BC26=0,$C26=Tab_sel!$P$7,$D26=Tab_sel!$O$24,$E26=Tab_sel!$N$31,$F26=Tab_sel!$N$40,$I26=Tab_sel!$B$62),1,"")</f>
        <v>#N/A</v>
      </c>
      <c r="BR26" s="355" t="e">
        <f>IF(AND($BC26=0,$C26=Tab_sel!$P$7,$D26=Tab_sel!$O$24,$E26=Tab_sel!$N$31,$F26=Tab_sel!$N$40,$I26=Tab_sel!$B$63),1,"")</f>
        <v>#N/A</v>
      </c>
      <c r="BS26" s="355" t="e">
        <f>IF(AND($BC26=0,$C26=Tab_sel!$P$7,$D26=Tab_sel!$O$24,$E26=Tab_sel!$N$31,$F26=Tab_sel!$N$40,$I26=Tab_sel!$B$64),1,"")</f>
        <v>#N/A</v>
      </c>
      <c r="BT26" s="356" t="e">
        <f>IF(AND($BC26=0,$C26=Tab_sel!$P$7,$D26=Tab_sel!$O$24,$E26=Tab_sel!$N$31,$F26=Tab_sel!$N$40,$I26=Tab_sel!$B$65),1,"")</f>
        <v>#N/A</v>
      </c>
      <c r="BU26" s="856" t="e">
        <f>IF(AND($BC26=0,$C26=Tab_sel!$P$7,$D26=Tab_sel!$O$24,$E26=Tab_sel!$N$31,$F26=Tab_sel!$N$40,$I26=Tab_sel!$P$61,$H26=Tab_sel!$B$77),1,"")</f>
        <v>#N/A</v>
      </c>
      <c r="BV26" s="883" t="e">
        <f>IF(AND($BC26=0,$C26=Tab_sel!$P$7,$D26=Tab_sel!$O$24,$E26=Tab_sel!$N$31,$F26=Tab_sel!$N$40,$I26=Tab_sel!$P$61,$H26=Tab_sel!$B$78),1,"")</f>
        <v>#N/A</v>
      </c>
      <c r="BW26" s="883" t="e">
        <f>IF(AND($BC26=0,$C26=Tab_sel!$P$7,$D26=Tab_sel!$O$24,$E26=Tab_sel!$N$31,$F26=Tab_sel!$N$40,$I26=Tab_sel!$P$61,$H26=Tab_sel!$B$79),1,"")</f>
        <v>#N/A</v>
      </c>
      <c r="BX26" s="883" t="e">
        <f>IF(AND($BC26=0,$C26=Tab_sel!$P$7,$D26=Tab_sel!$O$24,$E26=Tab_sel!$N$31,$F26=Tab_sel!$N$40,$I26=Tab_sel!$P$61,$H26=Tab_sel!$B$80),1,"")</f>
        <v>#N/A</v>
      </c>
      <c r="BY26" s="883" t="e">
        <f>IF(AND($BC26=0,$C26=Tab_sel!$P$7,$D26=Tab_sel!$O$24,$E26=Tab_sel!$N$31,$F26=Tab_sel!$N$40,$I26=Tab_sel!$P$61,$H26=Tab_sel!$B$81),1,"")</f>
        <v>#N/A</v>
      </c>
      <c r="BZ26" s="857" t="e">
        <f>IF(AND($BC26=0,$C26=Tab_sel!$P$7,$D26=Tab_sel!$O$24,$E26=Tab_sel!$N$31,$F26=Tab_sel!$N$40,$I26=Tab_sel!$P$61,$H26=Tab_sel!$B$82),1,"")</f>
        <v>#N/A</v>
      </c>
      <c r="CA26" s="359"/>
      <c r="CC26">
        <f t="shared" si="13"/>
        <v>0</v>
      </c>
      <c r="CD26" s="882">
        <f t="shared" si="14"/>
        <v>0</v>
      </c>
      <c r="CE26" s="882">
        <f t="shared" si="15"/>
        <v>0</v>
      </c>
      <c r="CH26" t="s">
        <v>2620</v>
      </c>
      <c r="CJ26" t="s">
        <v>2611</v>
      </c>
    </row>
    <row r="27" spans="2:88" ht="29.25" customHeight="1" x14ac:dyDescent="0.25">
      <c r="B27" s="791" t="s">
        <v>1960</v>
      </c>
      <c r="C27" s="771" t="s">
        <v>75</v>
      </c>
      <c r="D27" s="772" t="s">
        <v>76</v>
      </c>
      <c r="E27" s="771" t="str">
        <f t="shared" si="17"/>
        <v>Media support de données</v>
      </c>
      <c r="F27" s="783" t="str">
        <f>Endp</f>
        <v>Endommagement physique</v>
      </c>
      <c r="G27" s="780" t="s">
        <v>1811</v>
      </c>
      <c r="H27" s="780" t="s">
        <v>2328</v>
      </c>
      <c r="I27" s="771" t="s">
        <v>1813</v>
      </c>
      <c r="J27" s="775"/>
      <c r="K27" s="775" t="s">
        <v>1361</v>
      </c>
      <c r="L27" s="775" t="s">
        <v>1257</v>
      </c>
      <c r="M27" s="788" t="s">
        <v>1259</v>
      </c>
      <c r="N27" s="767"/>
      <c r="O27" s="767"/>
      <c r="P27" s="772"/>
      <c r="Q27" s="803"/>
      <c r="R27" s="803"/>
      <c r="S27" s="804"/>
      <c r="T27" s="772"/>
      <c r="U27" s="772"/>
      <c r="V27" s="805"/>
      <c r="W27" s="767"/>
      <c r="X27" s="767"/>
      <c r="Y27" s="772"/>
      <c r="Z27" s="772"/>
      <c r="AA27" s="772"/>
      <c r="AB27" s="805"/>
      <c r="AC27" s="806"/>
      <c r="AD27" s="806"/>
      <c r="AE27" s="806"/>
      <c r="AF27" s="806"/>
      <c r="AG27" s="806"/>
      <c r="AH27" s="805"/>
      <c r="AI27" s="807" t="str">
        <f t="shared" si="2"/>
        <v/>
      </c>
      <c r="AJ27" s="805"/>
      <c r="AK27" s="359"/>
      <c r="AM27" t="str">
        <f t="shared" si="9"/>
        <v/>
      </c>
      <c r="AN27">
        <f t="shared" si="10"/>
        <v>0</v>
      </c>
      <c r="AW27" s="882">
        <f t="shared" si="11"/>
        <v>0</v>
      </c>
      <c r="AX27" s="882">
        <f t="shared" si="5"/>
        <v>1</v>
      </c>
      <c r="AY27" s="882">
        <f t="shared" si="6"/>
        <v>1</v>
      </c>
      <c r="AZ27" s="927">
        <f t="shared" si="7"/>
        <v>1</v>
      </c>
      <c r="BA27" s="882">
        <v>1</v>
      </c>
      <c r="BB27" s="925">
        <f t="shared" si="12"/>
        <v>0</v>
      </c>
      <c r="BC27" s="882">
        <f t="shared" si="8"/>
        <v>1</v>
      </c>
      <c r="BD27" s="342" t="e">
        <f>IF(AND($BC27=0,C27=Tab_sel!$P$7,$D27=Tab_sel!$O$24,$E27=Tab_sel!$B$31),1,"")</f>
        <v>#N/A</v>
      </c>
      <c r="BE27" s="322" t="e">
        <f>IF(AND($BC27=0,C27=Tab_sel!$P$7,$D27=Tab_sel!$O$24,$E27=Tab_sel!$B$32),1,"")</f>
        <v>#N/A</v>
      </c>
      <c r="BF27" s="322" t="e">
        <f>IF(AND($BC27=0,C27=Tab_sel!$P$7,$D27=Tab_sel!$O$24,$E27=Tab_sel!$B$33),1,"")</f>
        <v>#N/A</v>
      </c>
      <c r="BG27" s="322" t="e">
        <f>IF(AND($BC27=0,C27=Tab_sel!$P$7,$D27=Tab_sel!$O$24,$E27=Tab_sel!$B$34),1,"")</f>
        <v>#N/A</v>
      </c>
      <c r="BH27" s="322" t="e">
        <f>IF(AND($BC27=0,C27=Tab_sel!$P$7,$D27=Tab_sel!$O$24,$E27=Tab_sel!$B$35),1,"")</f>
        <v>#N/A</v>
      </c>
      <c r="BI27" s="343" t="e">
        <f>IF(AND($BC27=0,C27=Tab_sel!$P$7,$D27=Tab_sel!$O$24,$E27=Tab_sel!$B$36),1,"")</f>
        <v>#N/A</v>
      </c>
      <c r="BJ27" s="342" t="e">
        <f>IF(AND($BC27=0,$C27=Tab_sel!$P$7,$D27=Tab_sel!$O$24,$E27=Tab_sel!$N$31,$F27=Tab_sel!$B$40),1,"")</f>
        <v>#N/A</v>
      </c>
      <c r="BK27" s="322" t="e">
        <f>IF(AND($BC27=0,$C27=Tab_sel!$P$7,$D27=Tab_sel!$O$24,$E27=Tab_sel!$N$31,$F27=Tab_sel!$B$41),1,"")</f>
        <v>#N/A</v>
      </c>
      <c r="BL27" s="322" t="e">
        <f>IF(AND($BC27=0,$C27=Tab_sel!$P$7,$D27=Tab_sel!$O$24,$E27=Tab_sel!$N$31,$F27=Tab_sel!$B$42),1,"")</f>
        <v>#N/A</v>
      </c>
      <c r="BM27" s="322" t="e">
        <f>IF(AND($BC27=0,$C27=Tab_sel!$P$7,$D27=Tab_sel!$O$24,$E27=Tab_sel!$N$31,$F27=Tab_sel!$B$43),1,"")</f>
        <v>#N/A</v>
      </c>
      <c r="BN27" s="322" t="e">
        <f>IF(AND($BC27=0,$C27=Tab_sel!$P$7,$D27=Tab_sel!$O$24,$E27=Tab_sel!$N$31,$F27=Tab_sel!$B$44),1,"")</f>
        <v>#N/A</v>
      </c>
      <c r="BO27" s="343" t="e">
        <f>IF(AND($BC27=0,$C27=Tab_sel!$P$7,$D27=Tab_sel!$O$24,$E27=Tab_sel!$N$31,$F27=Tab_sel!$B$45),1,"")</f>
        <v>#N/A</v>
      </c>
      <c r="BP27" s="354" t="e">
        <f>IF(AND($BC27=0,$C27=Tab_sel!$P$7,$D27=Tab_sel!$O$24,$E27=Tab_sel!$N$31,$F27=Tab_sel!$N$40,$I27=Tab_sel!$B$61),1,"")</f>
        <v>#N/A</v>
      </c>
      <c r="BQ27" s="355" t="e">
        <f>IF(AND($BC27=0,$C27=Tab_sel!$P$7,$D27=Tab_sel!$O$24,$E27=Tab_sel!$N$31,$F27=Tab_sel!$N$40,$I27=Tab_sel!$B$62),1,"")</f>
        <v>#N/A</v>
      </c>
      <c r="BR27" s="355" t="e">
        <f>IF(AND($BC27=0,$C27=Tab_sel!$P$7,$D27=Tab_sel!$O$24,$E27=Tab_sel!$N$31,$F27=Tab_sel!$N$40,$I27=Tab_sel!$B$63),1,"")</f>
        <v>#N/A</v>
      </c>
      <c r="BS27" s="355" t="e">
        <f>IF(AND($BC27=0,$C27=Tab_sel!$P$7,$D27=Tab_sel!$O$24,$E27=Tab_sel!$N$31,$F27=Tab_sel!$N$40,$I27=Tab_sel!$B$64),1,"")</f>
        <v>#N/A</v>
      </c>
      <c r="BT27" s="356" t="e">
        <f>IF(AND($BC27=0,$C27=Tab_sel!$P$7,$D27=Tab_sel!$O$24,$E27=Tab_sel!$N$31,$F27=Tab_sel!$N$40,$I27=Tab_sel!$B$65),1,"")</f>
        <v>#N/A</v>
      </c>
      <c r="BU27" s="856" t="e">
        <f>IF(AND($BC27=0,$C27=Tab_sel!$P$7,$D27=Tab_sel!$O$24,$E27=Tab_sel!$N$31,$F27=Tab_sel!$N$40,$I27=Tab_sel!$P$61,$H27=Tab_sel!$B$77),1,"")</f>
        <v>#N/A</v>
      </c>
      <c r="BV27" s="883" t="e">
        <f>IF(AND($BC27=0,$C27=Tab_sel!$P$7,$D27=Tab_sel!$O$24,$E27=Tab_sel!$N$31,$F27=Tab_sel!$N$40,$I27=Tab_sel!$P$61,$H27=Tab_sel!$B$78),1,"")</f>
        <v>#N/A</v>
      </c>
      <c r="BW27" s="883" t="e">
        <f>IF(AND($BC27=0,$C27=Tab_sel!$P$7,$D27=Tab_sel!$O$24,$E27=Tab_sel!$N$31,$F27=Tab_sel!$N$40,$I27=Tab_sel!$P$61,$H27=Tab_sel!$B$79),1,"")</f>
        <v>#N/A</v>
      </c>
      <c r="BX27" s="883" t="e">
        <f>IF(AND($BC27=0,$C27=Tab_sel!$P$7,$D27=Tab_sel!$O$24,$E27=Tab_sel!$N$31,$F27=Tab_sel!$N$40,$I27=Tab_sel!$P$61,$H27=Tab_sel!$B$80),1,"")</f>
        <v>#N/A</v>
      </c>
      <c r="BY27" s="883" t="e">
        <f>IF(AND($BC27=0,$C27=Tab_sel!$P$7,$D27=Tab_sel!$O$24,$E27=Tab_sel!$N$31,$F27=Tab_sel!$N$40,$I27=Tab_sel!$P$61,$H27=Tab_sel!$B$81),1,"")</f>
        <v>#N/A</v>
      </c>
      <c r="BZ27" s="857" t="e">
        <f>IF(AND($BC27=0,$C27=Tab_sel!$P$7,$D27=Tab_sel!$O$24,$E27=Tab_sel!$N$31,$F27=Tab_sel!$N$40,$I27=Tab_sel!$P$61,$H27=Tab_sel!$B$82),1,"")</f>
        <v>#N/A</v>
      </c>
      <c r="CA27" s="359"/>
      <c r="CC27">
        <f t="shared" si="13"/>
        <v>0</v>
      </c>
      <c r="CD27" s="882">
        <f t="shared" si="14"/>
        <v>0</v>
      </c>
      <c r="CE27" s="882">
        <f t="shared" si="15"/>
        <v>0</v>
      </c>
      <c r="CH27" t="s">
        <v>2620</v>
      </c>
      <c r="CI27" t="s">
        <v>2686</v>
      </c>
      <c r="CJ27" t="s">
        <v>2611</v>
      </c>
    </row>
    <row r="28" spans="2:88" ht="29.25" customHeight="1" x14ac:dyDescent="0.25">
      <c r="B28" s="791" t="s">
        <v>2255</v>
      </c>
      <c r="C28" s="771" t="s">
        <v>75</v>
      </c>
      <c r="D28" s="772" t="s">
        <v>76</v>
      </c>
      <c r="E28" s="771" t="str">
        <f t="shared" si="17"/>
        <v>Media support de données</v>
      </c>
      <c r="F28" s="773" t="str">
        <f>Inop</f>
        <v>Inopérabilité</v>
      </c>
      <c r="G28" s="776" t="s">
        <v>1208</v>
      </c>
      <c r="H28" s="776" t="s">
        <v>2328</v>
      </c>
      <c r="I28" s="771" t="s">
        <v>1207</v>
      </c>
      <c r="J28" s="777"/>
      <c r="K28" s="769" t="s">
        <v>2027</v>
      </c>
      <c r="L28" s="777"/>
      <c r="M28" s="822"/>
      <c r="N28" s="767"/>
      <c r="O28" s="767"/>
      <c r="P28" s="772"/>
      <c r="Q28" s="803"/>
      <c r="R28" s="803"/>
      <c r="S28" s="804"/>
      <c r="T28" s="772"/>
      <c r="U28" s="772"/>
      <c r="V28" s="805"/>
      <c r="W28" s="767"/>
      <c r="X28" s="767"/>
      <c r="Y28" s="772"/>
      <c r="Z28" s="772"/>
      <c r="AA28" s="772"/>
      <c r="AB28" s="805"/>
      <c r="AC28" s="806"/>
      <c r="AD28" s="806"/>
      <c r="AE28" s="806"/>
      <c r="AF28" s="806"/>
      <c r="AG28" s="806"/>
      <c r="AH28" s="805"/>
      <c r="AI28" s="807" t="str">
        <f t="shared" si="2"/>
        <v/>
      </c>
      <c r="AJ28" s="805"/>
      <c r="AK28" s="359"/>
      <c r="AM28" t="str">
        <f t="shared" si="9"/>
        <v/>
      </c>
      <c r="AN28">
        <f t="shared" si="10"/>
        <v>0</v>
      </c>
      <c r="AW28" s="882">
        <f t="shared" si="11"/>
        <v>0</v>
      </c>
      <c r="AX28" s="882">
        <f t="shared" si="5"/>
        <v>1</v>
      </c>
      <c r="AY28" s="882">
        <f t="shared" si="6"/>
        <v>1</v>
      </c>
      <c r="AZ28" s="927">
        <f t="shared" si="7"/>
        <v>1</v>
      </c>
      <c r="BA28" s="882">
        <v>1</v>
      </c>
      <c r="BB28" s="925">
        <f t="shared" si="12"/>
        <v>0</v>
      </c>
      <c r="BC28" s="882">
        <f t="shared" si="8"/>
        <v>1</v>
      </c>
      <c r="BD28" s="342" t="e">
        <f>IF(AND($BC28=0,C28=Tab_sel!$P$7,$D28=Tab_sel!$O$24,$E28=Tab_sel!$B$31),1,"")</f>
        <v>#N/A</v>
      </c>
      <c r="BE28" s="322" t="e">
        <f>IF(AND($BC28=0,C28=Tab_sel!$P$7,$D28=Tab_sel!$O$24,$E28=Tab_sel!$B$32),1,"")</f>
        <v>#N/A</v>
      </c>
      <c r="BF28" s="322" t="e">
        <f>IF(AND($BC28=0,C28=Tab_sel!$P$7,$D28=Tab_sel!$O$24,$E28=Tab_sel!$B$33),1,"")</f>
        <v>#N/A</v>
      </c>
      <c r="BG28" s="322" t="e">
        <f>IF(AND($BC28=0,C28=Tab_sel!$P$7,$D28=Tab_sel!$O$24,$E28=Tab_sel!$B$34),1,"")</f>
        <v>#N/A</v>
      </c>
      <c r="BH28" s="322" t="e">
        <f>IF(AND($BC28=0,C28=Tab_sel!$P$7,$D28=Tab_sel!$O$24,$E28=Tab_sel!$B$35),1,"")</f>
        <v>#N/A</v>
      </c>
      <c r="BI28" s="343" t="e">
        <f>IF(AND($BC28=0,C28=Tab_sel!$P$7,$D28=Tab_sel!$O$24,$E28=Tab_sel!$B$36),1,"")</f>
        <v>#N/A</v>
      </c>
      <c r="BJ28" s="342" t="e">
        <f>IF(AND($BC28=0,$C28=Tab_sel!$P$7,$D28=Tab_sel!$O$24,$E28=Tab_sel!$N$31,$F28=Tab_sel!$B$40),1,"")</f>
        <v>#N/A</v>
      </c>
      <c r="BK28" s="322" t="e">
        <f>IF(AND($BC28=0,$C28=Tab_sel!$P$7,$D28=Tab_sel!$O$24,$E28=Tab_sel!$N$31,$F28=Tab_sel!$B$41),1,"")</f>
        <v>#N/A</v>
      </c>
      <c r="BL28" s="322" t="e">
        <f>IF(AND($BC28=0,$C28=Tab_sel!$P$7,$D28=Tab_sel!$O$24,$E28=Tab_sel!$N$31,$F28=Tab_sel!$B$42),1,"")</f>
        <v>#N/A</v>
      </c>
      <c r="BM28" s="322" t="e">
        <f>IF(AND($BC28=0,$C28=Tab_sel!$P$7,$D28=Tab_sel!$O$24,$E28=Tab_sel!$N$31,$F28=Tab_sel!$B$43),1,"")</f>
        <v>#N/A</v>
      </c>
      <c r="BN28" s="322" t="e">
        <f>IF(AND($BC28=0,$C28=Tab_sel!$P$7,$D28=Tab_sel!$O$24,$E28=Tab_sel!$N$31,$F28=Tab_sel!$B$44),1,"")</f>
        <v>#N/A</v>
      </c>
      <c r="BO28" s="343" t="e">
        <f>IF(AND($BC28=0,$C28=Tab_sel!$P$7,$D28=Tab_sel!$O$24,$E28=Tab_sel!$N$31,$F28=Tab_sel!$B$45),1,"")</f>
        <v>#N/A</v>
      </c>
      <c r="BP28" s="354" t="e">
        <f>IF(AND($BC28=0,$C28=Tab_sel!$P$7,$D28=Tab_sel!$O$24,$E28=Tab_sel!$N$31,$F28=Tab_sel!$N$40,$I28=Tab_sel!$B$61),1,"")</f>
        <v>#N/A</v>
      </c>
      <c r="BQ28" s="355" t="e">
        <f>IF(AND($BC28=0,$C28=Tab_sel!$P$7,$D28=Tab_sel!$O$24,$E28=Tab_sel!$N$31,$F28=Tab_sel!$N$40,$I28=Tab_sel!$B$62),1,"")</f>
        <v>#N/A</v>
      </c>
      <c r="BR28" s="355" t="e">
        <f>IF(AND($BC28=0,$C28=Tab_sel!$P$7,$D28=Tab_sel!$O$24,$E28=Tab_sel!$N$31,$F28=Tab_sel!$N$40,$I28=Tab_sel!$B$63),1,"")</f>
        <v>#N/A</v>
      </c>
      <c r="BS28" s="355" t="e">
        <f>IF(AND($BC28=0,$C28=Tab_sel!$P$7,$D28=Tab_sel!$O$24,$E28=Tab_sel!$N$31,$F28=Tab_sel!$N$40,$I28=Tab_sel!$B$64),1,"")</f>
        <v>#N/A</v>
      </c>
      <c r="BT28" s="356" t="e">
        <f>IF(AND($BC28=0,$C28=Tab_sel!$P$7,$D28=Tab_sel!$O$24,$E28=Tab_sel!$N$31,$F28=Tab_sel!$N$40,$I28=Tab_sel!$B$65),1,"")</f>
        <v>#N/A</v>
      </c>
      <c r="BU28" s="856" t="e">
        <f>IF(AND($BC28=0,$C28=Tab_sel!$P$7,$D28=Tab_sel!$O$24,$E28=Tab_sel!$N$31,$F28=Tab_sel!$N$40,$I28=Tab_sel!$P$61,$H28=Tab_sel!$B$77),1,"")</f>
        <v>#N/A</v>
      </c>
      <c r="BV28" s="883" t="e">
        <f>IF(AND($BC28=0,$C28=Tab_sel!$P$7,$D28=Tab_sel!$O$24,$E28=Tab_sel!$N$31,$F28=Tab_sel!$N$40,$I28=Tab_sel!$P$61,$H28=Tab_sel!$B$78),1,"")</f>
        <v>#N/A</v>
      </c>
      <c r="BW28" s="883" t="e">
        <f>IF(AND($BC28=0,$C28=Tab_sel!$P$7,$D28=Tab_sel!$O$24,$E28=Tab_sel!$N$31,$F28=Tab_sel!$N$40,$I28=Tab_sel!$P$61,$H28=Tab_sel!$B$79),1,"")</f>
        <v>#N/A</v>
      </c>
      <c r="BX28" s="883" t="e">
        <f>IF(AND($BC28=0,$C28=Tab_sel!$P$7,$D28=Tab_sel!$O$24,$E28=Tab_sel!$N$31,$F28=Tab_sel!$N$40,$I28=Tab_sel!$P$61,$H28=Tab_sel!$B$80),1,"")</f>
        <v>#N/A</v>
      </c>
      <c r="BY28" s="883" t="e">
        <f>IF(AND($BC28=0,$C28=Tab_sel!$P$7,$D28=Tab_sel!$O$24,$E28=Tab_sel!$N$31,$F28=Tab_sel!$N$40,$I28=Tab_sel!$P$61,$H28=Tab_sel!$B$81),1,"")</f>
        <v>#N/A</v>
      </c>
      <c r="BZ28" s="857" t="e">
        <f>IF(AND($BC28=0,$C28=Tab_sel!$P$7,$D28=Tab_sel!$O$24,$E28=Tab_sel!$N$31,$F28=Tab_sel!$N$40,$I28=Tab_sel!$P$61,$H28=Tab_sel!$B$82),1,"")</f>
        <v>#N/A</v>
      </c>
      <c r="CA28" s="359"/>
      <c r="CC28">
        <f t="shared" si="13"/>
        <v>0</v>
      </c>
      <c r="CD28" s="882">
        <f t="shared" si="14"/>
        <v>0</v>
      </c>
      <c r="CE28" s="882">
        <f t="shared" si="15"/>
        <v>0</v>
      </c>
      <c r="CH28" t="s">
        <v>2612</v>
      </c>
    </row>
    <row r="29" spans="2:88" ht="29.25" customHeight="1" x14ac:dyDescent="0.25">
      <c r="B29" s="791" t="s">
        <v>2479</v>
      </c>
      <c r="C29" s="771" t="s">
        <v>75</v>
      </c>
      <c r="D29" s="772" t="s">
        <v>76</v>
      </c>
      <c r="E29" s="771" t="str">
        <f t="shared" si="17"/>
        <v>Media support de données</v>
      </c>
      <c r="F29" s="773" t="str">
        <f>Inex</f>
        <v>Inexploitabilité</v>
      </c>
      <c r="G29" s="776" t="s">
        <v>1113</v>
      </c>
      <c r="H29" s="776" t="s">
        <v>2328</v>
      </c>
      <c r="I29" s="771" t="s">
        <v>1169</v>
      </c>
      <c r="J29" s="777"/>
      <c r="K29" s="769" t="s">
        <v>2027</v>
      </c>
      <c r="L29" s="777"/>
      <c r="M29" s="822"/>
      <c r="N29" s="767"/>
      <c r="O29" s="767"/>
      <c r="P29" s="772"/>
      <c r="Q29" s="803"/>
      <c r="R29" s="803"/>
      <c r="S29" s="804"/>
      <c r="T29" s="772"/>
      <c r="U29" s="772"/>
      <c r="V29" s="805"/>
      <c r="W29" s="767"/>
      <c r="X29" s="767"/>
      <c r="Y29" s="772"/>
      <c r="Z29" s="772"/>
      <c r="AA29" s="772"/>
      <c r="AB29" s="805"/>
      <c r="AC29" s="806"/>
      <c r="AD29" s="806"/>
      <c r="AE29" s="806"/>
      <c r="AF29" s="806"/>
      <c r="AG29" s="806"/>
      <c r="AH29" s="805"/>
      <c r="AI29" s="807" t="str">
        <f t="shared" si="2"/>
        <v/>
      </c>
      <c r="AJ29" s="805"/>
      <c r="AK29" s="359"/>
      <c r="AM29" t="str">
        <f t="shared" si="9"/>
        <v/>
      </c>
      <c r="AN29">
        <f t="shared" si="10"/>
        <v>0</v>
      </c>
      <c r="AW29" s="882">
        <f t="shared" si="11"/>
        <v>0</v>
      </c>
      <c r="AX29" s="882">
        <f t="shared" si="5"/>
        <v>1</v>
      </c>
      <c r="AY29" s="882">
        <f t="shared" si="6"/>
        <v>1</v>
      </c>
      <c r="AZ29" s="927">
        <f t="shared" si="7"/>
        <v>1</v>
      </c>
      <c r="BA29" s="882">
        <v>1</v>
      </c>
      <c r="BB29" s="925">
        <f t="shared" si="12"/>
        <v>0</v>
      </c>
      <c r="BC29" s="882">
        <f t="shared" si="8"/>
        <v>1</v>
      </c>
      <c r="BD29" s="342" t="e">
        <f>IF(AND($BC29=0,C29=Tab_sel!$P$7,$D29=Tab_sel!$O$24,$E29=Tab_sel!$B$31),1,"")</f>
        <v>#N/A</v>
      </c>
      <c r="BE29" s="322" t="e">
        <f>IF(AND($BC29=0,C29=Tab_sel!$P$7,$D29=Tab_sel!$O$24,$E29=Tab_sel!$B$32),1,"")</f>
        <v>#N/A</v>
      </c>
      <c r="BF29" s="322" t="e">
        <f>IF(AND($BC29=0,C29=Tab_sel!$P$7,$D29=Tab_sel!$O$24,$E29=Tab_sel!$B$33),1,"")</f>
        <v>#N/A</v>
      </c>
      <c r="BG29" s="322" t="e">
        <f>IF(AND($BC29=0,C29=Tab_sel!$P$7,$D29=Tab_sel!$O$24,$E29=Tab_sel!$B$34),1,"")</f>
        <v>#N/A</v>
      </c>
      <c r="BH29" s="322" t="e">
        <f>IF(AND($BC29=0,C29=Tab_sel!$P$7,$D29=Tab_sel!$O$24,$E29=Tab_sel!$B$35),1,"")</f>
        <v>#N/A</v>
      </c>
      <c r="BI29" s="343" t="e">
        <f>IF(AND($BC29=0,C29=Tab_sel!$P$7,$D29=Tab_sel!$O$24,$E29=Tab_sel!$B$36),1,"")</f>
        <v>#N/A</v>
      </c>
      <c r="BJ29" s="342" t="e">
        <f>IF(AND($BC29=0,$C29=Tab_sel!$P$7,$D29=Tab_sel!$O$24,$E29=Tab_sel!$N$31,$F29=Tab_sel!$B$40),1,"")</f>
        <v>#N/A</v>
      </c>
      <c r="BK29" s="322" t="e">
        <f>IF(AND($BC29=0,$C29=Tab_sel!$P$7,$D29=Tab_sel!$O$24,$E29=Tab_sel!$N$31,$F29=Tab_sel!$B$41),1,"")</f>
        <v>#N/A</v>
      </c>
      <c r="BL29" s="322" t="e">
        <f>IF(AND($BC29=0,$C29=Tab_sel!$P$7,$D29=Tab_sel!$O$24,$E29=Tab_sel!$N$31,$F29=Tab_sel!$B$42),1,"")</f>
        <v>#N/A</v>
      </c>
      <c r="BM29" s="322" t="e">
        <f>IF(AND($BC29=0,$C29=Tab_sel!$P$7,$D29=Tab_sel!$O$24,$E29=Tab_sel!$N$31,$F29=Tab_sel!$B$43),1,"")</f>
        <v>#N/A</v>
      </c>
      <c r="BN29" s="322" t="e">
        <f>IF(AND($BC29=0,$C29=Tab_sel!$P$7,$D29=Tab_sel!$O$24,$E29=Tab_sel!$N$31,$F29=Tab_sel!$B$44),1,"")</f>
        <v>#N/A</v>
      </c>
      <c r="BO29" s="343" t="e">
        <f>IF(AND($BC29=0,$C29=Tab_sel!$P$7,$D29=Tab_sel!$O$24,$E29=Tab_sel!$N$31,$F29=Tab_sel!$B$45),1,"")</f>
        <v>#N/A</v>
      </c>
      <c r="BP29" s="354" t="e">
        <f>IF(AND($BC29=0,$C29=Tab_sel!$P$7,$D29=Tab_sel!$O$24,$E29=Tab_sel!$N$31,$F29=Tab_sel!$N$40,$I29=Tab_sel!$B$61),1,"")</f>
        <v>#N/A</v>
      </c>
      <c r="BQ29" s="355" t="e">
        <f>IF(AND($BC29=0,$C29=Tab_sel!$P$7,$D29=Tab_sel!$O$24,$E29=Tab_sel!$N$31,$F29=Tab_sel!$N$40,$I29=Tab_sel!$B$62),1,"")</f>
        <v>#N/A</v>
      </c>
      <c r="BR29" s="355" t="e">
        <f>IF(AND($BC29=0,$C29=Tab_sel!$P$7,$D29=Tab_sel!$O$24,$E29=Tab_sel!$N$31,$F29=Tab_sel!$N$40,$I29=Tab_sel!$B$63),1,"")</f>
        <v>#N/A</v>
      </c>
      <c r="BS29" s="355" t="e">
        <f>IF(AND($BC29=0,$C29=Tab_sel!$P$7,$D29=Tab_sel!$O$24,$E29=Tab_sel!$N$31,$F29=Tab_sel!$N$40,$I29=Tab_sel!$B$64),1,"")</f>
        <v>#N/A</v>
      </c>
      <c r="BT29" s="356" t="e">
        <f>IF(AND($BC29=0,$C29=Tab_sel!$P$7,$D29=Tab_sel!$O$24,$E29=Tab_sel!$N$31,$F29=Tab_sel!$N$40,$I29=Tab_sel!$B$65),1,"")</f>
        <v>#N/A</v>
      </c>
      <c r="BU29" s="856" t="e">
        <f>IF(AND($BC29=0,$C29=Tab_sel!$P$7,$D29=Tab_sel!$O$24,$E29=Tab_sel!$N$31,$F29=Tab_sel!$N$40,$I29=Tab_sel!$P$61,$H29=Tab_sel!$B$77),1,"")</f>
        <v>#N/A</v>
      </c>
      <c r="BV29" s="883" t="e">
        <f>IF(AND($BC29=0,$C29=Tab_sel!$P$7,$D29=Tab_sel!$O$24,$E29=Tab_sel!$N$31,$F29=Tab_sel!$N$40,$I29=Tab_sel!$P$61,$H29=Tab_sel!$B$78),1,"")</f>
        <v>#N/A</v>
      </c>
      <c r="BW29" s="883" t="e">
        <f>IF(AND($BC29=0,$C29=Tab_sel!$P$7,$D29=Tab_sel!$O$24,$E29=Tab_sel!$N$31,$F29=Tab_sel!$N$40,$I29=Tab_sel!$P$61,$H29=Tab_sel!$B$79),1,"")</f>
        <v>#N/A</v>
      </c>
      <c r="BX29" s="883" t="e">
        <f>IF(AND($BC29=0,$C29=Tab_sel!$P$7,$D29=Tab_sel!$O$24,$E29=Tab_sel!$N$31,$F29=Tab_sel!$N$40,$I29=Tab_sel!$P$61,$H29=Tab_sel!$B$80),1,"")</f>
        <v>#N/A</v>
      </c>
      <c r="BY29" s="883" t="e">
        <f>IF(AND($BC29=0,$C29=Tab_sel!$P$7,$D29=Tab_sel!$O$24,$E29=Tab_sel!$N$31,$F29=Tab_sel!$N$40,$I29=Tab_sel!$P$61,$H29=Tab_sel!$B$81),1,"")</f>
        <v>#N/A</v>
      </c>
      <c r="BZ29" s="857" t="e">
        <f>IF(AND($BC29=0,$C29=Tab_sel!$P$7,$D29=Tab_sel!$O$24,$E29=Tab_sel!$N$31,$F29=Tab_sel!$N$40,$I29=Tab_sel!$P$61,$H29=Tab_sel!$B$82),1,"")</f>
        <v>#N/A</v>
      </c>
      <c r="CA29" s="359"/>
      <c r="CC29">
        <f t="shared" si="13"/>
        <v>0</v>
      </c>
      <c r="CD29" s="882">
        <f t="shared" si="14"/>
        <v>0</v>
      </c>
      <c r="CE29" s="882">
        <f t="shared" si="15"/>
        <v>0</v>
      </c>
      <c r="CH29" t="s">
        <v>2612</v>
      </c>
    </row>
    <row r="30" spans="2:88" ht="29.25" customHeight="1" x14ac:dyDescent="0.25">
      <c r="B30" s="791" t="s">
        <v>1961</v>
      </c>
      <c r="C30" s="771" t="s">
        <v>75</v>
      </c>
      <c r="D30" s="772" t="s">
        <v>23</v>
      </c>
      <c r="E30" s="771" t="str">
        <f t="shared" ref="E30:E35" si="18">Fic</f>
        <v xml:space="preserve">Fichier ou base de données </v>
      </c>
      <c r="F30" s="768" t="str">
        <f>Altd</f>
        <v>Altération (non détectée) de donnée</v>
      </c>
      <c r="G30" s="768" t="s">
        <v>1107</v>
      </c>
      <c r="H30" s="853" t="s">
        <v>2352</v>
      </c>
      <c r="I30" s="771" t="s">
        <v>1198</v>
      </c>
      <c r="J30" s="769" t="s">
        <v>2537</v>
      </c>
      <c r="K30" s="769" t="s">
        <v>2570</v>
      </c>
      <c r="L30" s="769" t="s">
        <v>1344</v>
      </c>
      <c r="M30" s="790"/>
      <c r="N30" s="767"/>
      <c r="O30" s="767"/>
      <c r="P30" s="772"/>
      <c r="Q30" s="803"/>
      <c r="R30" s="803"/>
      <c r="S30" s="804"/>
      <c r="T30" s="772"/>
      <c r="U30" s="772"/>
      <c r="V30" s="805"/>
      <c r="W30" s="767"/>
      <c r="X30" s="767"/>
      <c r="Y30" s="772"/>
      <c r="Z30" s="772"/>
      <c r="AA30" s="772"/>
      <c r="AB30" s="805"/>
      <c r="AC30" s="806"/>
      <c r="AD30" s="806"/>
      <c r="AE30" s="806"/>
      <c r="AF30" s="806"/>
      <c r="AG30" s="806"/>
      <c r="AH30" s="805"/>
      <c r="AI30" s="807" t="str">
        <f t="shared" si="2"/>
        <v/>
      </c>
      <c r="AJ30" s="805"/>
      <c r="AK30" s="359"/>
      <c r="AM30" t="str">
        <f t="shared" si="9"/>
        <v/>
      </c>
      <c r="AN30">
        <f t="shared" si="10"/>
        <v>0</v>
      </c>
      <c r="AW30" s="882">
        <f t="shared" si="11"/>
        <v>0</v>
      </c>
      <c r="AX30" s="882">
        <f t="shared" si="5"/>
        <v>1</v>
      </c>
      <c r="AY30" s="882">
        <f t="shared" si="6"/>
        <v>1</v>
      </c>
      <c r="AZ30" s="927">
        <f t="shared" si="7"/>
        <v>1</v>
      </c>
      <c r="BA30" s="882">
        <v>1</v>
      </c>
      <c r="BB30" s="925">
        <f t="shared" si="12"/>
        <v>0</v>
      </c>
      <c r="BC30" s="882">
        <f t="shared" si="8"/>
        <v>1</v>
      </c>
      <c r="BD30" s="342" t="e">
        <f>IF(AND($BC30=0,C30=Tab_sel!$P$7,$D30=Tab_sel!$O$24,$E30=Tab_sel!$B$31),1,"")</f>
        <v>#N/A</v>
      </c>
      <c r="BE30" s="322" t="e">
        <f>IF(AND($BC30=0,C30=Tab_sel!$P$7,$D30=Tab_sel!$O$24,$E30=Tab_sel!$B$32),1,"")</f>
        <v>#N/A</v>
      </c>
      <c r="BF30" s="322" t="e">
        <f>IF(AND($BC30=0,C30=Tab_sel!$P$7,$D30=Tab_sel!$O$24,$E30=Tab_sel!$B$33),1,"")</f>
        <v>#N/A</v>
      </c>
      <c r="BG30" s="322" t="e">
        <f>IF(AND($BC30=0,C30=Tab_sel!$P$7,$D30=Tab_sel!$O$24,$E30=Tab_sel!$B$34),1,"")</f>
        <v>#N/A</v>
      </c>
      <c r="BH30" s="322" t="e">
        <f>IF(AND($BC30=0,C30=Tab_sel!$P$7,$D30=Tab_sel!$O$24,$E30=Tab_sel!$B$35),1,"")</f>
        <v>#N/A</v>
      </c>
      <c r="BI30" s="343" t="e">
        <f>IF(AND($BC30=0,C30=Tab_sel!$P$7,$D30=Tab_sel!$O$24,$E30=Tab_sel!$B$36),1,"")</f>
        <v>#N/A</v>
      </c>
      <c r="BJ30" s="342" t="e">
        <f>IF(AND($BC30=0,$C30=Tab_sel!$P$7,$D30=Tab_sel!$O$24,$E30=Tab_sel!$N$31,$F30=Tab_sel!$B$40),1,"")</f>
        <v>#N/A</v>
      </c>
      <c r="BK30" s="322" t="e">
        <f>IF(AND($BC30=0,$C30=Tab_sel!$P$7,$D30=Tab_sel!$O$24,$E30=Tab_sel!$N$31,$F30=Tab_sel!$B$41),1,"")</f>
        <v>#N/A</v>
      </c>
      <c r="BL30" s="322" t="e">
        <f>IF(AND($BC30=0,$C30=Tab_sel!$P$7,$D30=Tab_sel!$O$24,$E30=Tab_sel!$N$31,$F30=Tab_sel!$B$42),1,"")</f>
        <v>#N/A</v>
      </c>
      <c r="BM30" s="322" t="e">
        <f>IF(AND($BC30=0,$C30=Tab_sel!$P$7,$D30=Tab_sel!$O$24,$E30=Tab_sel!$N$31,$F30=Tab_sel!$B$43),1,"")</f>
        <v>#N/A</v>
      </c>
      <c r="BN30" s="322" t="e">
        <f>IF(AND($BC30=0,$C30=Tab_sel!$P$7,$D30=Tab_sel!$O$24,$E30=Tab_sel!$N$31,$F30=Tab_sel!$B$44),1,"")</f>
        <v>#N/A</v>
      </c>
      <c r="BO30" s="343" t="e">
        <f>IF(AND($BC30=0,$C30=Tab_sel!$P$7,$D30=Tab_sel!$O$24,$E30=Tab_sel!$N$31,$F30=Tab_sel!$B$45),1,"")</f>
        <v>#N/A</v>
      </c>
      <c r="BP30" s="354" t="e">
        <f>IF(AND($BC30=0,$C30=Tab_sel!$P$7,$D30=Tab_sel!$O$24,$E30=Tab_sel!$N$31,$F30=Tab_sel!$N$40,$I30=Tab_sel!$B$61),1,"")</f>
        <v>#N/A</v>
      </c>
      <c r="BQ30" s="355" t="e">
        <f>IF(AND($BC30=0,$C30=Tab_sel!$P$7,$D30=Tab_sel!$O$24,$E30=Tab_sel!$N$31,$F30=Tab_sel!$N$40,$I30=Tab_sel!$B$62),1,"")</f>
        <v>#N/A</v>
      </c>
      <c r="BR30" s="355" t="e">
        <f>IF(AND($BC30=0,$C30=Tab_sel!$P$7,$D30=Tab_sel!$O$24,$E30=Tab_sel!$N$31,$F30=Tab_sel!$N$40,$I30=Tab_sel!$B$63),1,"")</f>
        <v>#N/A</v>
      </c>
      <c r="BS30" s="355" t="e">
        <f>IF(AND($BC30=0,$C30=Tab_sel!$P$7,$D30=Tab_sel!$O$24,$E30=Tab_sel!$N$31,$F30=Tab_sel!$N$40,$I30=Tab_sel!$B$64),1,"")</f>
        <v>#N/A</v>
      </c>
      <c r="BT30" s="356" t="e">
        <f>IF(AND($BC30=0,$C30=Tab_sel!$P$7,$D30=Tab_sel!$O$24,$E30=Tab_sel!$N$31,$F30=Tab_sel!$N$40,$I30=Tab_sel!$B$65),1,"")</f>
        <v>#N/A</v>
      </c>
      <c r="BU30" s="856" t="e">
        <f>IF(AND($BC30=0,$C30=Tab_sel!$P$7,$D30=Tab_sel!$O$24,$E30=Tab_sel!$N$31,$F30=Tab_sel!$N$40,$I30=Tab_sel!$P$61,$H30=Tab_sel!$B$77),1,"")</f>
        <v>#N/A</v>
      </c>
      <c r="BV30" s="883" t="e">
        <f>IF(AND($BC30=0,$C30=Tab_sel!$P$7,$D30=Tab_sel!$O$24,$E30=Tab_sel!$N$31,$F30=Tab_sel!$N$40,$I30=Tab_sel!$P$61,$H30=Tab_sel!$B$78),1,"")</f>
        <v>#N/A</v>
      </c>
      <c r="BW30" s="883" t="e">
        <f>IF(AND($BC30=0,$C30=Tab_sel!$P$7,$D30=Tab_sel!$O$24,$E30=Tab_sel!$N$31,$F30=Tab_sel!$N$40,$I30=Tab_sel!$P$61,$H30=Tab_sel!$B$79),1,"")</f>
        <v>#N/A</v>
      </c>
      <c r="BX30" s="883" t="e">
        <f>IF(AND($BC30=0,$C30=Tab_sel!$P$7,$D30=Tab_sel!$O$24,$E30=Tab_sel!$N$31,$F30=Tab_sel!$N$40,$I30=Tab_sel!$P$61,$H30=Tab_sel!$B$80),1,"")</f>
        <v>#N/A</v>
      </c>
      <c r="BY30" s="883" t="e">
        <f>IF(AND($BC30=0,$C30=Tab_sel!$P$7,$D30=Tab_sel!$O$24,$E30=Tab_sel!$N$31,$F30=Tab_sel!$N$40,$I30=Tab_sel!$P$61,$H30=Tab_sel!$B$81),1,"")</f>
        <v>#N/A</v>
      </c>
      <c r="BZ30" s="857" t="e">
        <f>IF(AND($BC30=0,$C30=Tab_sel!$P$7,$D30=Tab_sel!$O$24,$E30=Tab_sel!$N$31,$F30=Tab_sel!$N$40,$I30=Tab_sel!$P$61,$H30=Tab_sel!$B$82),1,"")</f>
        <v>#N/A</v>
      </c>
      <c r="CA30" s="359"/>
      <c r="CC30">
        <f t="shared" si="13"/>
        <v>0</v>
      </c>
      <c r="CD30" s="882">
        <f t="shared" si="14"/>
        <v>0</v>
      </c>
      <c r="CE30" s="882">
        <f t="shared" si="15"/>
        <v>0</v>
      </c>
      <c r="CG30" t="s">
        <v>2609</v>
      </c>
      <c r="CH30" t="s">
        <v>2791</v>
      </c>
      <c r="CI30" t="s">
        <v>2622</v>
      </c>
    </row>
    <row r="31" spans="2:88" ht="29.25" customHeight="1" x14ac:dyDescent="0.25">
      <c r="B31" s="791" t="s">
        <v>2331</v>
      </c>
      <c r="C31" s="771" t="s">
        <v>75</v>
      </c>
      <c r="D31" s="772" t="s">
        <v>23</v>
      </c>
      <c r="E31" s="771" t="str">
        <f t="shared" si="18"/>
        <v xml:space="preserve">Fichier ou base de données </v>
      </c>
      <c r="F31" s="768" t="str">
        <f>Altd</f>
        <v>Altération (non détectée) de donnée</v>
      </c>
      <c r="G31" s="768" t="s">
        <v>1107</v>
      </c>
      <c r="H31" s="850" t="s">
        <v>2588</v>
      </c>
      <c r="I31" s="771" t="s">
        <v>1198</v>
      </c>
      <c r="J31" s="769"/>
      <c r="K31" s="769" t="s">
        <v>2570</v>
      </c>
      <c r="L31" s="769" t="s">
        <v>1344</v>
      </c>
      <c r="M31" s="790"/>
      <c r="N31" s="767"/>
      <c r="O31" s="767"/>
      <c r="P31" s="772"/>
      <c r="Q31" s="803"/>
      <c r="R31" s="803"/>
      <c r="S31" s="804"/>
      <c r="T31" s="772"/>
      <c r="U31" s="772"/>
      <c r="V31" s="805"/>
      <c r="W31" s="767"/>
      <c r="X31" s="767"/>
      <c r="Y31" s="772"/>
      <c r="Z31" s="772"/>
      <c r="AA31" s="772"/>
      <c r="AB31" s="805"/>
      <c r="AC31" s="806"/>
      <c r="AD31" s="806"/>
      <c r="AE31" s="806"/>
      <c r="AF31" s="806"/>
      <c r="AG31" s="806"/>
      <c r="AH31" s="805"/>
      <c r="AI31" s="807" t="str">
        <f t="shared" si="2"/>
        <v/>
      </c>
      <c r="AJ31" s="805"/>
      <c r="AK31" s="359"/>
      <c r="AM31" t="str">
        <f t="shared" si="9"/>
        <v/>
      </c>
      <c r="AN31">
        <f t="shared" si="10"/>
        <v>0</v>
      </c>
      <c r="AV31" s="860"/>
      <c r="AW31" s="882">
        <f t="shared" si="11"/>
        <v>0</v>
      </c>
      <c r="AX31" s="882">
        <f t="shared" si="5"/>
        <v>1</v>
      </c>
      <c r="AY31" s="882">
        <f t="shared" si="6"/>
        <v>1</v>
      </c>
      <c r="AZ31" s="927">
        <f t="shared" si="7"/>
        <v>1</v>
      </c>
      <c r="BA31" s="882">
        <v>0</v>
      </c>
      <c r="BB31" s="925">
        <f t="shared" si="12"/>
        <v>0</v>
      </c>
      <c r="BC31" s="882">
        <f t="shared" si="8"/>
        <v>1</v>
      </c>
      <c r="BD31" s="342" t="e">
        <f>IF(AND($BC31=0,C31=Tab_sel!$P$7,$D31=Tab_sel!$O$24,$E31=Tab_sel!$B$31),1,"")</f>
        <v>#N/A</v>
      </c>
      <c r="BE31" s="322" t="e">
        <f>IF(AND($BC31=0,C31=Tab_sel!$P$7,$D31=Tab_sel!$O$24,$E31=Tab_sel!$B$32),1,"")</f>
        <v>#N/A</v>
      </c>
      <c r="BF31" s="322" t="e">
        <f>IF(AND($BC31=0,C31=Tab_sel!$P$7,$D31=Tab_sel!$O$24,$E31=Tab_sel!$B$33),1,"")</f>
        <v>#N/A</v>
      </c>
      <c r="BG31" s="322" t="e">
        <f>IF(AND($BC31=0,C31=Tab_sel!$P$7,$D31=Tab_sel!$O$24,$E31=Tab_sel!$B$34),1,"")</f>
        <v>#N/A</v>
      </c>
      <c r="BH31" s="322" t="e">
        <f>IF(AND($BC31=0,C31=Tab_sel!$P$7,$D31=Tab_sel!$O$24,$E31=Tab_sel!$B$35),1,"")</f>
        <v>#N/A</v>
      </c>
      <c r="BI31" s="343" t="e">
        <f>IF(AND($BC31=0,C31=Tab_sel!$P$7,$D31=Tab_sel!$O$24,$E31=Tab_sel!$B$36),1,"")</f>
        <v>#N/A</v>
      </c>
      <c r="BJ31" s="342" t="e">
        <f>IF(AND($BC31=0,$C31=Tab_sel!$P$7,$D31=Tab_sel!$O$24,$E31=Tab_sel!$N$31,$F31=Tab_sel!$B$40),1,"")</f>
        <v>#N/A</v>
      </c>
      <c r="BK31" s="322" t="e">
        <f>IF(AND($BC31=0,$C31=Tab_sel!$P$7,$D31=Tab_sel!$O$24,$E31=Tab_sel!$N$31,$F31=Tab_sel!$B$41),1,"")</f>
        <v>#N/A</v>
      </c>
      <c r="BL31" s="322" t="e">
        <f>IF(AND($BC31=0,$C31=Tab_sel!$P$7,$D31=Tab_sel!$O$24,$E31=Tab_sel!$N$31,$F31=Tab_sel!$B$42),1,"")</f>
        <v>#N/A</v>
      </c>
      <c r="BM31" s="322" t="e">
        <f>IF(AND($BC31=0,$C31=Tab_sel!$P$7,$D31=Tab_sel!$O$24,$E31=Tab_sel!$N$31,$F31=Tab_sel!$B$43),1,"")</f>
        <v>#N/A</v>
      </c>
      <c r="BN31" s="322" t="e">
        <f>IF(AND($BC31=0,$C31=Tab_sel!$P$7,$D31=Tab_sel!$O$24,$E31=Tab_sel!$N$31,$F31=Tab_sel!$B$44),1,"")</f>
        <v>#N/A</v>
      </c>
      <c r="BO31" s="343" t="e">
        <f>IF(AND($BC31=0,$C31=Tab_sel!$P$7,$D31=Tab_sel!$O$24,$E31=Tab_sel!$N$31,$F31=Tab_sel!$B$45),1,"")</f>
        <v>#N/A</v>
      </c>
      <c r="BP31" s="354" t="e">
        <f>IF(AND($BC31=0,$C31=Tab_sel!$P$7,$D31=Tab_sel!$O$24,$E31=Tab_sel!$N$31,$F31=Tab_sel!$N$40,$I31=Tab_sel!$B$61),1,"")</f>
        <v>#N/A</v>
      </c>
      <c r="BQ31" s="355" t="e">
        <f>IF(AND($BC31=0,$C31=Tab_sel!$P$7,$D31=Tab_sel!$O$24,$E31=Tab_sel!$N$31,$F31=Tab_sel!$N$40,$I31=Tab_sel!$B$62),1,"")</f>
        <v>#N/A</v>
      </c>
      <c r="BR31" s="355" t="e">
        <f>IF(AND($BC31=0,$C31=Tab_sel!$P$7,$D31=Tab_sel!$O$24,$E31=Tab_sel!$N$31,$F31=Tab_sel!$N$40,$I31=Tab_sel!$B$63),1,"")</f>
        <v>#N/A</v>
      </c>
      <c r="BS31" s="355" t="e">
        <f>IF(AND($BC31=0,$C31=Tab_sel!$P$7,$D31=Tab_sel!$O$24,$E31=Tab_sel!$N$31,$F31=Tab_sel!$N$40,$I31=Tab_sel!$B$64),1,"")</f>
        <v>#N/A</v>
      </c>
      <c r="BT31" s="356" t="e">
        <f>IF(AND($BC31=0,$C31=Tab_sel!$P$7,$D31=Tab_sel!$O$24,$E31=Tab_sel!$N$31,$F31=Tab_sel!$N$40,$I31=Tab_sel!$B$65),1,"")</f>
        <v>#N/A</v>
      </c>
      <c r="BU31" s="856" t="e">
        <f>IF(AND($BC31=0,$C31=Tab_sel!$P$7,$D31=Tab_sel!$O$24,$E31=Tab_sel!$N$31,$F31=Tab_sel!$N$40,$I31=Tab_sel!$P$61,$H31=Tab_sel!$B$77),1,"")</f>
        <v>#N/A</v>
      </c>
      <c r="BV31" s="883" t="e">
        <f>IF(AND($BC31=0,$C31=Tab_sel!$P$7,$D31=Tab_sel!$O$24,$E31=Tab_sel!$N$31,$F31=Tab_sel!$N$40,$I31=Tab_sel!$P$61,$H31=Tab_sel!$B$78),1,"")</f>
        <v>#N/A</v>
      </c>
      <c r="BW31" s="883" t="e">
        <f>IF(AND($BC31=0,$C31=Tab_sel!$P$7,$D31=Tab_sel!$O$24,$E31=Tab_sel!$N$31,$F31=Tab_sel!$N$40,$I31=Tab_sel!$P$61,$H31=Tab_sel!$B$79),1,"")</f>
        <v>#N/A</v>
      </c>
      <c r="BX31" s="883" t="e">
        <f>IF(AND($BC31=0,$C31=Tab_sel!$P$7,$D31=Tab_sel!$O$24,$E31=Tab_sel!$N$31,$F31=Tab_sel!$N$40,$I31=Tab_sel!$P$61,$H31=Tab_sel!$B$80),1,"")</f>
        <v>#N/A</v>
      </c>
      <c r="BY31" s="883" t="e">
        <f>IF(AND($BC31=0,$C31=Tab_sel!$P$7,$D31=Tab_sel!$O$24,$E31=Tab_sel!$N$31,$F31=Tab_sel!$N$40,$I31=Tab_sel!$P$61,$H31=Tab_sel!$B$81),1,"")</f>
        <v>#N/A</v>
      </c>
      <c r="BZ31" s="857" t="e">
        <f>IF(AND($BC31=0,$C31=Tab_sel!$P$7,$D31=Tab_sel!$O$24,$E31=Tab_sel!$N$31,$F31=Tab_sel!$N$40,$I31=Tab_sel!$P$61,$H31=Tab_sel!$B$82),1,"")</f>
        <v>#N/A</v>
      </c>
      <c r="CA31" s="359"/>
      <c r="CC31">
        <f t="shared" si="13"/>
        <v>0</v>
      </c>
      <c r="CD31" s="882">
        <f t="shared" si="14"/>
        <v>0</v>
      </c>
      <c r="CE31" s="882">
        <f t="shared" si="15"/>
        <v>0</v>
      </c>
      <c r="CH31" t="s">
        <v>2791</v>
      </c>
      <c r="CI31" t="s">
        <v>2622</v>
      </c>
    </row>
    <row r="32" spans="2:88" ht="29.25" customHeight="1" x14ac:dyDescent="0.25">
      <c r="B32" s="791" t="s">
        <v>2332</v>
      </c>
      <c r="C32" s="771" t="s">
        <v>75</v>
      </c>
      <c r="D32" s="772" t="s">
        <v>23</v>
      </c>
      <c r="E32" s="771" t="str">
        <f t="shared" si="18"/>
        <v xml:space="preserve">Fichier ou base de données </v>
      </c>
      <c r="F32" s="768" t="str">
        <f>Altd</f>
        <v>Altération (non détectée) de donnée</v>
      </c>
      <c r="G32" s="768" t="s">
        <v>1107</v>
      </c>
      <c r="H32" s="850" t="s">
        <v>2589</v>
      </c>
      <c r="I32" s="771" t="s">
        <v>1198</v>
      </c>
      <c r="J32" s="769" t="s">
        <v>2537</v>
      </c>
      <c r="K32" s="769" t="s">
        <v>1330</v>
      </c>
      <c r="L32" s="769" t="s">
        <v>1344</v>
      </c>
      <c r="M32" s="790"/>
      <c r="N32" s="767"/>
      <c r="O32" s="767"/>
      <c r="P32" s="772"/>
      <c r="Q32" s="803"/>
      <c r="R32" s="803"/>
      <c r="S32" s="804"/>
      <c r="T32" s="772"/>
      <c r="U32" s="772"/>
      <c r="V32" s="805"/>
      <c r="W32" s="767"/>
      <c r="X32" s="767"/>
      <c r="Y32" s="772"/>
      <c r="Z32" s="772"/>
      <c r="AA32" s="772"/>
      <c r="AB32" s="805"/>
      <c r="AC32" s="806"/>
      <c r="AD32" s="806"/>
      <c r="AE32" s="806"/>
      <c r="AF32" s="806"/>
      <c r="AG32" s="806"/>
      <c r="AH32" s="805"/>
      <c r="AI32" s="807" t="str">
        <f t="shared" si="2"/>
        <v/>
      </c>
      <c r="AJ32" s="805"/>
      <c r="AK32" s="359"/>
      <c r="AM32" t="str">
        <f t="shared" si="9"/>
        <v/>
      </c>
      <c r="AN32">
        <f t="shared" si="10"/>
        <v>0</v>
      </c>
      <c r="AV32" s="860"/>
      <c r="AW32" s="882">
        <f t="shared" si="11"/>
        <v>0</v>
      </c>
      <c r="AX32" s="882">
        <f t="shared" si="5"/>
        <v>1</v>
      </c>
      <c r="AY32" s="882">
        <f t="shared" si="6"/>
        <v>1</v>
      </c>
      <c r="AZ32" s="927">
        <f t="shared" si="7"/>
        <v>1</v>
      </c>
      <c r="BA32" s="882">
        <v>0</v>
      </c>
      <c r="BB32" s="925">
        <f t="shared" si="12"/>
        <v>0</v>
      </c>
      <c r="BC32" s="882">
        <f t="shared" si="8"/>
        <v>1</v>
      </c>
      <c r="BD32" s="342" t="e">
        <f>IF(AND($BC32=0,C32=Tab_sel!$P$7,$D32=Tab_sel!$O$24,$E32=Tab_sel!$B$31),1,"")</f>
        <v>#N/A</v>
      </c>
      <c r="BE32" s="322" t="e">
        <f>IF(AND($BC32=0,C32=Tab_sel!$P$7,$D32=Tab_sel!$O$24,$E32=Tab_sel!$B$32),1,"")</f>
        <v>#N/A</v>
      </c>
      <c r="BF32" s="322" t="e">
        <f>IF(AND($BC32=0,C32=Tab_sel!$P$7,$D32=Tab_sel!$O$24,$E32=Tab_sel!$B$33),1,"")</f>
        <v>#N/A</v>
      </c>
      <c r="BG32" s="322" t="e">
        <f>IF(AND($BC32=0,C32=Tab_sel!$P$7,$D32=Tab_sel!$O$24,$E32=Tab_sel!$B$34),1,"")</f>
        <v>#N/A</v>
      </c>
      <c r="BH32" s="322" t="e">
        <f>IF(AND($BC32=0,C32=Tab_sel!$P$7,$D32=Tab_sel!$O$24,$E32=Tab_sel!$B$35),1,"")</f>
        <v>#N/A</v>
      </c>
      <c r="BI32" s="343" t="e">
        <f>IF(AND($BC32=0,C32=Tab_sel!$P$7,$D32=Tab_sel!$O$24,$E32=Tab_sel!$B$36),1,"")</f>
        <v>#N/A</v>
      </c>
      <c r="BJ32" s="342" t="e">
        <f>IF(AND($BC32=0,$C32=Tab_sel!$P$7,$D32=Tab_sel!$O$24,$E32=Tab_sel!$N$31,$F32=Tab_sel!$B$40),1,"")</f>
        <v>#N/A</v>
      </c>
      <c r="BK32" s="322" t="e">
        <f>IF(AND($BC32=0,$C32=Tab_sel!$P$7,$D32=Tab_sel!$O$24,$E32=Tab_sel!$N$31,$F32=Tab_sel!$B$41),1,"")</f>
        <v>#N/A</v>
      </c>
      <c r="BL32" s="322" t="e">
        <f>IF(AND($BC32=0,$C32=Tab_sel!$P$7,$D32=Tab_sel!$O$24,$E32=Tab_sel!$N$31,$F32=Tab_sel!$B$42),1,"")</f>
        <v>#N/A</v>
      </c>
      <c r="BM32" s="322" t="e">
        <f>IF(AND($BC32=0,$C32=Tab_sel!$P$7,$D32=Tab_sel!$O$24,$E32=Tab_sel!$N$31,$F32=Tab_sel!$B$43),1,"")</f>
        <v>#N/A</v>
      </c>
      <c r="BN32" s="322" t="e">
        <f>IF(AND($BC32=0,$C32=Tab_sel!$P$7,$D32=Tab_sel!$O$24,$E32=Tab_sel!$N$31,$F32=Tab_sel!$B$44),1,"")</f>
        <v>#N/A</v>
      </c>
      <c r="BO32" s="343" t="e">
        <f>IF(AND($BC32=0,$C32=Tab_sel!$P$7,$D32=Tab_sel!$O$24,$E32=Tab_sel!$N$31,$F32=Tab_sel!$B$45),1,"")</f>
        <v>#N/A</v>
      </c>
      <c r="BP32" s="354" t="e">
        <f>IF(AND($BC32=0,$C32=Tab_sel!$P$7,$D32=Tab_sel!$O$24,$E32=Tab_sel!$N$31,$F32=Tab_sel!$N$40,$I32=Tab_sel!$B$61),1,"")</f>
        <v>#N/A</v>
      </c>
      <c r="BQ32" s="355" t="e">
        <f>IF(AND($BC32=0,$C32=Tab_sel!$P$7,$D32=Tab_sel!$O$24,$E32=Tab_sel!$N$31,$F32=Tab_sel!$N$40,$I32=Tab_sel!$B$62),1,"")</f>
        <v>#N/A</v>
      </c>
      <c r="BR32" s="355" t="e">
        <f>IF(AND($BC32=0,$C32=Tab_sel!$P$7,$D32=Tab_sel!$O$24,$E32=Tab_sel!$N$31,$F32=Tab_sel!$N$40,$I32=Tab_sel!$B$63),1,"")</f>
        <v>#N/A</v>
      </c>
      <c r="BS32" s="355" t="e">
        <f>IF(AND($BC32=0,$C32=Tab_sel!$P$7,$D32=Tab_sel!$O$24,$E32=Tab_sel!$N$31,$F32=Tab_sel!$N$40,$I32=Tab_sel!$B$64),1,"")</f>
        <v>#N/A</v>
      </c>
      <c r="BT32" s="356" t="e">
        <f>IF(AND($BC32=0,$C32=Tab_sel!$P$7,$D32=Tab_sel!$O$24,$E32=Tab_sel!$N$31,$F32=Tab_sel!$N$40,$I32=Tab_sel!$B$65),1,"")</f>
        <v>#N/A</v>
      </c>
      <c r="BU32" s="856" t="e">
        <f>IF(AND($BC32=0,$C32=Tab_sel!$P$7,$D32=Tab_sel!$O$24,$E32=Tab_sel!$N$31,$F32=Tab_sel!$N$40,$I32=Tab_sel!$P$61,$H32=Tab_sel!$B$77),1,"")</f>
        <v>#N/A</v>
      </c>
      <c r="BV32" s="883" t="e">
        <f>IF(AND($BC32=0,$C32=Tab_sel!$P$7,$D32=Tab_sel!$O$24,$E32=Tab_sel!$N$31,$F32=Tab_sel!$N$40,$I32=Tab_sel!$P$61,$H32=Tab_sel!$B$78),1,"")</f>
        <v>#N/A</v>
      </c>
      <c r="BW32" s="883" t="e">
        <f>IF(AND($BC32=0,$C32=Tab_sel!$P$7,$D32=Tab_sel!$O$24,$E32=Tab_sel!$N$31,$F32=Tab_sel!$N$40,$I32=Tab_sel!$P$61,$H32=Tab_sel!$B$79),1,"")</f>
        <v>#N/A</v>
      </c>
      <c r="BX32" s="883" t="e">
        <f>IF(AND($BC32=0,$C32=Tab_sel!$P$7,$D32=Tab_sel!$O$24,$E32=Tab_sel!$N$31,$F32=Tab_sel!$N$40,$I32=Tab_sel!$P$61,$H32=Tab_sel!$B$80),1,"")</f>
        <v>#N/A</v>
      </c>
      <c r="BY32" s="883" t="e">
        <f>IF(AND($BC32=0,$C32=Tab_sel!$P$7,$D32=Tab_sel!$O$24,$E32=Tab_sel!$N$31,$F32=Tab_sel!$N$40,$I32=Tab_sel!$P$61,$H32=Tab_sel!$B$81),1,"")</f>
        <v>#N/A</v>
      </c>
      <c r="BZ32" s="857" t="e">
        <f>IF(AND($BC32=0,$C32=Tab_sel!$P$7,$D32=Tab_sel!$O$24,$E32=Tab_sel!$N$31,$F32=Tab_sel!$N$40,$I32=Tab_sel!$P$61,$H32=Tab_sel!$B$82),1,"")</f>
        <v>#N/A</v>
      </c>
      <c r="CA32" s="359"/>
      <c r="CC32">
        <f t="shared" si="13"/>
        <v>0</v>
      </c>
      <c r="CD32" s="882">
        <f t="shared" si="14"/>
        <v>0</v>
      </c>
      <c r="CE32" s="882">
        <f t="shared" si="15"/>
        <v>0</v>
      </c>
      <c r="CG32" t="s">
        <v>2609</v>
      </c>
      <c r="CH32" t="s">
        <v>2792</v>
      </c>
      <c r="CI32" t="s">
        <v>2622</v>
      </c>
    </row>
    <row r="33" spans="2:88" ht="29.25" customHeight="1" x14ac:dyDescent="0.25">
      <c r="B33" s="791" t="s">
        <v>1962</v>
      </c>
      <c r="C33" s="771" t="s">
        <v>75</v>
      </c>
      <c r="D33" s="772" t="s">
        <v>23</v>
      </c>
      <c r="E33" s="771" t="str">
        <f t="shared" si="18"/>
        <v xml:space="preserve">Fichier ou base de données </v>
      </c>
      <c r="F33" s="768" t="str">
        <f>Inco</f>
        <v>Incohérence (non détectée) de données</v>
      </c>
      <c r="G33" s="843" t="s">
        <v>2277</v>
      </c>
      <c r="H33" s="768" t="s">
        <v>2352</v>
      </c>
      <c r="I33" s="771" t="s">
        <v>1171</v>
      </c>
      <c r="J33" s="769"/>
      <c r="K33" s="769" t="s">
        <v>2608</v>
      </c>
      <c r="L33" s="769" t="s">
        <v>1344</v>
      </c>
      <c r="M33" s="788"/>
      <c r="N33" s="767"/>
      <c r="O33" s="767"/>
      <c r="P33" s="772"/>
      <c r="Q33" s="803"/>
      <c r="R33" s="803"/>
      <c r="S33" s="804"/>
      <c r="T33" s="772"/>
      <c r="U33" s="772"/>
      <c r="V33" s="805"/>
      <c r="W33" s="767"/>
      <c r="X33" s="767"/>
      <c r="Y33" s="772"/>
      <c r="Z33" s="772"/>
      <c r="AA33" s="772"/>
      <c r="AB33" s="805"/>
      <c r="AC33" s="806"/>
      <c r="AD33" s="806"/>
      <c r="AE33" s="806"/>
      <c r="AF33" s="806"/>
      <c r="AG33" s="806"/>
      <c r="AH33" s="805"/>
      <c r="AI33" s="807" t="str">
        <f t="shared" si="2"/>
        <v/>
      </c>
      <c r="AJ33" s="805"/>
      <c r="AK33" s="359"/>
      <c r="AM33" t="str">
        <f t="shared" si="9"/>
        <v/>
      </c>
      <c r="AN33">
        <f t="shared" si="10"/>
        <v>0</v>
      </c>
      <c r="AW33" s="882">
        <f t="shared" si="11"/>
        <v>0</v>
      </c>
      <c r="AX33" s="882">
        <f t="shared" si="5"/>
        <v>1</v>
      </c>
      <c r="AY33" s="882">
        <f t="shared" si="6"/>
        <v>1</v>
      </c>
      <c r="AZ33" s="927">
        <f t="shared" si="7"/>
        <v>1</v>
      </c>
      <c r="BA33" s="882">
        <v>1</v>
      </c>
      <c r="BB33" s="925">
        <f t="shared" si="12"/>
        <v>0</v>
      </c>
      <c r="BC33" s="882">
        <f t="shared" si="8"/>
        <v>1</v>
      </c>
      <c r="BD33" s="342" t="e">
        <f>IF(AND($BC33=0,C33=Tab_sel!$P$7,$D33=Tab_sel!$O$24,$E33=Tab_sel!$B$31),1,"")</f>
        <v>#N/A</v>
      </c>
      <c r="BE33" s="322" t="e">
        <f>IF(AND($BC33=0,C33=Tab_sel!$P$7,$D33=Tab_sel!$O$24,$E33=Tab_sel!$B$32),1,"")</f>
        <v>#N/A</v>
      </c>
      <c r="BF33" s="322" t="e">
        <f>IF(AND($BC33=0,C33=Tab_sel!$P$7,$D33=Tab_sel!$O$24,$E33=Tab_sel!$B$33),1,"")</f>
        <v>#N/A</v>
      </c>
      <c r="BG33" s="322" t="e">
        <f>IF(AND($BC33=0,C33=Tab_sel!$P$7,$D33=Tab_sel!$O$24,$E33=Tab_sel!$B$34),1,"")</f>
        <v>#N/A</v>
      </c>
      <c r="BH33" s="322" t="e">
        <f>IF(AND($BC33=0,C33=Tab_sel!$P$7,$D33=Tab_sel!$O$24,$E33=Tab_sel!$B$35),1,"")</f>
        <v>#N/A</v>
      </c>
      <c r="BI33" s="343" t="e">
        <f>IF(AND($BC33=0,C33=Tab_sel!$P$7,$D33=Tab_sel!$O$24,$E33=Tab_sel!$B$36),1,"")</f>
        <v>#N/A</v>
      </c>
      <c r="BJ33" s="342" t="e">
        <f>IF(AND($BC33=0,$C33=Tab_sel!$P$7,$D33=Tab_sel!$O$24,$E33=Tab_sel!$N$31,$F33=Tab_sel!$B$40),1,"")</f>
        <v>#N/A</v>
      </c>
      <c r="BK33" s="322" t="e">
        <f>IF(AND($BC33=0,$C33=Tab_sel!$P$7,$D33=Tab_sel!$O$24,$E33=Tab_sel!$N$31,$F33=Tab_sel!$B$41),1,"")</f>
        <v>#N/A</v>
      </c>
      <c r="BL33" s="322" t="e">
        <f>IF(AND($BC33=0,$C33=Tab_sel!$P$7,$D33=Tab_sel!$O$24,$E33=Tab_sel!$N$31,$F33=Tab_sel!$B$42),1,"")</f>
        <v>#N/A</v>
      </c>
      <c r="BM33" s="322" t="e">
        <f>IF(AND($BC33=0,$C33=Tab_sel!$P$7,$D33=Tab_sel!$O$24,$E33=Tab_sel!$N$31,$F33=Tab_sel!$B$43),1,"")</f>
        <v>#N/A</v>
      </c>
      <c r="BN33" s="322" t="e">
        <f>IF(AND($BC33=0,$C33=Tab_sel!$P$7,$D33=Tab_sel!$O$24,$E33=Tab_sel!$N$31,$F33=Tab_sel!$B$44),1,"")</f>
        <v>#N/A</v>
      </c>
      <c r="BO33" s="343" t="e">
        <f>IF(AND($BC33=0,$C33=Tab_sel!$P$7,$D33=Tab_sel!$O$24,$E33=Tab_sel!$N$31,$F33=Tab_sel!$B$45),1,"")</f>
        <v>#N/A</v>
      </c>
      <c r="BP33" s="354" t="e">
        <f>IF(AND($BC33=0,$C33=Tab_sel!$P$7,$D33=Tab_sel!$O$24,$E33=Tab_sel!$N$31,$F33=Tab_sel!$N$40,$I33=Tab_sel!$B$61),1,"")</f>
        <v>#N/A</v>
      </c>
      <c r="BQ33" s="355" t="e">
        <f>IF(AND($BC33=0,$C33=Tab_sel!$P$7,$D33=Tab_sel!$O$24,$E33=Tab_sel!$N$31,$F33=Tab_sel!$N$40,$I33=Tab_sel!$B$62),1,"")</f>
        <v>#N/A</v>
      </c>
      <c r="BR33" s="355" t="e">
        <f>IF(AND($BC33=0,$C33=Tab_sel!$P$7,$D33=Tab_sel!$O$24,$E33=Tab_sel!$N$31,$F33=Tab_sel!$N$40,$I33=Tab_sel!$B$63),1,"")</f>
        <v>#N/A</v>
      </c>
      <c r="BS33" s="355" t="e">
        <f>IF(AND($BC33=0,$C33=Tab_sel!$P$7,$D33=Tab_sel!$O$24,$E33=Tab_sel!$N$31,$F33=Tab_sel!$N$40,$I33=Tab_sel!$B$64),1,"")</f>
        <v>#N/A</v>
      </c>
      <c r="BT33" s="356" t="e">
        <f>IF(AND($BC33=0,$C33=Tab_sel!$P$7,$D33=Tab_sel!$O$24,$E33=Tab_sel!$N$31,$F33=Tab_sel!$N$40,$I33=Tab_sel!$B$65),1,"")</f>
        <v>#N/A</v>
      </c>
      <c r="BU33" s="856" t="e">
        <f>IF(AND($BC33=0,$C33=Tab_sel!$P$7,$D33=Tab_sel!$O$24,$E33=Tab_sel!$N$31,$F33=Tab_sel!$N$40,$I33=Tab_sel!$P$61,$H33=Tab_sel!$B$77),1,"")</f>
        <v>#N/A</v>
      </c>
      <c r="BV33" s="883" t="e">
        <f>IF(AND($BC33=0,$C33=Tab_sel!$P$7,$D33=Tab_sel!$O$24,$E33=Tab_sel!$N$31,$F33=Tab_sel!$N$40,$I33=Tab_sel!$P$61,$H33=Tab_sel!$B$78),1,"")</f>
        <v>#N/A</v>
      </c>
      <c r="BW33" s="883" t="e">
        <f>IF(AND($BC33=0,$C33=Tab_sel!$P$7,$D33=Tab_sel!$O$24,$E33=Tab_sel!$N$31,$F33=Tab_sel!$N$40,$I33=Tab_sel!$P$61,$H33=Tab_sel!$B$79),1,"")</f>
        <v>#N/A</v>
      </c>
      <c r="BX33" s="883" t="e">
        <f>IF(AND($BC33=0,$C33=Tab_sel!$P$7,$D33=Tab_sel!$O$24,$E33=Tab_sel!$N$31,$F33=Tab_sel!$N$40,$I33=Tab_sel!$P$61,$H33=Tab_sel!$B$80),1,"")</f>
        <v>#N/A</v>
      </c>
      <c r="BY33" s="883" t="e">
        <f>IF(AND($BC33=0,$C33=Tab_sel!$P$7,$D33=Tab_sel!$O$24,$E33=Tab_sel!$N$31,$F33=Tab_sel!$N$40,$I33=Tab_sel!$P$61,$H33=Tab_sel!$B$81),1,"")</f>
        <v>#N/A</v>
      </c>
      <c r="BZ33" s="857" t="e">
        <f>IF(AND($BC33=0,$C33=Tab_sel!$P$7,$D33=Tab_sel!$O$24,$E33=Tab_sel!$N$31,$F33=Tab_sel!$N$40,$I33=Tab_sel!$P$61,$H33=Tab_sel!$B$82),1,"")</f>
        <v>#N/A</v>
      </c>
      <c r="CA33" s="359"/>
      <c r="CC33">
        <f t="shared" si="13"/>
        <v>0</v>
      </c>
      <c r="CD33" s="882">
        <f t="shared" si="14"/>
        <v>0</v>
      </c>
      <c r="CE33" s="882">
        <f t="shared" si="15"/>
        <v>0</v>
      </c>
      <c r="CH33" t="s">
        <v>2793</v>
      </c>
      <c r="CI33" t="s">
        <v>2622</v>
      </c>
    </row>
    <row r="34" spans="2:88" ht="29.25" customHeight="1" x14ac:dyDescent="0.25">
      <c r="B34" s="791" t="s">
        <v>2333</v>
      </c>
      <c r="C34" s="874" t="s">
        <v>75</v>
      </c>
      <c r="D34" s="875" t="s">
        <v>23</v>
      </c>
      <c r="E34" s="771" t="str">
        <f t="shared" si="18"/>
        <v xml:space="preserve">Fichier ou base de données </v>
      </c>
      <c r="F34" s="768" t="str">
        <f>Inco</f>
        <v>Incohérence (non détectée) de données</v>
      </c>
      <c r="G34" s="884" t="s">
        <v>2277</v>
      </c>
      <c r="H34" s="876" t="s">
        <v>2500</v>
      </c>
      <c r="I34" s="874" t="s">
        <v>1171</v>
      </c>
      <c r="J34" s="877"/>
      <c r="K34" s="877" t="s">
        <v>2370</v>
      </c>
      <c r="L34" s="877" t="s">
        <v>1344</v>
      </c>
      <c r="M34" s="788"/>
      <c r="N34" s="851"/>
      <c r="O34" s="851"/>
      <c r="P34" s="875"/>
      <c r="Q34" s="803"/>
      <c r="R34" s="803"/>
      <c r="S34" s="804"/>
      <c r="T34" s="875"/>
      <c r="U34" s="875"/>
      <c r="V34" s="805"/>
      <c r="W34" s="851"/>
      <c r="X34" s="851"/>
      <c r="Y34" s="875"/>
      <c r="Z34" s="875"/>
      <c r="AA34" s="875"/>
      <c r="AB34" s="805"/>
      <c r="AC34" s="806"/>
      <c r="AD34" s="806"/>
      <c r="AE34" s="806"/>
      <c r="AF34" s="806"/>
      <c r="AG34" s="806"/>
      <c r="AH34" s="805"/>
      <c r="AI34" s="807" t="str">
        <f t="shared" si="2"/>
        <v/>
      </c>
      <c r="AJ34" s="805"/>
      <c r="AK34" s="359"/>
      <c r="AM34" t="str">
        <f t="shared" si="9"/>
        <v/>
      </c>
      <c r="AN34">
        <f t="shared" si="10"/>
        <v>0</v>
      </c>
      <c r="AV34" s="882"/>
      <c r="AW34" s="882">
        <f t="shared" si="11"/>
        <v>0</v>
      </c>
      <c r="AX34" s="882">
        <f t="shared" si="5"/>
        <v>1</v>
      </c>
      <c r="AY34" s="882">
        <f t="shared" si="6"/>
        <v>1</v>
      </c>
      <c r="AZ34" s="927">
        <f t="shared" si="7"/>
        <v>1</v>
      </c>
      <c r="BA34" s="882">
        <v>0</v>
      </c>
      <c r="BB34" s="925">
        <f t="shared" si="12"/>
        <v>0</v>
      </c>
      <c r="BC34" s="882">
        <f t="shared" si="8"/>
        <v>1</v>
      </c>
      <c r="BD34" s="342" t="e">
        <f>IF(AND($BC34=0,C34=Tab_sel!$P$7,$D34=Tab_sel!$O$24,$E34=Tab_sel!$B$31),1,"")</f>
        <v>#N/A</v>
      </c>
      <c r="BE34" s="322" t="e">
        <f>IF(AND($BC34=0,C34=Tab_sel!$P$7,$D34=Tab_sel!$O$24,$E34=Tab_sel!$B$32),1,"")</f>
        <v>#N/A</v>
      </c>
      <c r="BF34" s="322" t="e">
        <f>IF(AND($BC34=0,C34=Tab_sel!$P$7,$D34=Tab_sel!$O$24,$E34=Tab_sel!$B$33),1,"")</f>
        <v>#N/A</v>
      </c>
      <c r="BG34" s="322" t="e">
        <f>IF(AND($BC34=0,C34=Tab_sel!$P$7,$D34=Tab_sel!$O$24,$E34=Tab_sel!$B$34),1,"")</f>
        <v>#N/A</v>
      </c>
      <c r="BH34" s="322" t="e">
        <f>IF(AND($BC34=0,C34=Tab_sel!$P$7,$D34=Tab_sel!$O$24,$E34=Tab_sel!$B$35),1,"")</f>
        <v>#N/A</v>
      </c>
      <c r="BI34" s="343" t="e">
        <f>IF(AND($BC34=0,C34=Tab_sel!$P$7,$D34=Tab_sel!$O$24,$E34=Tab_sel!$B$36),1,"")</f>
        <v>#N/A</v>
      </c>
      <c r="BJ34" s="342" t="e">
        <f>IF(AND($BC34=0,$C34=Tab_sel!$P$7,$D34=Tab_sel!$O$24,$E34=Tab_sel!$N$31,$F34=Tab_sel!$B$40),1,"")</f>
        <v>#N/A</v>
      </c>
      <c r="BK34" s="322" t="e">
        <f>IF(AND($BC34=0,$C34=Tab_sel!$P$7,$D34=Tab_sel!$O$24,$E34=Tab_sel!$N$31,$F34=Tab_sel!$B$41),1,"")</f>
        <v>#N/A</v>
      </c>
      <c r="BL34" s="322" t="e">
        <f>IF(AND($BC34=0,$C34=Tab_sel!$P$7,$D34=Tab_sel!$O$24,$E34=Tab_sel!$N$31,$F34=Tab_sel!$B$42),1,"")</f>
        <v>#N/A</v>
      </c>
      <c r="BM34" s="322" t="e">
        <f>IF(AND($BC34=0,$C34=Tab_sel!$P$7,$D34=Tab_sel!$O$24,$E34=Tab_sel!$N$31,$F34=Tab_sel!$B$43),1,"")</f>
        <v>#N/A</v>
      </c>
      <c r="BN34" s="322" t="e">
        <f>IF(AND($BC34=0,$C34=Tab_sel!$P$7,$D34=Tab_sel!$O$24,$E34=Tab_sel!$N$31,$F34=Tab_sel!$B$44),1,"")</f>
        <v>#N/A</v>
      </c>
      <c r="BO34" s="343" t="e">
        <f>IF(AND($BC34=0,$C34=Tab_sel!$P$7,$D34=Tab_sel!$O$24,$E34=Tab_sel!$N$31,$F34=Tab_sel!$B$45),1,"")</f>
        <v>#N/A</v>
      </c>
      <c r="BP34" s="354" t="e">
        <f>IF(AND($BC34=0,$C34=Tab_sel!$P$7,$D34=Tab_sel!$O$24,$E34=Tab_sel!$N$31,$F34=Tab_sel!$N$40,$I34=Tab_sel!$B$61),1,"")</f>
        <v>#N/A</v>
      </c>
      <c r="BQ34" s="355" t="e">
        <f>IF(AND($BC34=0,$C34=Tab_sel!$P$7,$D34=Tab_sel!$O$24,$E34=Tab_sel!$N$31,$F34=Tab_sel!$N$40,$I34=Tab_sel!$B$62),1,"")</f>
        <v>#N/A</v>
      </c>
      <c r="BR34" s="355" t="e">
        <f>IF(AND($BC34=0,$C34=Tab_sel!$P$7,$D34=Tab_sel!$O$24,$E34=Tab_sel!$N$31,$F34=Tab_sel!$N$40,$I34=Tab_sel!$B$63),1,"")</f>
        <v>#N/A</v>
      </c>
      <c r="BS34" s="355" t="e">
        <f>IF(AND($BC34=0,$C34=Tab_sel!$P$7,$D34=Tab_sel!$O$24,$E34=Tab_sel!$N$31,$F34=Tab_sel!$N$40,$I34=Tab_sel!$B$64),1,"")</f>
        <v>#N/A</v>
      </c>
      <c r="BT34" s="356" t="e">
        <f>IF(AND($BC34=0,$C34=Tab_sel!$P$7,$D34=Tab_sel!$O$24,$E34=Tab_sel!$N$31,$F34=Tab_sel!$N$40,$I34=Tab_sel!$B$65),1,"")</f>
        <v>#N/A</v>
      </c>
      <c r="BU34" s="856" t="e">
        <f>IF(AND($BC34=0,$C34=Tab_sel!$P$7,$D34=Tab_sel!$O$24,$E34=Tab_sel!$N$31,$F34=Tab_sel!$N$40,$I34=Tab_sel!$P$61,$H34=Tab_sel!$B$77),1,"")</f>
        <v>#N/A</v>
      </c>
      <c r="BV34" s="883" t="e">
        <f>IF(AND($BC34=0,$C34=Tab_sel!$P$7,$D34=Tab_sel!$O$24,$E34=Tab_sel!$N$31,$F34=Tab_sel!$N$40,$I34=Tab_sel!$P$61,$H34=Tab_sel!$B$78),1,"")</f>
        <v>#N/A</v>
      </c>
      <c r="BW34" s="883" t="e">
        <f>IF(AND($BC34=0,$C34=Tab_sel!$P$7,$D34=Tab_sel!$O$24,$E34=Tab_sel!$N$31,$F34=Tab_sel!$N$40,$I34=Tab_sel!$P$61,$H34=Tab_sel!$B$79),1,"")</f>
        <v>#N/A</v>
      </c>
      <c r="BX34" s="883" t="e">
        <f>IF(AND($BC34=0,$C34=Tab_sel!$P$7,$D34=Tab_sel!$O$24,$E34=Tab_sel!$N$31,$F34=Tab_sel!$N$40,$I34=Tab_sel!$P$61,$H34=Tab_sel!$B$80),1,"")</f>
        <v>#N/A</v>
      </c>
      <c r="BY34" s="883" t="e">
        <f>IF(AND($BC34=0,$C34=Tab_sel!$P$7,$D34=Tab_sel!$O$24,$E34=Tab_sel!$N$31,$F34=Tab_sel!$N$40,$I34=Tab_sel!$P$61,$H34=Tab_sel!$B$81),1,"")</f>
        <v>#N/A</v>
      </c>
      <c r="BZ34" s="857" t="e">
        <f>IF(AND($BC34=0,$C34=Tab_sel!$P$7,$D34=Tab_sel!$O$24,$E34=Tab_sel!$N$31,$F34=Tab_sel!$N$40,$I34=Tab_sel!$P$61,$H34=Tab_sel!$B$82),1,"")</f>
        <v>#N/A</v>
      </c>
      <c r="CA34" s="359"/>
      <c r="CC34">
        <f t="shared" si="13"/>
        <v>0</v>
      </c>
      <c r="CD34" s="882">
        <f t="shared" si="14"/>
        <v>0</v>
      </c>
      <c r="CE34" s="882">
        <f t="shared" si="15"/>
        <v>0</v>
      </c>
      <c r="CH34" t="s">
        <v>2614</v>
      </c>
      <c r="CI34" t="s">
        <v>2622</v>
      </c>
    </row>
    <row r="35" spans="2:88" ht="29.25" customHeight="1" x14ac:dyDescent="0.25">
      <c r="B35" s="791" t="s">
        <v>2560</v>
      </c>
      <c r="C35" s="874" t="s">
        <v>75</v>
      </c>
      <c r="D35" s="875" t="s">
        <v>23</v>
      </c>
      <c r="E35" s="771" t="str">
        <f t="shared" si="18"/>
        <v xml:space="preserve">Fichier ou base de données </v>
      </c>
      <c r="F35" s="768" t="str">
        <f>Inco</f>
        <v>Incohérence (non détectée) de données</v>
      </c>
      <c r="G35" s="884" t="s">
        <v>2277</v>
      </c>
      <c r="H35" s="876" t="s">
        <v>2334</v>
      </c>
      <c r="I35" s="874" t="s">
        <v>1171</v>
      </c>
      <c r="J35" s="877"/>
      <c r="K35" s="877" t="s">
        <v>1330</v>
      </c>
      <c r="L35" s="877" t="s">
        <v>1344</v>
      </c>
      <c r="M35" s="788"/>
      <c r="N35" s="851"/>
      <c r="O35" s="851"/>
      <c r="P35" s="875"/>
      <c r="Q35" s="803"/>
      <c r="R35" s="803"/>
      <c r="S35" s="804"/>
      <c r="T35" s="875"/>
      <c r="U35" s="875"/>
      <c r="V35" s="805"/>
      <c r="W35" s="851"/>
      <c r="X35" s="851"/>
      <c r="Y35" s="875"/>
      <c r="Z35" s="875"/>
      <c r="AA35" s="875"/>
      <c r="AB35" s="805"/>
      <c r="AC35" s="806"/>
      <c r="AD35" s="806"/>
      <c r="AE35" s="806"/>
      <c r="AF35" s="806"/>
      <c r="AG35" s="806"/>
      <c r="AH35" s="805"/>
      <c r="AI35" s="807" t="str">
        <f t="shared" si="2"/>
        <v/>
      </c>
      <c r="AJ35" s="805"/>
      <c r="AK35" s="359"/>
      <c r="AM35" t="str">
        <f t="shared" si="9"/>
        <v/>
      </c>
      <c r="AN35">
        <f t="shared" si="10"/>
        <v>0</v>
      </c>
      <c r="AV35" s="882"/>
      <c r="AW35" s="882">
        <f t="shared" si="11"/>
        <v>0</v>
      </c>
      <c r="AX35" s="882">
        <f t="shared" si="5"/>
        <v>1</v>
      </c>
      <c r="AY35" s="882">
        <f t="shared" si="6"/>
        <v>1</v>
      </c>
      <c r="AZ35" s="927">
        <f t="shared" si="7"/>
        <v>1</v>
      </c>
      <c r="BA35" s="882">
        <v>0</v>
      </c>
      <c r="BB35" s="925">
        <f t="shared" si="12"/>
        <v>0</v>
      </c>
      <c r="BC35" s="882">
        <f t="shared" si="8"/>
        <v>1</v>
      </c>
      <c r="BD35" s="342" t="e">
        <f>IF(AND($BC35=0,C35=Tab_sel!$P$7,$D35=Tab_sel!$O$24,$E35=Tab_sel!$B$31),1,"")</f>
        <v>#N/A</v>
      </c>
      <c r="BE35" s="322" t="e">
        <f>IF(AND($BC35=0,C35=Tab_sel!$P$7,$D35=Tab_sel!$O$24,$E35=Tab_sel!$B$32),1,"")</f>
        <v>#N/A</v>
      </c>
      <c r="BF35" s="322" t="e">
        <f>IF(AND($BC35=0,C35=Tab_sel!$P$7,$D35=Tab_sel!$O$24,$E35=Tab_sel!$B$33),1,"")</f>
        <v>#N/A</v>
      </c>
      <c r="BG35" s="322" t="e">
        <f>IF(AND($BC35=0,C35=Tab_sel!$P$7,$D35=Tab_sel!$O$24,$E35=Tab_sel!$B$34),1,"")</f>
        <v>#N/A</v>
      </c>
      <c r="BH35" s="322" t="e">
        <f>IF(AND($BC35=0,C35=Tab_sel!$P$7,$D35=Tab_sel!$O$24,$E35=Tab_sel!$B$35),1,"")</f>
        <v>#N/A</v>
      </c>
      <c r="BI35" s="343" t="e">
        <f>IF(AND($BC35=0,C35=Tab_sel!$P$7,$D35=Tab_sel!$O$24,$E35=Tab_sel!$B$36),1,"")</f>
        <v>#N/A</v>
      </c>
      <c r="BJ35" s="342" t="e">
        <f>IF(AND($BC35=0,$C35=Tab_sel!$P$7,$D35=Tab_sel!$O$24,$E35=Tab_sel!$N$31,$F35=Tab_sel!$B$40),1,"")</f>
        <v>#N/A</v>
      </c>
      <c r="BK35" s="322" t="e">
        <f>IF(AND($BC35=0,$C35=Tab_sel!$P$7,$D35=Tab_sel!$O$24,$E35=Tab_sel!$N$31,$F35=Tab_sel!$B$41),1,"")</f>
        <v>#N/A</v>
      </c>
      <c r="BL35" s="322" t="e">
        <f>IF(AND($BC35=0,$C35=Tab_sel!$P$7,$D35=Tab_sel!$O$24,$E35=Tab_sel!$N$31,$F35=Tab_sel!$B$42),1,"")</f>
        <v>#N/A</v>
      </c>
      <c r="BM35" s="322" t="e">
        <f>IF(AND($BC35=0,$C35=Tab_sel!$P$7,$D35=Tab_sel!$O$24,$E35=Tab_sel!$N$31,$F35=Tab_sel!$B$43),1,"")</f>
        <v>#N/A</v>
      </c>
      <c r="BN35" s="322" t="e">
        <f>IF(AND($BC35=0,$C35=Tab_sel!$P$7,$D35=Tab_sel!$O$24,$E35=Tab_sel!$N$31,$F35=Tab_sel!$B$44),1,"")</f>
        <v>#N/A</v>
      </c>
      <c r="BO35" s="343" t="e">
        <f>IF(AND($BC35=0,$C35=Tab_sel!$P$7,$D35=Tab_sel!$O$24,$E35=Tab_sel!$N$31,$F35=Tab_sel!$B$45),1,"")</f>
        <v>#N/A</v>
      </c>
      <c r="BP35" s="354" t="e">
        <f>IF(AND($BC35=0,$C35=Tab_sel!$P$7,$D35=Tab_sel!$O$24,$E35=Tab_sel!$N$31,$F35=Tab_sel!$N$40,$I35=Tab_sel!$B$61),1,"")</f>
        <v>#N/A</v>
      </c>
      <c r="BQ35" s="355" t="e">
        <f>IF(AND($BC35=0,$C35=Tab_sel!$P$7,$D35=Tab_sel!$O$24,$E35=Tab_sel!$N$31,$F35=Tab_sel!$N$40,$I35=Tab_sel!$B$62),1,"")</f>
        <v>#N/A</v>
      </c>
      <c r="BR35" s="355" t="e">
        <f>IF(AND($BC35=0,$C35=Tab_sel!$P$7,$D35=Tab_sel!$O$24,$E35=Tab_sel!$N$31,$F35=Tab_sel!$N$40,$I35=Tab_sel!$B$63),1,"")</f>
        <v>#N/A</v>
      </c>
      <c r="BS35" s="355" t="e">
        <f>IF(AND($BC35=0,$C35=Tab_sel!$P$7,$D35=Tab_sel!$O$24,$E35=Tab_sel!$N$31,$F35=Tab_sel!$N$40,$I35=Tab_sel!$B$64),1,"")</f>
        <v>#N/A</v>
      </c>
      <c r="BT35" s="356" t="e">
        <f>IF(AND($BC35=0,$C35=Tab_sel!$P$7,$D35=Tab_sel!$O$24,$E35=Tab_sel!$N$31,$F35=Tab_sel!$N$40,$I35=Tab_sel!$B$65),1,"")</f>
        <v>#N/A</v>
      </c>
      <c r="BU35" s="856" t="e">
        <f>IF(AND($BC35=0,$C35=Tab_sel!$P$7,$D35=Tab_sel!$O$24,$E35=Tab_sel!$N$31,$F35=Tab_sel!$N$40,$I35=Tab_sel!$P$61,$H35=Tab_sel!$B$77),1,"")</f>
        <v>#N/A</v>
      </c>
      <c r="BV35" s="883" t="e">
        <f>IF(AND($BC35=0,$C35=Tab_sel!$P$7,$D35=Tab_sel!$O$24,$E35=Tab_sel!$N$31,$F35=Tab_sel!$N$40,$I35=Tab_sel!$P$61,$H35=Tab_sel!$B$78),1,"")</f>
        <v>#N/A</v>
      </c>
      <c r="BW35" s="883" t="e">
        <f>IF(AND($BC35=0,$C35=Tab_sel!$P$7,$D35=Tab_sel!$O$24,$E35=Tab_sel!$N$31,$F35=Tab_sel!$N$40,$I35=Tab_sel!$P$61,$H35=Tab_sel!$B$79),1,"")</f>
        <v>#N/A</v>
      </c>
      <c r="BX35" s="883" t="e">
        <f>IF(AND($BC35=0,$C35=Tab_sel!$P$7,$D35=Tab_sel!$O$24,$E35=Tab_sel!$N$31,$F35=Tab_sel!$N$40,$I35=Tab_sel!$P$61,$H35=Tab_sel!$B$80),1,"")</f>
        <v>#N/A</v>
      </c>
      <c r="BY35" s="883" t="e">
        <f>IF(AND($BC35=0,$C35=Tab_sel!$P$7,$D35=Tab_sel!$O$24,$E35=Tab_sel!$N$31,$F35=Tab_sel!$N$40,$I35=Tab_sel!$P$61,$H35=Tab_sel!$B$81),1,"")</f>
        <v>#N/A</v>
      </c>
      <c r="BZ35" s="857" t="e">
        <f>IF(AND($BC35=0,$C35=Tab_sel!$P$7,$D35=Tab_sel!$O$24,$E35=Tab_sel!$N$31,$F35=Tab_sel!$N$40,$I35=Tab_sel!$P$61,$H35=Tab_sel!$B$82),1,"")</f>
        <v>#N/A</v>
      </c>
      <c r="CA35" s="359"/>
      <c r="CC35">
        <f t="shared" si="13"/>
        <v>0</v>
      </c>
      <c r="CD35" s="882">
        <f t="shared" si="14"/>
        <v>0</v>
      </c>
      <c r="CE35" s="882">
        <f t="shared" si="15"/>
        <v>0</v>
      </c>
      <c r="CH35" t="s">
        <v>2792</v>
      </c>
      <c r="CI35" t="s">
        <v>2622</v>
      </c>
    </row>
    <row r="36" spans="2:88" ht="29.25" customHeight="1" x14ac:dyDescent="0.25">
      <c r="B36" s="791" t="s">
        <v>1963</v>
      </c>
      <c r="C36" s="771" t="s">
        <v>75</v>
      </c>
      <c r="D36" s="772" t="s">
        <v>23</v>
      </c>
      <c r="E36" s="771" t="str">
        <f>Det</f>
        <v>Données en transit</v>
      </c>
      <c r="F36" s="768" t="str">
        <f>Altd</f>
        <v>Altération (non détectée) de donnée</v>
      </c>
      <c r="G36" s="768" t="s">
        <v>1964</v>
      </c>
      <c r="H36" s="768" t="s">
        <v>2352</v>
      </c>
      <c r="I36" s="771" t="s">
        <v>1198</v>
      </c>
      <c r="J36" s="769" t="s">
        <v>2537</v>
      </c>
      <c r="K36" s="769" t="s">
        <v>2463</v>
      </c>
      <c r="L36" s="769"/>
      <c r="M36" s="790" t="s">
        <v>1348</v>
      </c>
      <c r="N36" s="767"/>
      <c r="O36" s="767"/>
      <c r="P36" s="772"/>
      <c r="Q36" s="803"/>
      <c r="R36" s="803"/>
      <c r="S36" s="804"/>
      <c r="T36" s="772"/>
      <c r="U36" s="772"/>
      <c r="V36" s="805"/>
      <c r="W36" s="767"/>
      <c r="X36" s="767"/>
      <c r="Y36" s="772"/>
      <c r="Z36" s="772"/>
      <c r="AA36" s="772"/>
      <c r="AB36" s="805"/>
      <c r="AC36" s="806"/>
      <c r="AD36" s="806"/>
      <c r="AE36" s="806"/>
      <c r="AF36" s="806"/>
      <c r="AG36" s="806"/>
      <c r="AH36" s="805"/>
      <c r="AI36" s="807" t="str">
        <f t="shared" si="2"/>
        <v/>
      </c>
      <c r="AJ36" s="805"/>
      <c r="AK36" s="359"/>
      <c r="AM36" t="str">
        <f t="shared" si="9"/>
        <v/>
      </c>
      <c r="AN36">
        <f t="shared" si="10"/>
        <v>0</v>
      </c>
      <c r="AW36" s="882">
        <f t="shared" si="11"/>
        <v>0</v>
      </c>
      <c r="AX36" s="882">
        <f t="shared" ref="AX36:AX53" si="19">VLOOKUP(E36,Tab_ActS,2,FALSE)</f>
        <v>1</v>
      </c>
      <c r="AY36" s="882">
        <f t="shared" ref="AY36:AY53" si="20">VLOOKUP(F36,Tab_SDom,3,FALSE)</f>
        <v>1</v>
      </c>
      <c r="AZ36" s="927">
        <f t="shared" si="7"/>
        <v>1</v>
      </c>
      <c r="BA36" s="882">
        <v>1</v>
      </c>
      <c r="BB36" s="925">
        <f t="shared" si="12"/>
        <v>0</v>
      </c>
      <c r="BC36" s="882">
        <f t="shared" ref="BC36:BC53" si="21">IF(IndS=FALSE,IF(BB36=1,0,1),IF(BB36=0,1,AV36))</f>
        <v>1</v>
      </c>
      <c r="BD36" s="342" t="e">
        <f>IF(AND($BC36=0,C36=Tab_sel!$P$7,$D36=Tab_sel!$O$24,$E36=Tab_sel!$B$31),1,"")</f>
        <v>#N/A</v>
      </c>
      <c r="BE36" s="322" t="e">
        <f>IF(AND($BC36=0,C36=Tab_sel!$P$7,$D36=Tab_sel!$O$24,$E36=Tab_sel!$B$32),1,"")</f>
        <v>#N/A</v>
      </c>
      <c r="BF36" s="322" t="e">
        <f>IF(AND($BC36=0,C36=Tab_sel!$P$7,$D36=Tab_sel!$O$24,$E36=Tab_sel!$B$33),1,"")</f>
        <v>#N/A</v>
      </c>
      <c r="BG36" s="322" t="e">
        <f>IF(AND($BC36=0,C36=Tab_sel!$P$7,$D36=Tab_sel!$O$24,$E36=Tab_sel!$B$34),1,"")</f>
        <v>#N/A</v>
      </c>
      <c r="BH36" s="322" t="e">
        <f>IF(AND($BC36=0,C36=Tab_sel!$P$7,$D36=Tab_sel!$O$24,$E36=Tab_sel!$B$35),1,"")</f>
        <v>#N/A</v>
      </c>
      <c r="BI36" s="343" t="e">
        <f>IF(AND($BC36=0,C36=Tab_sel!$P$7,$D36=Tab_sel!$O$24,$E36=Tab_sel!$B$36),1,"")</f>
        <v>#N/A</v>
      </c>
      <c r="BJ36" s="342" t="e">
        <f>IF(AND($BC36=0,$C36=Tab_sel!$P$7,$D36=Tab_sel!$O$24,$E36=Tab_sel!$N$31,$F36=Tab_sel!$B$40),1,"")</f>
        <v>#N/A</v>
      </c>
      <c r="BK36" s="322" t="e">
        <f>IF(AND($BC36=0,$C36=Tab_sel!$P$7,$D36=Tab_sel!$O$24,$E36=Tab_sel!$N$31,$F36=Tab_sel!$B$41),1,"")</f>
        <v>#N/A</v>
      </c>
      <c r="BL36" s="322" t="e">
        <f>IF(AND($BC36=0,$C36=Tab_sel!$P$7,$D36=Tab_sel!$O$24,$E36=Tab_sel!$N$31,$F36=Tab_sel!$B$42),1,"")</f>
        <v>#N/A</v>
      </c>
      <c r="BM36" s="322" t="e">
        <f>IF(AND($BC36=0,$C36=Tab_sel!$P$7,$D36=Tab_sel!$O$24,$E36=Tab_sel!$N$31,$F36=Tab_sel!$B$43),1,"")</f>
        <v>#N/A</v>
      </c>
      <c r="BN36" s="322" t="e">
        <f>IF(AND($BC36=0,$C36=Tab_sel!$P$7,$D36=Tab_sel!$O$24,$E36=Tab_sel!$N$31,$F36=Tab_sel!$B$44),1,"")</f>
        <v>#N/A</v>
      </c>
      <c r="BO36" s="343" t="e">
        <f>IF(AND($BC36=0,$C36=Tab_sel!$P$7,$D36=Tab_sel!$O$24,$E36=Tab_sel!$N$31,$F36=Tab_sel!$B$45),1,"")</f>
        <v>#N/A</v>
      </c>
      <c r="BP36" s="354" t="e">
        <f>IF(AND($BC36=0,$C36=Tab_sel!$P$7,$D36=Tab_sel!$O$24,$E36=Tab_sel!$N$31,$F36=Tab_sel!$N$40,$I36=Tab_sel!$B$61),1,"")</f>
        <v>#N/A</v>
      </c>
      <c r="BQ36" s="355" t="e">
        <f>IF(AND($BC36=0,$C36=Tab_sel!$P$7,$D36=Tab_sel!$O$24,$E36=Tab_sel!$N$31,$F36=Tab_sel!$N$40,$I36=Tab_sel!$B$62),1,"")</f>
        <v>#N/A</v>
      </c>
      <c r="BR36" s="355" t="e">
        <f>IF(AND($BC36=0,$C36=Tab_sel!$P$7,$D36=Tab_sel!$O$24,$E36=Tab_sel!$N$31,$F36=Tab_sel!$N$40,$I36=Tab_sel!$B$63),1,"")</f>
        <v>#N/A</v>
      </c>
      <c r="BS36" s="355" t="e">
        <f>IF(AND($BC36=0,$C36=Tab_sel!$P$7,$D36=Tab_sel!$O$24,$E36=Tab_sel!$N$31,$F36=Tab_sel!$N$40,$I36=Tab_sel!$B$64),1,"")</f>
        <v>#N/A</v>
      </c>
      <c r="BT36" s="356" t="e">
        <f>IF(AND($BC36=0,$C36=Tab_sel!$P$7,$D36=Tab_sel!$O$24,$E36=Tab_sel!$N$31,$F36=Tab_sel!$N$40,$I36=Tab_sel!$B$65),1,"")</f>
        <v>#N/A</v>
      </c>
      <c r="BU36" s="856" t="e">
        <f>IF(AND($BC36=0,$C36=Tab_sel!$P$7,$D36=Tab_sel!$O$24,$E36=Tab_sel!$N$31,$F36=Tab_sel!$N$40,$I36=Tab_sel!$P$61,$H36=Tab_sel!$B$77),1,"")</f>
        <v>#N/A</v>
      </c>
      <c r="BV36" s="883" t="e">
        <f>IF(AND($BC36=0,$C36=Tab_sel!$P$7,$D36=Tab_sel!$O$24,$E36=Tab_sel!$N$31,$F36=Tab_sel!$N$40,$I36=Tab_sel!$P$61,$H36=Tab_sel!$B$78),1,"")</f>
        <v>#N/A</v>
      </c>
      <c r="BW36" s="883" t="e">
        <f>IF(AND($BC36=0,$C36=Tab_sel!$P$7,$D36=Tab_sel!$O$24,$E36=Tab_sel!$N$31,$F36=Tab_sel!$N$40,$I36=Tab_sel!$P$61,$H36=Tab_sel!$B$79),1,"")</f>
        <v>#N/A</v>
      </c>
      <c r="BX36" s="883" t="e">
        <f>IF(AND($BC36=0,$C36=Tab_sel!$P$7,$D36=Tab_sel!$O$24,$E36=Tab_sel!$N$31,$F36=Tab_sel!$N$40,$I36=Tab_sel!$P$61,$H36=Tab_sel!$B$80),1,"")</f>
        <v>#N/A</v>
      </c>
      <c r="BY36" s="883" t="e">
        <f>IF(AND($BC36=0,$C36=Tab_sel!$P$7,$D36=Tab_sel!$O$24,$E36=Tab_sel!$N$31,$F36=Tab_sel!$N$40,$I36=Tab_sel!$P$61,$H36=Tab_sel!$B$81),1,"")</f>
        <v>#N/A</v>
      </c>
      <c r="BZ36" s="857" t="e">
        <f>IF(AND($BC36=0,$C36=Tab_sel!$P$7,$D36=Tab_sel!$O$24,$E36=Tab_sel!$N$31,$F36=Tab_sel!$N$40,$I36=Tab_sel!$P$61,$H36=Tab_sel!$B$82),1,"")</f>
        <v>#N/A</v>
      </c>
      <c r="CA36" s="359"/>
      <c r="CC36">
        <f t="shared" si="13"/>
        <v>0</v>
      </c>
      <c r="CD36" s="882">
        <f t="shared" si="14"/>
        <v>0</v>
      </c>
      <c r="CE36" s="882">
        <f t="shared" si="15"/>
        <v>0</v>
      </c>
      <c r="CG36" t="s">
        <v>2609</v>
      </c>
      <c r="CH36" t="s">
        <v>2623</v>
      </c>
      <c r="CJ36" t="s">
        <v>2617</v>
      </c>
    </row>
    <row r="37" spans="2:88" ht="29.25" customHeight="1" x14ac:dyDescent="0.25">
      <c r="B37" s="791" t="s">
        <v>2335</v>
      </c>
      <c r="C37" s="771" t="s">
        <v>75</v>
      </c>
      <c r="D37" s="772" t="s">
        <v>23</v>
      </c>
      <c r="E37" s="771" t="str">
        <f>Det</f>
        <v>Données en transit</v>
      </c>
      <c r="F37" s="768" t="str">
        <f>Altd</f>
        <v>Altération (non détectée) de donnée</v>
      </c>
      <c r="G37" s="768" t="s">
        <v>1964</v>
      </c>
      <c r="H37" s="863" t="s">
        <v>2338</v>
      </c>
      <c r="I37" s="771" t="s">
        <v>1198</v>
      </c>
      <c r="J37" s="769"/>
      <c r="K37" s="769" t="s">
        <v>2467</v>
      </c>
      <c r="L37" s="769"/>
      <c r="M37" s="790" t="s">
        <v>1348</v>
      </c>
      <c r="N37" s="767"/>
      <c r="O37" s="767"/>
      <c r="P37" s="772"/>
      <c r="Q37" s="803"/>
      <c r="R37" s="803"/>
      <c r="S37" s="804"/>
      <c r="T37" s="772"/>
      <c r="U37" s="772"/>
      <c r="V37" s="805"/>
      <c r="W37" s="767"/>
      <c r="X37" s="767"/>
      <c r="Y37" s="772"/>
      <c r="Z37" s="772"/>
      <c r="AA37" s="772"/>
      <c r="AB37" s="805"/>
      <c r="AC37" s="806"/>
      <c r="AD37" s="806"/>
      <c r="AE37" s="806"/>
      <c r="AF37" s="806"/>
      <c r="AG37" s="806"/>
      <c r="AH37" s="805"/>
      <c r="AI37" s="807" t="str">
        <f t="shared" si="2"/>
        <v/>
      </c>
      <c r="AJ37" s="805"/>
      <c r="AK37" s="359"/>
      <c r="AM37" t="str">
        <f t="shared" si="9"/>
        <v/>
      </c>
      <c r="AN37">
        <f t="shared" si="10"/>
        <v>0</v>
      </c>
      <c r="AV37" s="860"/>
      <c r="AW37" s="882">
        <f t="shared" si="11"/>
        <v>0</v>
      </c>
      <c r="AX37" s="882">
        <f t="shared" si="19"/>
        <v>1</v>
      </c>
      <c r="AY37" s="882">
        <f t="shared" si="20"/>
        <v>1</v>
      </c>
      <c r="AZ37" s="927">
        <f t="shared" si="7"/>
        <v>1</v>
      </c>
      <c r="BA37" s="882">
        <v>0</v>
      </c>
      <c r="BB37" s="925">
        <f t="shared" si="12"/>
        <v>0</v>
      </c>
      <c r="BC37" s="882">
        <f t="shared" si="21"/>
        <v>1</v>
      </c>
      <c r="BD37" s="342" t="e">
        <f>IF(AND($BC37=0,C37=Tab_sel!$P$7,$D37=Tab_sel!$O$24,$E37=Tab_sel!$B$31),1,"")</f>
        <v>#N/A</v>
      </c>
      <c r="BE37" s="322" t="e">
        <f>IF(AND($BC37=0,C37=Tab_sel!$P$7,$D37=Tab_sel!$O$24,$E37=Tab_sel!$B$32),1,"")</f>
        <v>#N/A</v>
      </c>
      <c r="BF37" s="322" t="e">
        <f>IF(AND($BC37=0,C37=Tab_sel!$P$7,$D37=Tab_sel!$O$24,$E37=Tab_sel!$B$33),1,"")</f>
        <v>#N/A</v>
      </c>
      <c r="BG37" s="322" t="e">
        <f>IF(AND($BC37=0,C37=Tab_sel!$P$7,$D37=Tab_sel!$O$24,$E37=Tab_sel!$B$34),1,"")</f>
        <v>#N/A</v>
      </c>
      <c r="BH37" s="322" t="e">
        <f>IF(AND($BC37=0,C37=Tab_sel!$P$7,$D37=Tab_sel!$O$24,$E37=Tab_sel!$B$35),1,"")</f>
        <v>#N/A</v>
      </c>
      <c r="BI37" s="343" t="e">
        <f>IF(AND($BC37=0,C37=Tab_sel!$P$7,$D37=Tab_sel!$O$24,$E37=Tab_sel!$B$36),1,"")</f>
        <v>#N/A</v>
      </c>
      <c r="BJ37" s="342" t="e">
        <f>IF(AND($BC37=0,$C37=Tab_sel!$P$7,$D37=Tab_sel!$O$24,$E37=Tab_sel!$N$31,$F37=Tab_sel!$B$40),1,"")</f>
        <v>#N/A</v>
      </c>
      <c r="BK37" s="322" t="e">
        <f>IF(AND($BC37=0,$C37=Tab_sel!$P$7,$D37=Tab_sel!$O$24,$E37=Tab_sel!$N$31,$F37=Tab_sel!$B$41),1,"")</f>
        <v>#N/A</v>
      </c>
      <c r="BL37" s="322" t="e">
        <f>IF(AND($BC37=0,$C37=Tab_sel!$P$7,$D37=Tab_sel!$O$24,$E37=Tab_sel!$N$31,$F37=Tab_sel!$B$42),1,"")</f>
        <v>#N/A</v>
      </c>
      <c r="BM37" s="322" t="e">
        <f>IF(AND($BC37=0,$C37=Tab_sel!$P$7,$D37=Tab_sel!$O$24,$E37=Tab_sel!$N$31,$F37=Tab_sel!$B$43),1,"")</f>
        <v>#N/A</v>
      </c>
      <c r="BN37" s="322" t="e">
        <f>IF(AND($BC37=0,$C37=Tab_sel!$P$7,$D37=Tab_sel!$O$24,$E37=Tab_sel!$N$31,$F37=Tab_sel!$B$44),1,"")</f>
        <v>#N/A</v>
      </c>
      <c r="BO37" s="343" t="e">
        <f>IF(AND($BC37=0,$C37=Tab_sel!$P$7,$D37=Tab_sel!$O$24,$E37=Tab_sel!$N$31,$F37=Tab_sel!$B$45),1,"")</f>
        <v>#N/A</v>
      </c>
      <c r="BP37" s="354" t="e">
        <f>IF(AND($BC37=0,$C37=Tab_sel!$P$7,$D37=Tab_sel!$O$24,$E37=Tab_sel!$N$31,$F37=Tab_sel!$N$40,$I37=Tab_sel!$B$61),1,"")</f>
        <v>#N/A</v>
      </c>
      <c r="BQ37" s="355" t="e">
        <f>IF(AND($BC37=0,$C37=Tab_sel!$P$7,$D37=Tab_sel!$O$24,$E37=Tab_sel!$N$31,$F37=Tab_sel!$N$40,$I37=Tab_sel!$B$62),1,"")</f>
        <v>#N/A</v>
      </c>
      <c r="BR37" s="355" t="e">
        <f>IF(AND($BC37=0,$C37=Tab_sel!$P$7,$D37=Tab_sel!$O$24,$E37=Tab_sel!$N$31,$F37=Tab_sel!$N$40,$I37=Tab_sel!$B$63),1,"")</f>
        <v>#N/A</v>
      </c>
      <c r="BS37" s="355" t="e">
        <f>IF(AND($BC37=0,$C37=Tab_sel!$P$7,$D37=Tab_sel!$O$24,$E37=Tab_sel!$N$31,$F37=Tab_sel!$N$40,$I37=Tab_sel!$B$64),1,"")</f>
        <v>#N/A</v>
      </c>
      <c r="BT37" s="356" t="e">
        <f>IF(AND($BC37=0,$C37=Tab_sel!$P$7,$D37=Tab_sel!$O$24,$E37=Tab_sel!$N$31,$F37=Tab_sel!$N$40,$I37=Tab_sel!$B$65),1,"")</f>
        <v>#N/A</v>
      </c>
      <c r="BU37" s="856" t="e">
        <f>IF(AND($BC37=0,$C37=Tab_sel!$P$7,$D37=Tab_sel!$O$24,$E37=Tab_sel!$N$31,$F37=Tab_sel!$N$40,$I37=Tab_sel!$P$61,$H37=Tab_sel!$B$77),1,"")</f>
        <v>#N/A</v>
      </c>
      <c r="BV37" s="883" t="e">
        <f>IF(AND($BC37=0,$C37=Tab_sel!$P$7,$D37=Tab_sel!$O$24,$E37=Tab_sel!$N$31,$F37=Tab_sel!$N$40,$I37=Tab_sel!$P$61,$H37=Tab_sel!$B$78),1,"")</f>
        <v>#N/A</v>
      </c>
      <c r="BW37" s="883" t="e">
        <f>IF(AND($BC37=0,$C37=Tab_sel!$P$7,$D37=Tab_sel!$O$24,$E37=Tab_sel!$N$31,$F37=Tab_sel!$N$40,$I37=Tab_sel!$P$61,$H37=Tab_sel!$B$79),1,"")</f>
        <v>#N/A</v>
      </c>
      <c r="BX37" s="883" t="e">
        <f>IF(AND($BC37=0,$C37=Tab_sel!$P$7,$D37=Tab_sel!$O$24,$E37=Tab_sel!$N$31,$F37=Tab_sel!$N$40,$I37=Tab_sel!$P$61,$H37=Tab_sel!$B$80),1,"")</f>
        <v>#N/A</v>
      </c>
      <c r="BY37" s="883" t="e">
        <f>IF(AND($BC37=0,$C37=Tab_sel!$P$7,$D37=Tab_sel!$O$24,$E37=Tab_sel!$N$31,$F37=Tab_sel!$N$40,$I37=Tab_sel!$P$61,$H37=Tab_sel!$B$81),1,"")</f>
        <v>#N/A</v>
      </c>
      <c r="BZ37" s="857" t="e">
        <f>IF(AND($BC37=0,$C37=Tab_sel!$P$7,$D37=Tab_sel!$O$24,$E37=Tab_sel!$N$31,$F37=Tab_sel!$N$40,$I37=Tab_sel!$P$61,$H37=Tab_sel!$B$82),1,"")</f>
        <v>#N/A</v>
      </c>
      <c r="CA37" s="359"/>
      <c r="CC37">
        <f t="shared" si="13"/>
        <v>0</v>
      </c>
      <c r="CD37" s="882">
        <f t="shared" si="14"/>
        <v>0</v>
      </c>
      <c r="CE37" s="882">
        <f t="shared" si="15"/>
        <v>0</v>
      </c>
      <c r="CH37" t="s">
        <v>2624</v>
      </c>
      <c r="CJ37" t="s">
        <v>2617</v>
      </c>
    </row>
    <row r="38" spans="2:88" ht="29.25" customHeight="1" x14ac:dyDescent="0.25">
      <c r="B38" s="791" t="s">
        <v>2336</v>
      </c>
      <c r="C38" s="771" t="s">
        <v>75</v>
      </c>
      <c r="D38" s="772" t="s">
        <v>23</v>
      </c>
      <c r="E38" s="771" t="str">
        <f>Det</f>
        <v>Données en transit</v>
      </c>
      <c r="F38" s="768" t="str">
        <f>Altd</f>
        <v>Altération (non détectée) de donnée</v>
      </c>
      <c r="G38" s="768" t="s">
        <v>1964</v>
      </c>
      <c r="H38" s="863" t="s">
        <v>2501</v>
      </c>
      <c r="I38" s="771" t="s">
        <v>1198</v>
      </c>
      <c r="J38" s="769" t="s">
        <v>2537</v>
      </c>
      <c r="K38" s="769" t="s">
        <v>2467</v>
      </c>
      <c r="L38" s="769"/>
      <c r="M38" s="790" t="s">
        <v>1348</v>
      </c>
      <c r="N38" s="767"/>
      <c r="O38" s="767"/>
      <c r="P38" s="772"/>
      <c r="Q38" s="803"/>
      <c r="R38" s="803"/>
      <c r="S38" s="804"/>
      <c r="T38" s="772"/>
      <c r="U38" s="772"/>
      <c r="V38" s="805"/>
      <c r="W38" s="767"/>
      <c r="X38" s="767"/>
      <c r="Y38" s="772"/>
      <c r="Z38" s="772"/>
      <c r="AA38" s="772"/>
      <c r="AB38" s="805"/>
      <c r="AC38" s="806"/>
      <c r="AD38" s="806"/>
      <c r="AE38" s="806"/>
      <c r="AF38" s="806"/>
      <c r="AG38" s="806"/>
      <c r="AH38" s="805"/>
      <c r="AI38" s="807" t="str">
        <f t="shared" si="2"/>
        <v/>
      </c>
      <c r="AJ38" s="805"/>
      <c r="AK38" s="359"/>
      <c r="AM38" t="str">
        <f t="shared" si="9"/>
        <v/>
      </c>
      <c r="AN38">
        <f t="shared" si="10"/>
        <v>0</v>
      </c>
      <c r="AV38" s="860"/>
      <c r="AW38" s="882">
        <f t="shared" si="11"/>
        <v>0</v>
      </c>
      <c r="AX38" s="882">
        <f t="shared" si="19"/>
        <v>1</v>
      </c>
      <c r="AY38" s="882">
        <f t="shared" si="20"/>
        <v>1</v>
      </c>
      <c r="AZ38" s="927">
        <f t="shared" si="7"/>
        <v>1</v>
      </c>
      <c r="BA38" s="882">
        <v>0</v>
      </c>
      <c r="BB38" s="925">
        <f t="shared" si="12"/>
        <v>0</v>
      </c>
      <c r="BC38" s="882">
        <f t="shared" si="21"/>
        <v>1</v>
      </c>
      <c r="BD38" s="342" t="e">
        <f>IF(AND($BC38=0,C38=Tab_sel!$P$7,$D38=Tab_sel!$O$24,$E38=Tab_sel!$B$31),1,"")</f>
        <v>#N/A</v>
      </c>
      <c r="BE38" s="322" t="e">
        <f>IF(AND($BC38=0,C38=Tab_sel!$P$7,$D38=Tab_sel!$O$24,$E38=Tab_sel!$B$32),1,"")</f>
        <v>#N/A</v>
      </c>
      <c r="BF38" s="322" t="e">
        <f>IF(AND($BC38=0,C38=Tab_sel!$P$7,$D38=Tab_sel!$O$24,$E38=Tab_sel!$B$33),1,"")</f>
        <v>#N/A</v>
      </c>
      <c r="BG38" s="322" t="e">
        <f>IF(AND($BC38=0,C38=Tab_sel!$P$7,$D38=Tab_sel!$O$24,$E38=Tab_sel!$B$34),1,"")</f>
        <v>#N/A</v>
      </c>
      <c r="BH38" s="322" t="e">
        <f>IF(AND($BC38=0,C38=Tab_sel!$P$7,$D38=Tab_sel!$O$24,$E38=Tab_sel!$B$35),1,"")</f>
        <v>#N/A</v>
      </c>
      <c r="BI38" s="343" t="e">
        <f>IF(AND($BC38=0,C38=Tab_sel!$P$7,$D38=Tab_sel!$O$24,$E38=Tab_sel!$B$36),1,"")</f>
        <v>#N/A</v>
      </c>
      <c r="BJ38" s="342" t="e">
        <f>IF(AND($BC38=0,$C38=Tab_sel!$P$7,$D38=Tab_sel!$O$24,$E38=Tab_sel!$N$31,$F38=Tab_sel!$B$40),1,"")</f>
        <v>#N/A</v>
      </c>
      <c r="BK38" s="322" t="e">
        <f>IF(AND($BC38=0,$C38=Tab_sel!$P$7,$D38=Tab_sel!$O$24,$E38=Tab_sel!$N$31,$F38=Tab_sel!$B$41),1,"")</f>
        <v>#N/A</v>
      </c>
      <c r="BL38" s="322" t="e">
        <f>IF(AND($BC38=0,$C38=Tab_sel!$P$7,$D38=Tab_sel!$O$24,$E38=Tab_sel!$N$31,$F38=Tab_sel!$B$42),1,"")</f>
        <v>#N/A</v>
      </c>
      <c r="BM38" s="322" t="e">
        <f>IF(AND($BC38=0,$C38=Tab_sel!$P$7,$D38=Tab_sel!$O$24,$E38=Tab_sel!$N$31,$F38=Tab_sel!$B$43),1,"")</f>
        <v>#N/A</v>
      </c>
      <c r="BN38" s="322" t="e">
        <f>IF(AND($BC38=0,$C38=Tab_sel!$P$7,$D38=Tab_sel!$O$24,$E38=Tab_sel!$N$31,$F38=Tab_sel!$B$44),1,"")</f>
        <v>#N/A</v>
      </c>
      <c r="BO38" s="343" t="e">
        <f>IF(AND($BC38=0,$C38=Tab_sel!$P$7,$D38=Tab_sel!$O$24,$E38=Tab_sel!$N$31,$F38=Tab_sel!$B$45),1,"")</f>
        <v>#N/A</v>
      </c>
      <c r="BP38" s="354" t="e">
        <f>IF(AND($BC38=0,$C38=Tab_sel!$P$7,$D38=Tab_sel!$O$24,$E38=Tab_sel!$N$31,$F38=Tab_sel!$N$40,$I38=Tab_sel!$B$61),1,"")</f>
        <v>#N/A</v>
      </c>
      <c r="BQ38" s="355" t="e">
        <f>IF(AND($BC38=0,$C38=Tab_sel!$P$7,$D38=Tab_sel!$O$24,$E38=Tab_sel!$N$31,$F38=Tab_sel!$N$40,$I38=Tab_sel!$B$62),1,"")</f>
        <v>#N/A</v>
      </c>
      <c r="BR38" s="355" t="e">
        <f>IF(AND($BC38=0,$C38=Tab_sel!$P$7,$D38=Tab_sel!$O$24,$E38=Tab_sel!$N$31,$F38=Tab_sel!$N$40,$I38=Tab_sel!$B$63),1,"")</f>
        <v>#N/A</v>
      </c>
      <c r="BS38" s="355" t="e">
        <f>IF(AND($BC38=0,$C38=Tab_sel!$P$7,$D38=Tab_sel!$O$24,$E38=Tab_sel!$N$31,$F38=Tab_sel!$N$40,$I38=Tab_sel!$B$64),1,"")</f>
        <v>#N/A</v>
      </c>
      <c r="BT38" s="356" t="e">
        <f>IF(AND($BC38=0,$C38=Tab_sel!$P$7,$D38=Tab_sel!$O$24,$E38=Tab_sel!$N$31,$F38=Tab_sel!$N$40,$I38=Tab_sel!$B$65),1,"")</f>
        <v>#N/A</v>
      </c>
      <c r="BU38" s="856" t="e">
        <f>IF(AND($BC38=0,$C38=Tab_sel!$P$7,$D38=Tab_sel!$O$24,$E38=Tab_sel!$N$31,$F38=Tab_sel!$N$40,$I38=Tab_sel!$P$61,$H38=Tab_sel!$B$77),1,"")</f>
        <v>#N/A</v>
      </c>
      <c r="BV38" s="883" t="e">
        <f>IF(AND($BC38=0,$C38=Tab_sel!$P$7,$D38=Tab_sel!$O$24,$E38=Tab_sel!$N$31,$F38=Tab_sel!$N$40,$I38=Tab_sel!$P$61,$H38=Tab_sel!$B$78),1,"")</f>
        <v>#N/A</v>
      </c>
      <c r="BW38" s="883" t="e">
        <f>IF(AND($BC38=0,$C38=Tab_sel!$P$7,$D38=Tab_sel!$O$24,$E38=Tab_sel!$N$31,$F38=Tab_sel!$N$40,$I38=Tab_sel!$P$61,$H38=Tab_sel!$B$79),1,"")</f>
        <v>#N/A</v>
      </c>
      <c r="BX38" s="883" t="e">
        <f>IF(AND($BC38=0,$C38=Tab_sel!$P$7,$D38=Tab_sel!$O$24,$E38=Tab_sel!$N$31,$F38=Tab_sel!$N$40,$I38=Tab_sel!$P$61,$H38=Tab_sel!$B$80),1,"")</f>
        <v>#N/A</v>
      </c>
      <c r="BY38" s="883" t="e">
        <f>IF(AND($BC38=0,$C38=Tab_sel!$P$7,$D38=Tab_sel!$O$24,$E38=Tab_sel!$N$31,$F38=Tab_sel!$N$40,$I38=Tab_sel!$P$61,$H38=Tab_sel!$B$81),1,"")</f>
        <v>#N/A</v>
      </c>
      <c r="BZ38" s="857" t="e">
        <f>IF(AND($BC38=0,$C38=Tab_sel!$P$7,$D38=Tab_sel!$O$24,$E38=Tab_sel!$N$31,$F38=Tab_sel!$N$40,$I38=Tab_sel!$P$61,$H38=Tab_sel!$B$82),1,"")</f>
        <v>#N/A</v>
      </c>
      <c r="CA38" s="359"/>
      <c r="CC38">
        <f t="shared" si="13"/>
        <v>0</v>
      </c>
      <c r="CD38" s="882">
        <f t="shared" si="14"/>
        <v>0</v>
      </c>
      <c r="CE38" s="882">
        <f t="shared" si="15"/>
        <v>0</v>
      </c>
      <c r="CG38" t="s">
        <v>2609</v>
      </c>
      <c r="CH38" t="s">
        <v>2624</v>
      </c>
      <c r="CJ38" t="s">
        <v>2617</v>
      </c>
    </row>
    <row r="39" spans="2:88" ht="29.25" customHeight="1" x14ac:dyDescent="0.25">
      <c r="B39" s="791" t="s">
        <v>2337</v>
      </c>
      <c r="C39" s="771" t="s">
        <v>75</v>
      </c>
      <c r="D39" s="772" t="s">
        <v>23</v>
      </c>
      <c r="E39" s="771" t="str">
        <f>Det</f>
        <v>Données en transit</v>
      </c>
      <c r="F39" s="768" t="str">
        <f>Altd</f>
        <v>Altération (non détectée) de donnée</v>
      </c>
      <c r="G39" s="768" t="s">
        <v>1964</v>
      </c>
      <c r="H39" s="863" t="s">
        <v>2339</v>
      </c>
      <c r="I39" s="771" t="s">
        <v>1198</v>
      </c>
      <c r="J39" s="769"/>
      <c r="K39" s="769" t="s">
        <v>1348</v>
      </c>
      <c r="L39" s="769"/>
      <c r="M39" s="790"/>
      <c r="N39" s="767"/>
      <c r="O39" s="767"/>
      <c r="P39" s="772"/>
      <c r="Q39" s="803"/>
      <c r="R39" s="803"/>
      <c r="S39" s="804"/>
      <c r="T39" s="772"/>
      <c r="U39" s="772"/>
      <c r="V39" s="805"/>
      <c r="W39" s="767"/>
      <c r="X39" s="767"/>
      <c r="Y39" s="772"/>
      <c r="Z39" s="772"/>
      <c r="AA39" s="772"/>
      <c r="AB39" s="805"/>
      <c r="AC39" s="806"/>
      <c r="AD39" s="806"/>
      <c r="AE39" s="806"/>
      <c r="AF39" s="806"/>
      <c r="AG39" s="806"/>
      <c r="AH39" s="805"/>
      <c r="AI39" s="807" t="str">
        <f t="shared" si="2"/>
        <v/>
      </c>
      <c r="AJ39" s="805"/>
      <c r="AK39" s="359"/>
      <c r="AM39" t="str">
        <f t="shared" si="9"/>
        <v/>
      </c>
      <c r="AN39">
        <f t="shared" si="10"/>
        <v>0</v>
      </c>
      <c r="AV39" s="860"/>
      <c r="AW39" s="882">
        <f t="shared" si="11"/>
        <v>0</v>
      </c>
      <c r="AX39" s="882">
        <f t="shared" si="19"/>
        <v>1</v>
      </c>
      <c r="AY39" s="882">
        <f t="shared" si="20"/>
        <v>1</v>
      </c>
      <c r="AZ39" s="927">
        <f t="shared" si="7"/>
        <v>1</v>
      </c>
      <c r="BA39" s="882">
        <v>0</v>
      </c>
      <c r="BB39" s="925">
        <f t="shared" si="12"/>
        <v>0</v>
      </c>
      <c r="BC39" s="882">
        <f t="shared" si="21"/>
        <v>1</v>
      </c>
      <c r="BD39" s="342" t="e">
        <f>IF(AND($BC39=0,C39=Tab_sel!$P$7,$D39=Tab_sel!$O$24,$E39=Tab_sel!$B$31),1,"")</f>
        <v>#N/A</v>
      </c>
      <c r="BE39" s="322" t="e">
        <f>IF(AND($BC39=0,C39=Tab_sel!$P$7,$D39=Tab_sel!$O$24,$E39=Tab_sel!$B$32),1,"")</f>
        <v>#N/A</v>
      </c>
      <c r="BF39" s="322" t="e">
        <f>IF(AND($BC39=0,C39=Tab_sel!$P$7,$D39=Tab_sel!$O$24,$E39=Tab_sel!$B$33),1,"")</f>
        <v>#N/A</v>
      </c>
      <c r="BG39" s="322" t="e">
        <f>IF(AND($BC39=0,C39=Tab_sel!$P$7,$D39=Tab_sel!$O$24,$E39=Tab_sel!$B$34),1,"")</f>
        <v>#N/A</v>
      </c>
      <c r="BH39" s="322" t="e">
        <f>IF(AND($BC39=0,C39=Tab_sel!$P$7,$D39=Tab_sel!$O$24,$E39=Tab_sel!$B$35),1,"")</f>
        <v>#N/A</v>
      </c>
      <c r="BI39" s="343" t="e">
        <f>IF(AND($BC39=0,C39=Tab_sel!$P$7,$D39=Tab_sel!$O$24,$E39=Tab_sel!$B$36),1,"")</f>
        <v>#N/A</v>
      </c>
      <c r="BJ39" s="342" t="e">
        <f>IF(AND($BC39=0,$C39=Tab_sel!$P$7,$D39=Tab_sel!$O$24,$E39=Tab_sel!$N$31,$F39=Tab_sel!$B$40),1,"")</f>
        <v>#N/A</v>
      </c>
      <c r="BK39" s="322" t="e">
        <f>IF(AND($BC39=0,$C39=Tab_sel!$P$7,$D39=Tab_sel!$O$24,$E39=Tab_sel!$N$31,$F39=Tab_sel!$B$41),1,"")</f>
        <v>#N/A</v>
      </c>
      <c r="BL39" s="322" t="e">
        <f>IF(AND($BC39=0,$C39=Tab_sel!$P$7,$D39=Tab_sel!$O$24,$E39=Tab_sel!$N$31,$F39=Tab_sel!$B$42),1,"")</f>
        <v>#N/A</v>
      </c>
      <c r="BM39" s="322" t="e">
        <f>IF(AND($BC39=0,$C39=Tab_sel!$P$7,$D39=Tab_sel!$O$24,$E39=Tab_sel!$N$31,$F39=Tab_sel!$B$43),1,"")</f>
        <v>#N/A</v>
      </c>
      <c r="BN39" s="322" t="e">
        <f>IF(AND($BC39=0,$C39=Tab_sel!$P$7,$D39=Tab_sel!$O$24,$E39=Tab_sel!$N$31,$F39=Tab_sel!$B$44),1,"")</f>
        <v>#N/A</v>
      </c>
      <c r="BO39" s="343" t="e">
        <f>IF(AND($BC39=0,$C39=Tab_sel!$P$7,$D39=Tab_sel!$O$24,$E39=Tab_sel!$N$31,$F39=Tab_sel!$B$45),1,"")</f>
        <v>#N/A</v>
      </c>
      <c r="BP39" s="354" t="e">
        <f>IF(AND($BC39=0,$C39=Tab_sel!$P$7,$D39=Tab_sel!$O$24,$E39=Tab_sel!$N$31,$F39=Tab_sel!$N$40,$I39=Tab_sel!$B$61),1,"")</f>
        <v>#N/A</v>
      </c>
      <c r="BQ39" s="355" t="e">
        <f>IF(AND($BC39=0,$C39=Tab_sel!$P$7,$D39=Tab_sel!$O$24,$E39=Tab_sel!$N$31,$F39=Tab_sel!$N$40,$I39=Tab_sel!$B$62),1,"")</f>
        <v>#N/A</v>
      </c>
      <c r="BR39" s="355" t="e">
        <f>IF(AND($BC39=0,$C39=Tab_sel!$P$7,$D39=Tab_sel!$O$24,$E39=Tab_sel!$N$31,$F39=Tab_sel!$N$40,$I39=Tab_sel!$B$63),1,"")</f>
        <v>#N/A</v>
      </c>
      <c r="BS39" s="355" t="e">
        <f>IF(AND($BC39=0,$C39=Tab_sel!$P$7,$D39=Tab_sel!$O$24,$E39=Tab_sel!$N$31,$F39=Tab_sel!$N$40,$I39=Tab_sel!$B$64),1,"")</f>
        <v>#N/A</v>
      </c>
      <c r="BT39" s="356" t="e">
        <f>IF(AND($BC39=0,$C39=Tab_sel!$P$7,$D39=Tab_sel!$O$24,$E39=Tab_sel!$N$31,$F39=Tab_sel!$N$40,$I39=Tab_sel!$B$65),1,"")</f>
        <v>#N/A</v>
      </c>
      <c r="BU39" s="856" t="e">
        <f>IF(AND($BC39=0,$C39=Tab_sel!$P$7,$D39=Tab_sel!$O$24,$E39=Tab_sel!$N$31,$F39=Tab_sel!$N$40,$I39=Tab_sel!$P$61,$H39=Tab_sel!$B$77),1,"")</f>
        <v>#N/A</v>
      </c>
      <c r="BV39" s="883" t="e">
        <f>IF(AND($BC39=0,$C39=Tab_sel!$P$7,$D39=Tab_sel!$O$24,$E39=Tab_sel!$N$31,$F39=Tab_sel!$N$40,$I39=Tab_sel!$P$61,$H39=Tab_sel!$B$78),1,"")</f>
        <v>#N/A</v>
      </c>
      <c r="BW39" s="883" t="e">
        <f>IF(AND($BC39=0,$C39=Tab_sel!$P$7,$D39=Tab_sel!$O$24,$E39=Tab_sel!$N$31,$F39=Tab_sel!$N$40,$I39=Tab_sel!$P$61,$H39=Tab_sel!$B$79),1,"")</f>
        <v>#N/A</v>
      </c>
      <c r="BX39" s="883" t="e">
        <f>IF(AND($BC39=0,$C39=Tab_sel!$P$7,$D39=Tab_sel!$O$24,$E39=Tab_sel!$N$31,$F39=Tab_sel!$N$40,$I39=Tab_sel!$P$61,$H39=Tab_sel!$B$80),1,"")</f>
        <v>#N/A</v>
      </c>
      <c r="BY39" s="883" t="e">
        <f>IF(AND($BC39=0,$C39=Tab_sel!$P$7,$D39=Tab_sel!$O$24,$E39=Tab_sel!$N$31,$F39=Tab_sel!$N$40,$I39=Tab_sel!$P$61,$H39=Tab_sel!$B$81),1,"")</f>
        <v>#N/A</v>
      </c>
      <c r="BZ39" s="857" t="e">
        <f>IF(AND($BC39=0,$C39=Tab_sel!$P$7,$D39=Tab_sel!$O$24,$E39=Tab_sel!$N$31,$F39=Tab_sel!$N$40,$I39=Tab_sel!$P$61,$H39=Tab_sel!$B$82),1,"")</f>
        <v>#N/A</v>
      </c>
      <c r="CA39" s="359"/>
      <c r="CC39">
        <f t="shared" si="13"/>
        <v>0</v>
      </c>
      <c r="CD39" s="882">
        <f t="shared" si="14"/>
        <v>0</v>
      </c>
      <c r="CE39" s="882">
        <f t="shared" si="15"/>
        <v>0</v>
      </c>
      <c r="CH39" t="s">
        <v>2617</v>
      </c>
    </row>
    <row r="40" spans="2:88" ht="29.25" customHeight="1" x14ac:dyDescent="0.25">
      <c r="B40" s="791" t="s">
        <v>1965</v>
      </c>
      <c r="C40" s="771" t="s">
        <v>75</v>
      </c>
      <c r="D40" s="772" t="s">
        <v>23</v>
      </c>
      <c r="E40" s="771" t="str">
        <f>Det</f>
        <v>Données en transit</v>
      </c>
      <c r="F40" s="768" t="str">
        <f>Altd</f>
        <v>Altération (non détectée) de donnée</v>
      </c>
      <c r="G40" s="768" t="s">
        <v>1172</v>
      </c>
      <c r="H40" s="768" t="s">
        <v>2352</v>
      </c>
      <c r="I40" s="771" t="s">
        <v>1173</v>
      </c>
      <c r="J40" s="769"/>
      <c r="K40" s="769" t="s">
        <v>1346</v>
      </c>
      <c r="L40" s="769" t="s">
        <v>1344</v>
      </c>
      <c r="M40" s="788"/>
      <c r="N40" s="767"/>
      <c r="O40" s="767"/>
      <c r="P40" s="772"/>
      <c r="Q40" s="803"/>
      <c r="R40" s="803"/>
      <c r="S40" s="804"/>
      <c r="T40" s="772"/>
      <c r="U40" s="772"/>
      <c r="V40" s="805"/>
      <c r="W40" s="767"/>
      <c r="X40" s="767"/>
      <c r="Y40" s="772"/>
      <c r="Z40" s="772"/>
      <c r="AA40" s="772"/>
      <c r="AB40" s="805"/>
      <c r="AC40" s="806"/>
      <c r="AD40" s="806"/>
      <c r="AE40" s="806"/>
      <c r="AF40" s="806"/>
      <c r="AG40" s="806"/>
      <c r="AH40" s="805"/>
      <c r="AI40" s="807" t="str">
        <f t="shared" si="2"/>
        <v/>
      </c>
      <c r="AJ40" s="805"/>
      <c r="AK40" s="359"/>
      <c r="AM40" t="str">
        <f t="shared" si="9"/>
        <v/>
      </c>
      <c r="AN40">
        <f t="shared" si="10"/>
        <v>0</v>
      </c>
      <c r="AW40" s="882">
        <f t="shared" si="11"/>
        <v>0</v>
      </c>
      <c r="AX40" s="882">
        <f t="shared" si="19"/>
        <v>1</v>
      </c>
      <c r="AY40" s="882">
        <f t="shared" si="20"/>
        <v>1</v>
      </c>
      <c r="AZ40" s="927">
        <f t="shared" si="7"/>
        <v>1</v>
      </c>
      <c r="BA40" s="882">
        <v>1</v>
      </c>
      <c r="BB40" s="925">
        <f t="shared" si="12"/>
        <v>0</v>
      </c>
      <c r="BC40" s="882">
        <f t="shared" si="21"/>
        <v>1</v>
      </c>
      <c r="BD40" s="342" t="e">
        <f>IF(AND($BC40=0,C40=Tab_sel!$P$7,$D40=Tab_sel!$O$24,$E40=Tab_sel!$B$31),1,"")</f>
        <v>#N/A</v>
      </c>
      <c r="BE40" s="322" t="e">
        <f>IF(AND($BC40=0,C40=Tab_sel!$P$7,$D40=Tab_sel!$O$24,$E40=Tab_sel!$B$32),1,"")</f>
        <v>#N/A</v>
      </c>
      <c r="BF40" s="322" t="e">
        <f>IF(AND($BC40=0,C40=Tab_sel!$P$7,$D40=Tab_sel!$O$24,$E40=Tab_sel!$B$33),1,"")</f>
        <v>#N/A</v>
      </c>
      <c r="BG40" s="322" t="e">
        <f>IF(AND($BC40=0,C40=Tab_sel!$P$7,$D40=Tab_sel!$O$24,$E40=Tab_sel!$B$34),1,"")</f>
        <v>#N/A</v>
      </c>
      <c r="BH40" s="322" t="e">
        <f>IF(AND($BC40=0,C40=Tab_sel!$P$7,$D40=Tab_sel!$O$24,$E40=Tab_sel!$B$35),1,"")</f>
        <v>#N/A</v>
      </c>
      <c r="BI40" s="343" t="e">
        <f>IF(AND($BC40=0,C40=Tab_sel!$P$7,$D40=Tab_sel!$O$24,$E40=Tab_sel!$B$36),1,"")</f>
        <v>#N/A</v>
      </c>
      <c r="BJ40" s="342" t="e">
        <f>IF(AND($BC40=0,$C40=Tab_sel!$P$7,$D40=Tab_sel!$O$24,$E40=Tab_sel!$N$31,$F40=Tab_sel!$B$40),1,"")</f>
        <v>#N/A</v>
      </c>
      <c r="BK40" s="322" t="e">
        <f>IF(AND($BC40=0,$C40=Tab_sel!$P$7,$D40=Tab_sel!$O$24,$E40=Tab_sel!$N$31,$F40=Tab_sel!$B$41),1,"")</f>
        <v>#N/A</v>
      </c>
      <c r="BL40" s="322" t="e">
        <f>IF(AND($BC40=0,$C40=Tab_sel!$P$7,$D40=Tab_sel!$O$24,$E40=Tab_sel!$N$31,$F40=Tab_sel!$B$42),1,"")</f>
        <v>#N/A</v>
      </c>
      <c r="BM40" s="322" t="e">
        <f>IF(AND($BC40=0,$C40=Tab_sel!$P$7,$D40=Tab_sel!$O$24,$E40=Tab_sel!$N$31,$F40=Tab_sel!$B$43),1,"")</f>
        <v>#N/A</v>
      </c>
      <c r="BN40" s="322" t="e">
        <f>IF(AND($BC40=0,$C40=Tab_sel!$P$7,$D40=Tab_sel!$O$24,$E40=Tab_sel!$N$31,$F40=Tab_sel!$B$44),1,"")</f>
        <v>#N/A</v>
      </c>
      <c r="BO40" s="343" t="e">
        <f>IF(AND($BC40=0,$C40=Tab_sel!$P$7,$D40=Tab_sel!$O$24,$E40=Tab_sel!$N$31,$F40=Tab_sel!$B$45),1,"")</f>
        <v>#N/A</v>
      </c>
      <c r="BP40" s="354" t="e">
        <f>IF(AND($BC40=0,$C40=Tab_sel!$P$7,$D40=Tab_sel!$O$24,$E40=Tab_sel!$N$31,$F40=Tab_sel!$N$40,$I40=Tab_sel!$B$61),1,"")</f>
        <v>#N/A</v>
      </c>
      <c r="BQ40" s="355" t="e">
        <f>IF(AND($BC40=0,$C40=Tab_sel!$P$7,$D40=Tab_sel!$O$24,$E40=Tab_sel!$N$31,$F40=Tab_sel!$N$40,$I40=Tab_sel!$B$62),1,"")</f>
        <v>#N/A</v>
      </c>
      <c r="BR40" s="355" t="e">
        <f>IF(AND($BC40=0,$C40=Tab_sel!$P$7,$D40=Tab_sel!$O$24,$E40=Tab_sel!$N$31,$F40=Tab_sel!$N$40,$I40=Tab_sel!$B$63),1,"")</f>
        <v>#N/A</v>
      </c>
      <c r="BS40" s="355" t="e">
        <f>IF(AND($BC40=0,$C40=Tab_sel!$P$7,$D40=Tab_sel!$O$24,$E40=Tab_sel!$N$31,$F40=Tab_sel!$N$40,$I40=Tab_sel!$B$64),1,"")</f>
        <v>#N/A</v>
      </c>
      <c r="BT40" s="356" t="e">
        <f>IF(AND($BC40=0,$C40=Tab_sel!$P$7,$D40=Tab_sel!$O$24,$E40=Tab_sel!$N$31,$F40=Tab_sel!$N$40,$I40=Tab_sel!$B$65),1,"")</f>
        <v>#N/A</v>
      </c>
      <c r="BU40" s="856" t="e">
        <f>IF(AND($BC40=0,$C40=Tab_sel!$P$7,$D40=Tab_sel!$O$24,$E40=Tab_sel!$N$31,$F40=Tab_sel!$N$40,$I40=Tab_sel!$P$61,$H40=Tab_sel!$B$77),1,"")</f>
        <v>#N/A</v>
      </c>
      <c r="BV40" s="883" t="e">
        <f>IF(AND($BC40=0,$C40=Tab_sel!$P$7,$D40=Tab_sel!$O$24,$E40=Tab_sel!$N$31,$F40=Tab_sel!$N$40,$I40=Tab_sel!$P$61,$H40=Tab_sel!$B$78),1,"")</f>
        <v>#N/A</v>
      </c>
      <c r="BW40" s="883" t="e">
        <f>IF(AND($BC40=0,$C40=Tab_sel!$P$7,$D40=Tab_sel!$O$24,$E40=Tab_sel!$N$31,$F40=Tab_sel!$N$40,$I40=Tab_sel!$P$61,$H40=Tab_sel!$B$79),1,"")</f>
        <v>#N/A</v>
      </c>
      <c r="BX40" s="883" t="e">
        <f>IF(AND($BC40=0,$C40=Tab_sel!$P$7,$D40=Tab_sel!$O$24,$E40=Tab_sel!$N$31,$F40=Tab_sel!$N$40,$I40=Tab_sel!$P$61,$H40=Tab_sel!$B$80),1,"")</f>
        <v>#N/A</v>
      </c>
      <c r="BY40" s="883" t="e">
        <f>IF(AND($BC40=0,$C40=Tab_sel!$P$7,$D40=Tab_sel!$O$24,$E40=Tab_sel!$N$31,$F40=Tab_sel!$N$40,$I40=Tab_sel!$P$61,$H40=Tab_sel!$B$81),1,"")</f>
        <v>#N/A</v>
      </c>
      <c r="BZ40" s="857" t="e">
        <f>IF(AND($BC40=0,$C40=Tab_sel!$P$7,$D40=Tab_sel!$O$24,$E40=Tab_sel!$N$31,$F40=Tab_sel!$N$40,$I40=Tab_sel!$P$61,$H40=Tab_sel!$B$82),1,"")</f>
        <v>#N/A</v>
      </c>
      <c r="CA40" s="359"/>
      <c r="CC40">
        <f t="shared" si="13"/>
        <v>0</v>
      </c>
      <c r="CD40" s="882">
        <f t="shared" si="14"/>
        <v>0</v>
      </c>
      <c r="CE40" s="882">
        <f t="shared" si="15"/>
        <v>0</v>
      </c>
      <c r="CH40" t="s">
        <v>2625</v>
      </c>
      <c r="CI40" t="s">
        <v>2622</v>
      </c>
    </row>
    <row r="41" spans="2:88" ht="29.25" customHeight="1" x14ac:dyDescent="0.25">
      <c r="B41" s="791" t="s">
        <v>1966</v>
      </c>
      <c r="C41" s="771" t="s">
        <v>75</v>
      </c>
      <c r="D41" s="772" t="s">
        <v>23</v>
      </c>
      <c r="E41" s="771" t="str">
        <f>Med</f>
        <v>Media support de données</v>
      </c>
      <c r="F41" s="768" t="str">
        <f>Crfx</f>
        <v>Création de faux</v>
      </c>
      <c r="G41" s="768" t="s">
        <v>1079</v>
      </c>
      <c r="H41" s="768" t="s">
        <v>2352</v>
      </c>
      <c r="I41" s="771" t="s">
        <v>1204</v>
      </c>
      <c r="J41" s="769" t="s">
        <v>2374</v>
      </c>
      <c r="K41" s="769" t="s">
        <v>2572</v>
      </c>
      <c r="L41" s="769" t="s">
        <v>1344</v>
      </c>
      <c r="M41" s="823"/>
      <c r="N41" s="767"/>
      <c r="O41" s="767"/>
      <c r="P41" s="772"/>
      <c r="Q41" s="803"/>
      <c r="R41" s="803"/>
      <c r="S41" s="804"/>
      <c r="T41" s="772"/>
      <c r="U41" s="772"/>
      <c r="V41" s="805"/>
      <c r="W41" s="767"/>
      <c r="X41" s="767"/>
      <c r="Y41" s="772"/>
      <c r="Z41" s="772"/>
      <c r="AA41" s="772"/>
      <c r="AB41" s="805"/>
      <c r="AC41" s="806"/>
      <c r="AD41" s="806"/>
      <c r="AE41" s="806"/>
      <c r="AF41" s="806"/>
      <c r="AG41" s="806"/>
      <c r="AH41" s="805"/>
      <c r="AI41" s="807" t="str">
        <f t="shared" si="2"/>
        <v/>
      </c>
      <c r="AJ41" s="805"/>
      <c r="AK41" s="359"/>
      <c r="AM41" t="str">
        <f t="shared" si="9"/>
        <v/>
      </c>
      <c r="AN41">
        <f t="shared" si="10"/>
        <v>0</v>
      </c>
      <c r="AW41" s="882">
        <f t="shared" si="11"/>
        <v>0</v>
      </c>
      <c r="AX41" s="882">
        <f t="shared" si="19"/>
        <v>1</v>
      </c>
      <c r="AY41" s="882">
        <f t="shared" si="20"/>
        <v>1</v>
      </c>
      <c r="AZ41" s="927">
        <f t="shared" si="7"/>
        <v>1</v>
      </c>
      <c r="BA41" s="882">
        <v>1</v>
      </c>
      <c r="BB41" s="925">
        <f t="shared" si="12"/>
        <v>0</v>
      </c>
      <c r="BC41" s="882">
        <f t="shared" si="21"/>
        <v>1</v>
      </c>
      <c r="BD41" s="342" t="e">
        <f>IF(AND($BC41=0,C41=Tab_sel!$P$7,$D41=Tab_sel!$O$24,$E41=Tab_sel!$B$31),1,"")</f>
        <v>#N/A</v>
      </c>
      <c r="BE41" s="322" t="e">
        <f>IF(AND($BC41=0,C41=Tab_sel!$P$7,$D41=Tab_sel!$O$24,$E41=Tab_sel!$B$32),1,"")</f>
        <v>#N/A</v>
      </c>
      <c r="BF41" s="322" t="e">
        <f>IF(AND($BC41=0,C41=Tab_sel!$P$7,$D41=Tab_sel!$O$24,$E41=Tab_sel!$B$33),1,"")</f>
        <v>#N/A</v>
      </c>
      <c r="BG41" s="322" t="e">
        <f>IF(AND($BC41=0,C41=Tab_sel!$P$7,$D41=Tab_sel!$O$24,$E41=Tab_sel!$B$34),1,"")</f>
        <v>#N/A</v>
      </c>
      <c r="BH41" s="322" t="e">
        <f>IF(AND($BC41=0,C41=Tab_sel!$P$7,$D41=Tab_sel!$O$24,$E41=Tab_sel!$B$35),1,"")</f>
        <v>#N/A</v>
      </c>
      <c r="BI41" s="343" t="e">
        <f>IF(AND($BC41=0,C41=Tab_sel!$P$7,$D41=Tab_sel!$O$24,$E41=Tab_sel!$B$36),1,"")</f>
        <v>#N/A</v>
      </c>
      <c r="BJ41" s="342" t="e">
        <f>IF(AND($BC41=0,$C41=Tab_sel!$P$7,$D41=Tab_sel!$O$24,$E41=Tab_sel!$N$31,$F41=Tab_sel!$B$40),1,"")</f>
        <v>#N/A</v>
      </c>
      <c r="BK41" s="322" t="e">
        <f>IF(AND($BC41=0,$C41=Tab_sel!$P$7,$D41=Tab_sel!$O$24,$E41=Tab_sel!$N$31,$F41=Tab_sel!$B$41),1,"")</f>
        <v>#N/A</v>
      </c>
      <c r="BL41" s="322" t="e">
        <f>IF(AND($BC41=0,$C41=Tab_sel!$P$7,$D41=Tab_sel!$O$24,$E41=Tab_sel!$N$31,$F41=Tab_sel!$B$42),1,"")</f>
        <v>#N/A</v>
      </c>
      <c r="BM41" s="322" t="e">
        <f>IF(AND($BC41=0,$C41=Tab_sel!$P$7,$D41=Tab_sel!$O$24,$E41=Tab_sel!$N$31,$F41=Tab_sel!$B$43),1,"")</f>
        <v>#N/A</v>
      </c>
      <c r="BN41" s="322" t="e">
        <f>IF(AND($BC41=0,$C41=Tab_sel!$P$7,$D41=Tab_sel!$O$24,$E41=Tab_sel!$N$31,$F41=Tab_sel!$B$44),1,"")</f>
        <v>#N/A</v>
      </c>
      <c r="BO41" s="343" t="e">
        <f>IF(AND($BC41=0,$C41=Tab_sel!$P$7,$D41=Tab_sel!$O$24,$E41=Tab_sel!$N$31,$F41=Tab_sel!$B$45),1,"")</f>
        <v>#N/A</v>
      </c>
      <c r="BP41" s="354" t="e">
        <f>IF(AND($BC41=0,$C41=Tab_sel!$P$7,$D41=Tab_sel!$O$24,$E41=Tab_sel!$N$31,$F41=Tab_sel!$N$40,$I41=Tab_sel!$B$61),1,"")</f>
        <v>#N/A</v>
      </c>
      <c r="BQ41" s="355" t="e">
        <f>IF(AND($BC41=0,$C41=Tab_sel!$P$7,$D41=Tab_sel!$O$24,$E41=Tab_sel!$N$31,$F41=Tab_sel!$N$40,$I41=Tab_sel!$B$62),1,"")</f>
        <v>#N/A</v>
      </c>
      <c r="BR41" s="355" t="e">
        <f>IF(AND($BC41=0,$C41=Tab_sel!$P$7,$D41=Tab_sel!$O$24,$E41=Tab_sel!$N$31,$F41=Tab_sel!$N$40,$I41=Tab_sel!$B$63),1,"")</f>
        <v>#N/A</v>
      </c>
      <c r="BS41" s="355" t="e">
        <f>IF(AND($BC41=0,$C41=Tab_sel!$P$7,$D41=Tab_sel!$O$24,$E41=Tab_sel!$N$31,$F41=Tab_sel!$N$40,$I41=Tab_sel!$B$64),1,"")</f>
        <v>#N/A</v>
      </c>
      <c r="BT41" s="356" t="e">
        <f>IF(AND($BC41=0,$C41=Tab_sel!$P$7,$D41=Tab_sel!$O$24,$E41=Tab_sel!$N$31,$F41=Tab_sel!$N$40,$I41=Tab_sel!$B$65),1,"")</f>
        <v>#N/A</v>
      </c>
      <c r="BU41" s="856" t="e">
        <f>IF(AND($BC41=0,$C41=Tab_sel!$P$7,$D41=Tab_sel!$O$24,$E41=Tab_sel!$N$31,$F41=Tab_sel!$N$40,$I41=Tab_sel!$P$61,$H41=Tab_sel!$B$77),1,"")</f>
        <v>#N/A</v>
      </c>
      <c r="BV41" s="883" t="e">
        <f>IF(AND($BC41=0,$C41=Tab_sel!$P$7,$D41=Tab_sel!$O$24,$E41=Tab_sel!$N$31,$F41=Tab_sel!$N$40,$I41=Tab_sel!$P$61,$H41=Tab_sel!$B$78),1,"")</f>
        <v>#N/A</v>
      </c>
      <c r="BW41" s="883" t="e">
        <f>IF(AND($BC41=0,$C41=Tab_sel!$P$7,$D41=Tab_sel!$O$24,$E41=Tab_sel!$N$31,$F41=Tab_sel!$N$40,$I41=Tab_sel!$P$61,$H41=Tab_sel!$B$79),1,"")</f>
        <v>#N/A</v>
      </c>
      <c r="BX41" s="883" t="e">
        <f>IF(AND($BC41=0,$C41=Tab_sel!$P$7,$D41=Tab_sel!$O$24,$E41=Tab_sel!$N$31,$F41=Tab_sel!$N$40,$I41=Tab_sel!$P$61,$H41=Tab_sel!$B$80),1,"")</f>
        <v>#N/A</v>
      </c>
      <c r="BY41" s="883" t="e">
        <f>IF(AND($BC41=0,$C41=Tab_sel!$P$7,$D41=Tab_sel!$O$24,$E41=Tab_sel!$N$31,$F41=Tab_sel!$N$40,$I41=Tab_sel!$P$61,$H41=Tab_sel!$B$81),1,"")</f>
        <v>#N/A</v>
      </c>
      <c r="BZ41" s="857" t="e">
        <f>IF(AND($BC41=0,$C41=Tab_sel!$P$7,$D41=Tab_sel!$O$24,$E41=Tab_sel!$N$31,$F41=Tab_sel!$N$40,$I41=Tab_sel!$P$61,$H41=Tab_sel!$B$82),1,"")</f>
        <v>#N/A</v>
      </c>
      <c r="CA41" s="359"/>
      <c r="CC41">
        <f t="shared" si="13"/>
        <v>0</v>
      </c>
      <c r="CD41" s="882">
        <f t="shared" si="14"/>
        <v>0</v>
      </c>
      <c r="CE41" s="882">
        <f t="shared" si="15"/>
        <v>0</v>
      </c>
      <c r="CG41" t="s">
        <v>2618</v>
      </c>
      <c r="CH41" t="s">
        <v>2794</v>
      </c>
      <c r="CI41" t="s">
        <v>2622</v>
      </c>
    </row>
    <row r="42" spans="2:88" ht="29.25" customHeight="1" x14ac:dyDescent="0.25">
      <c r="B42" s="791" t="s">
        <v>2340</v>
      </c>
      <c r="C42" s="771" t="s">
        <v>75</v>
      </c>
      <c r="D42" s="772" t="s">
        <v>23</v>
      </c>
      <c r="E42" s="771" t="str">
        <f>Med</f>
        <v>Media support de données</v>
      </c>
      <c r="F42" s="768" t="str">
        <f>Crfx</f>
        <v>Création de faux</v>
      </c>
      <c r="G42" s="768" t="s">
        <v>1079</v>
      </c>
      <c r="H42" s="863" t="s">
        <v>2590</v>
      </c>
      <c r="I42" s="771" t="s">
        <v>1204</v>
      </c>
      <c r="J42" s="769" t="s">
        <v>2374</v>
      </c>
      <c r="K42" s="769" t="s">
        <v>2571</v>
      </c>
      <c r="L42" s="769" t="s">
        <v>1344</v>
      </c>
      <c r="M42" s="823"/>
      <c r="N42" s="767"/>
      <c r="O42" s="767"/>
      <c r="P42" s="772"/>
      <c r="Q42" s="803"/>
      <c r="R42" s="803"/>
      <c r="S42" s="804"/>
      <c r="T42" s="772"/>
      <c r="U42" s="772"/>
      <c r="V42" s="805"/>
      <c r="W42" s="767"/>
      <c r="X42" s="767"/>
      <c r="Y42" s="772"/>
      <c r="Z42" s="772"/>
      <c r="AA42" s="772"/>
      <c r="AB42" s="805"/>
      <c r="AC42" s="806"/>
      <c r="AD42" s="806"/>
      <c r="AE42" s="806"/>
      <c r="AF42" s="806"/>
      <c r="AG42" s="806"/>
      <c r="AH42" s="805"/>
      <c r="AI42" s="807" t="str">
        <f t="shared" si="2"/>
        <v/>
      </c>
      <c r="AJ42" s="805"/>
      <c r="AK42" s="359"/>
      <c r="AM42" t="str">
        <f t="shared" si="9"/>
        <v/>
      </c>
      <c r="AN42">
        <f t="shared" si="10"/>
        <v>0</v>
      </c>
      <c r="AV42" s="860"/>
      <c r="AW42" s="882">
        <f t="shared" si="11"/>
        <v>0</v>
      </c>
      <c r="AX42" s="882">
        <f t="shared" si="19"/>
        <v>1</v>
      </c>
      <c r="AY42" s="882">
        <f t="shared" si="20"/>
        <v>1</v>
      </c>
      <c r="AZ42" s="927">
        <f t="shared" si="7"/>
        <v>1</v>
      </c>
      <c r="BA42" s="882">
        <v>0</v>
      </c>
      <c r="BB42" s="925">
        <f t="shared" si="12"/>
        <v>0</v>
      </c>
      <c r="BC42" s="882">
        <f t="shared" si="21"/>
        <v>1</v>
      </c>
      <c r="BD42" s="342" t="e">
        <f>IF(AND($BC42=0,C42=Tab_sel!$P$7,$D42=Tab_sel!$O$24,$E42=Tab_sel!$B$31),1,"")</f>
        <v>#N/A</v>
      </c>
      <c r="BE42" s="322" t="e">
        <f>IF(AND($BC42=0,C42=Tab_sel!$P$7,$D42=Tab_sel!$O$24,$E42=Tab_sel!$B$32),1,"")</f>
        <v>#N/A</v>
      </c>
      <c r="BF42" s="322" t="e">
        <f>IF(AND($BC42=0,C42=Tab_sel!$P$7,$D42=Tab_sel!$O$24,$E42=Tab_sel!$B$33),1,"")</f>
        <v>#N/A</v>
      </c>
      <c r="BG42" s="322" t="e">
        <f>IF(AND($BC42=0,C42=Tab_sel!$P$7,$D42=Tab_sel!$O$24,$E42=Tab_sel!$B$34),1,"")</f>
        <v>#N/A</v>
      </c>
      <c r="BH42" s="322" t="e">
        <f>IF(AND($BC42=0,C42=Tab_sel!$P$7,$D42=Tab_sel!$O$24,$E42=Tab_sel!$B$35),1,"")</f>
        <v>#N/A</v>
      </c>
      <c r="BI42" s="343" t="e">
        <f>IF(AND($BC42=0,C42=Tab_sel!$P$7,$D42=Tab_sel!$O$24,$E42=Tab_sel!$B$36),1,"")</f>
        <v>#N/A</v>
      </c>
      <c r="BJ42" s="342" t="e">
        <f>IF(AND($BC42=0,$C42=Tab_sel!$P$7,$D42=Tab_sel!$O$24,$E42=Tab_sel!$N$31,$F42=Tab_sel!$B$40),1,"")</f>
        <v>#N/A</v>
      </c>
      <c r="BK42" s="322" t="e">
        <f>IF(AND($BC42=0,$C42=Tab_sel!$P$7,$D42=Tab_sel!$O$24,$E42=Tab_sel!$N$31,$F42=Tab_sel!$B$41),1,"")</f>
        <v>#N/A</v>
      </c>
      <c r="BL42" s="322" t="e">
        <f>IF(AND($BC42=0,$C42=Tab_sel!$P$7,$D42=Tab_sel!$O$24,$E42=Tab_sel!$N$31,$F42=Tab_sel!$B$42),1,"")</f>
        <v>#N/A</v>
      </c>
      <c r="BM42" s="322" t="e">
        <f>IF(AND($BC42=0,$C42=Tab_sel!$P$7,$D42=Tab_sel!$O$24,$E42=Tab_sel!$N$31,$F42=Tab_sel!$B$43),1,"")</f>
        <v>#N/A</v>
      </c>
      <c r="BN42" s="322" t="e">
        <f>IF(AND($BC42=0,$C42=Tab_sel!$P$7,$D42=Tab_sel!$O$24,$E42=Tab_sel!$N$31,$F42=Tab_sel!$B$44),1,"")</f>
        <v>#N/A</v>
      </c>
      <c r="BO42" s="343" t="e">
        <f>IF(AND($BC42=0,$C42=Tab_sel!$P$7,$D42=Tab_sel!$O$24,$E42=Tab_sel!$N$31,$F42=Tab_sel!$B$45),1,"")</f>
        <v>#N/A</v>
      </c>
      <c r="BP42" s="354" t="e">
        <f>IF(AND($BC42=0,$C42=Tab_sel!$P$7,$D42=Tab_sel!$O$24,$E42=Tab_sel!$N$31,$F42=Tab_sel!$N$40,$I42=Tab_sel!$B$61),1,"")</f>
        <v>#N/A</v>
      </c>
      <c r="BQ42" s="355" t="e">
        <f>IF(AND($BC42=0,$C42=Tab_sel!$P$7,$D42=Tab_sel!$O$24,$E42=Tab_sel!$N$31,$F42=Tab_sel!$N$40,$I42=Tab_sel!$B$62),1,"")</f>
        <v>#N/A</v>
      </c>
      <c r="BR42" s="355" t="e">
        <f>IF(AND($BC42=0,$C42=Tab_sel!$P$7,$D42=Tab_sel!$O$24,$E42=Tab_sel!$N$31,$F42=Tab_sel!$N$40,$I42=Tab_sel!$B$63),1,"")</f>
        <v>#N/A</v>
      </c>
      <c r="BS42" s="355" t="e">
        <f>IF(AND($BC42=0,$C42=Tab_sel!$P$7,$D42=Tab_sel!$O$24,$E42=Tab_sel!$N$31,$F42=Tab_sel!$N$40,$I42=Tab_sel!$B$64),1,"")</f>
        <v>#N/A</v>
      </c>
      <c r="BT42" s="356" t="e">
        <f>IF(AND($BC42=0,$C42=Tab_sel!$P$7,$D42=Tab_sel!$O$24,$E42=Tab_sel!$N$31,$F42=Tab_sel!$N$40,$I42=Tab_sel!$B$65),1,"")</f>
        <v>#N/A</v>
      </c>
      <c r="BU42" s="856" t="e">
        <f>IF(AND($BC42=0,$C42=Tab_sel!$P$7,$D42=Tab_sel!$O$24,$E42=Tab_sel!$N$31,$F42=Tab_sel!$N$40,$I42=Tab_sel!$P$61,$H42=Tab_sel!$B$77),1,"")</f>
        <v>#N/A</v>
      </c>
      <c r="BV42" s="883" t="e">
        <f>IF(AND($BC42=0,$C42=Tab_sel!$P$7,$D42=Tab_sel!$O$24,$E42=Tab_sel!$N$31,$F42=Tab_sel!$N$40,$I42=Tab_sel!$P$61,$H42=Tab_sel!$B$78),1,"")</f>
        <v>#N/A</v>
      </c>
      <c r="BW42" s="883" t="e">
        <f>IF(AND($BC42=0,$C42=Tab_sel!$P$7,$D42=Tab_sel!$O$24,$E42=Tab_sel!$N$31,$F42=Tab_sel!$N$40,$I42=Tab_sel!$P$61,$H42=Tab_sel!$B$79),1,"")</f>
        <v>#N/A</v>
      </c>
      <c r="BX42" s="883" t="e">
        <f>IF(AND($BC42=0,$C42=Tab_sel!$P$7,$D42=Tab_sel!$O$24,$E42=Tab_sel!$N$31,$F42=Tab_sel!$N$40,$I42=Tab_sel!$P$61,$H42=Tab_sel!$B$80),1,"")</f>
        <v>#N/A</v>
      </c>
      <c r="BY42" s="883" t="e">
        <f>IF(AND($BC42=0,$C42=Tab_sel!$P$7,$D42=Tab_sel!$O$24,$E42=Tab_sel!$N$31,$F42=Tab_sel!$N$40,$I42=Tab_sel!$P$61,$H42=Tab_sel!$B$81),1,"")</f>
        <v>#N/A</v>
      </c>
      <c r="BZ42" s="857" t="e">
        <f>IF(AND($BC42=0,$C42=Tab_sel!$P$7,$D42=Tab_sel!$O$24,$E42=Tab_sel!$N$31,$F42=Tab_sel!$N$40,$I42=Tab_sel!$P$61,$H42=Tab_sel!$B$82),1,"")</f>
        <v>#N/A</v>
      </c>
      <c r="CA42" s="359"/>
      <c r="CC42">
        <f t="shared" si="13"/>
        <v>0</v>
      </c>
      <c r="CD42" s="882">
        <f t="shared" si="14"/>
        <v>0</v>
      </c>
      <c r="CE42" s="882">
        <f t="shared" si="15"/>
        <v>0</v>
      </c>
      <c r="CG42" t="s">
        <v>2618</v>
      </c>
      <c r="CH42" t="s">
        <v>2795</v>
      </c>
      <c r="CI42" t="s">
        <v>2622</v>
      </c>
    </row>
    <row r="43" spans="2:88" ht="29.25" customHeight="1" x14ac:dyDescent="0.25">
      <c r="B43" s="791" t="s">
        <v>2341</v>
      </c>
      <c r="C43" s="771" t="s">
        <v>75</v>
      </c>
      <c r="D43" s="772" t="s">
        <v>23</v>
      </c>
      <c r="E43" s="771" t="str">
        <f>Med</f>
        <v>Media support de données</v>
      </c>
      <c r="F43" s="768" t="str">
        <f>Crfx</f>
        <v>Création de faux</v>
      </c>
      <c r="G43" s="768" t="s">
        <v>1079</v>
      </c>
      <c r="H43" s="863" t="s">
        <v>2591</v>
      </c>
      <c r="I43" s="771" t="s">
        <v>1204</v>
      </c>
      <c r="J43" s="769" t="s">
        <v>2374</v>
      </c>
      <c r="K43" s="769" t="s">
        <v>2572</v>
      </c>
      <c r="L43" s="769" t="s">
        <v>1344</v>
      </c>
      <c r="M43" s="823"/>
      <c r="N43" s="767"/>
      <c r="O43" s="767"/>
      <c r="P43" s="772"/>
      <c r="Q43" s="803"/>
      <c r="R43" s="803"/>
      <c r="S43" s="804"/>
      <c r="T43" s="772"/>
      <c r="U43" s="772"/>
      <c r="V43" s="805"/>
      <c r="W43" s="767"/>
      <c r="X43" s="767"/>
      <c r="Y43" s="772"/>
      <c r="Z43" s="772"/>
      <c r="AA43" s="772"/>
      <c r="AB43" s="805"/>
      <c r="AC43" s="806"/>
      <c r="AD43" s="806"/>
      <c r="AE43" s="806"/>
      <c r="AF43" s="806"/>
      <c r="AG43" s="806"/>
      <c r="AH43" s="805"/>
      <c r="AI43" s="807" t="str">
        <f t="shared" si="2"/>
        <v/>
      </c>
      <c r="AJ43" s="805"/>
      <c r="AK43" s="359"/>
      <c r="AM43" t="str">
        <f t="shared" si="9"/>
        <v/>
      </c>
      <c r="AN43">
        <f t="shared" si="10"/>
        <v>0</v>
      </c>
      <c r="AV43" s="860"/>
      <c r="AW43" s="882">
        <f t="shared" si="11"/>
        <v>0</v>
      </c>
      <c r="AX43" s="882">
        <f t="shared" si="19"/>
        <v>1</v>
      </c>
      <c r="AY43" s="882">
        <f t="shared" si="20"/>
        <v>1</v>
      </c>
      <c r="AZ43" s="927">
        <f t="shared" si="7"/>
        <v>1</v>
      </c>
      <c r="BA43" s="882">
        <v>0</v>
      </c>
      <c r="BB43" s="925">
        <f t="shared" si="12"/>
        <v>0</v>
      </c>
      <c r="BC43" s="882">
        <f t="shared" si="21"/>
        <v>1</v>
      </c>
      <c r="BD43" s="342" t="e">
        <f>IF(AND($BC43=0,C43=Tab_sel!$P$7,$D43=Tab_sel!$O$24,$E43=Tab_sel!$B$31),1,"")</f>
        <v>#N/A</v>
      </c>
      <c r="BE43" s="322" t="e">
        <f>IF(AND($BC43=0,C43=Tab_sel!$P$7,$D43=Tab_sel!$O$24,$E43=Tab_sel!$B$32),1,"")</f>
        <v>#N/A</v>
      </c>
      <c r="BF43" s="322" t="e">
        <f>IF(AND($BC43=0,C43=Tab_sel!$P$7,$D43=Tab_sel!$O$24,$E43=Tab_sel!$B$33),1,"")</f>
        <v>#N/A</v>
      </c>
      <c r="BG43" s="322" t="e">
        <f>IF(AND($BC43=0,C43=Tab_sel!$P$7,$D43=Tab_sel!$O$24,$E43=Tab_sel!$B$34),1,"")</f>
        <v>#N/A</v>
      </c>
      <c r="BH43" s="322" t="e">
        <f>IF(AND($BC43=0,C43=Tab_sel!$P$7,$D43=Tab_sel!$O$24,$E43=Tab_sel!$B$35),1,"")</f>
        <v>#N/A</v>
      </c>
      <c r="BI43" s="343" t="e">
        <f>IF(AND($BC43=0,C43=Tab_sel!$P$7,$D43=Tab_sel!$O$24,$E43=Tab_sel!$B$36),1,"")</f>
        <v>#N/A</v>
      </c>
      <c r="BJ43" s="342" t="e">
        <f>IF(AND($BC43=0,$C43=Tab_sel!$P$7,$D43=Tab_sel!$O$24,$E43=Tab_sel!$N$31,$F43=Tab_sel!$B$40),1,"")</f>
        <v>#N/A</v>
      </c>
      <c r="BK43" s="322" t="e">
        <f>IF(AND($BC43=0,$C43=Tab_sel!$P$7,$D43=Tab_sel!$O$24,$E43=Tab_sel!$N$31,$F43=Tab_sel!$B$41),1,"")</f>
        <v>#N/A</v>
      </c>
      <c r="BL43" s="322" t="e">
        <f>IF(AND($BC43=0,$C43=Tab_sel!$P$7,$D43=Tab_sel!$O$24,$E43=Tab_sel!$N$31,$F43=Tab_sel!$B$42),1,"")</f>
        <v>#N/A</v>
      </c>
      <c r="BM43" s="322" t="e">
        <f>IF(AND($BC43=0,$C43=Tab_sel!$P$7,$D43=Tab_sel!$O$24,$E43=Tab_sel!$N$31,$F43=Tab_sel!$B$43),1,"")</f>
        <v>#N/A</v>
      </c>
      <c r="BN43" s="322" t="e">
        <f>IF(AND($BC43=0,$C43=Tab_sel!$P$7,$D43=Tab_sel!$O$24,$E43=Tab_sel!$N$31,$F43=Tab_sel!$B$44),1,"")</f>
        <v>#N/A</v>
      </c>
      <c r="BO43" s="343" t="e">
        <f>IF(AND($BC43=0,$C43=Tab_sel!$P$7,$D43=Tab_sel!$O$24,$E43=Tab_sel!$N$31,$F43=Tab_sel!$B$45),1,"")</f>
        <v>#N/A</v>
      </c>
      <c r="BP43" s="354" t="e">
        <f>IF(AND($BC43=0,$C43=Tab_sel!$P$7,$D43=Tab_sel!$O$24,$E43=Tab_sel!$N$31,$F43=Tab_sel!$N$40,$I43=Tab_sel!$B$61),1,"")</f>
        <v>#N/A</v>
      </c>
      <c r="BQ43" s="355" t="e">
        <f>IF(AND($BC43=0,$C43=Tab_sel!$P$7,$D43=Tab_sel!$O$24,$E43=Tab_sel!$N$31,$F43=Tab_sel!$N$40,$I43=Tab_sel!$B$62),1,"")</f>
        <v>#N/A</v>
      </c>
      <c r="BR43" s="355" t="e">
        <f>IF(AND($BC43=0,$C43=Tab_sel!$P$7,$D43=Tab_sel!$O$24,$E43=Tab_sel!$N$31,$F43=Tab_sel!$N$40,$I43=Tab_sel!$B$63),1,"")</f>
        <v>#N/A</v>
      </c>
      <c r="BS43" s="355" t="e">
        <f>IF(AND($BC43=0,$C43=Tab_sel!$P$7,$D43=Tab_sel!$O$24,$E43=Tab_sel!$N$31,$F43=Tab_sel!$N$40,$I43=Tab_sel!$B$64),1,"")</f>
        <v>#N/A</v>
      </c>
      <c r="BT43" s="356" t="e">
        <f>IF(AND($BC43=0,$C43=Tab_sel!$P$7,$D43=Tab_sel!$O$24,$E43=Tab_sel!$N$31,$F43=Tab_sel!$N$40,$I43=Tab_sel!$B$65),1,"")</f>
        <v>#N/A</v>
      </c>
      <c r="BU43" s="856" t="e">
        <f>IF(AND($BC43=0,$C43=Tab_sel!$P$7,$D43=Tab_sel!$O$24,$E43=Tab_sel!$N$31,$F43=Tab_sel!$N$40,$I43=Tab_sel!$P$61,$H43=Tab_sel!$B$77),1,"")</f>
        <v>#N/A</v>
      </c>
      <c r="BV43" s="883" t="e">
        <f>IF(AND($BC43=0,$C43=Tab_sel!$P$7,$D43=Tab_sel!$O$24,$E43=Tab_sel!$N$31,$F43=Tab_sel!$N$40,$I43=Tab_sel!$P$61,$H43=Tab_sel!$B$78),1,"")</f>
        <v>#N/A</v>
      </c>
      <c r="BW43" s="883" t="e">
        <f>IF(AND($BC43=0,$C43=Tab_sel!$P$7,$D43=Tab_sel!$O$24,$E43=Tab_sel!$N$31,$F43=Tab_sel!$N$40,$I43=Tab_sel!$P$61,$H43=Tab_sel!$B$79),1,"")</f>
        <v>#N/A</v>
      </c>
      <c r="BX43" s="883" t="e">
        <f>IF(AND($BC43=0,$C43=Tab_sel!$P$7,$D43=Tab_sel!$O$24,$E43=Tab_sel!$N$31,$F43=Tab_sel!$N$40,$I43=Tab_sel!$P$61,$H43=Tab_sel!$B$80),1,"")</f>
        <v>#N/A</v>
      </c>
      <c r="BY43" s="883" t="e">
        <f>IF(AND($BC43=0,$C43=Tab_sel!$P$7,$D43=Tab_sel!$O$24,$E43=Tab_sel!$N$31,$F43=Tab_sel!$N$40,$I43=Tab_sel!$P$61,$H43=Tab_sel!$B$81),1,"")</f>
        <v>#N/A</v>
      </c>
      <c r="BZ43" s="857" t="e">
        <f>IF(AND($BC43=0,$C43=Tab_sel!$P$7,$D43=Tab_sel!$O$24,$E43=Tab_sel!$N$31,$F43=Tab_sel!$N$40,$I43=Tab_sel!$P$61,$H43=Tab_sel!$B$82),1,"")</f>
        <v>#N/A</v>
      </c>
      <c r="CA43" s="359"/>
      <c r="CC43">
        <f t="shared" si="13"/>
        <v>0</v>
      </c>
      <c r="CD43" s="882">
        <f t="shared" si="14"/>
        <v>0</v>
      </c>
      <c r="CE43" s="882">
        <f t="shared" si="15"/>
        <v>0</v>
      </c>
      <c r="CG43" t="s">
        <v>2618</v>
      </c>
      <c r="CH43" t="s">
        <v>2794</v>
      </c>
      <c r="CI43" t="s">
        <v>2622</v>
      </c>
    </row>
    <row r="44" spans="2:88" ht="29.25" customHeight="1" x14ac:dyDescent="0.25">
      <c r="B44" s="791" t="s">
        <v>1967</v>
      </c>
      <c r="C44" s="771" t="s">
        <v>75</v>
      </c>
      <c r="D44" s="772" t="s">
        <v>34</v>
      </c>
      <c r="E44" s="771" t="str">
        <f>Fic</f>
        <v xml:space="preserve">Fichier ou base de données </v>
      </c>
      <c r="F44" s="768" t="str">
        <f t="shared" ref="F44:F53" si="22">Dive</f>
        <v>Divulgation de données</v>
      </c>
      <c r="G44" s="909" t="s">
        <v>2564</v>
      </c>
      <c r="H44" s="778" t="s">
        <v>2352</v>
      </c>
      <c r="I44" s="771" t="s">
        <v>1202</v>
      </c>
      <c r="J44" s="769" t="s">
        <v>2537</v>
      </c>
      <c r="K44" s="778" t="s">
        <v>2464</v>
      </c>
      <c r="L44" s="778"/>
      <c r="M44" s="824"/>
      <c r="N44" s="767"/>
      <c r="O44" s="767"/>
      <c r="P44" s="772"/>
      <c r="Q44" s="803"/>
      <c r="R44" s="803"/>
      <c r="S44" s="804"/>
      <c r="T44" s="772"/>
      <c r="U44" s="772"/>
      <c r="V44" s="805"/>
      <c r="W44" s="767"/>
      <c r="X44" s="767"/>
      <c r="Y44" s="772"/>
      <c r="Z44" s="772"/>
      <c r="AA44" s="772"/>
      <c r="AB44" s="805"/>
      <c r="AC44" s="806"/>
      <c r="AD44" s="806"/>
      <c r="AE44" s="806"/>
      <c r="AF44" s="806"/>
      <c r="AG44" s="806"/>
      <c r="AH44" s="805"/>
      <c r="AI44" s="807" t="str">
        <f t="shared" si="2"/>
        <v/>
      </c>
      <c r="AJ44" s="805"/>
      <c r="AK44" s="359"/>
      <c r="AM44" t="str">
        <f t="shared" si="9"/>
        <v/>
      </c>
      <c r="AN44">
        <f t="shared" si="10"/>
        <v>0</v>
      </c>
      <c r="AW44" s="882">
        <f t="shared" si="11"/>
        <v>0</v>
      </c>
      <c r="AX44" s="882">
        <f t="shared" si="19"/>
        <v>1</v>
      </c>
      <c r="AY44" s="882">
        <f t="shared" si="20"/>
        <v>1</v>
      </c>
      <c r="AZ44" s="927">
        <f t="shared" si="7"/>
        <v>1</v>
      </c>
      <c r="BA44" s="882">
        <v>1</v>
      </c>
      <c r="BB44" s="925">
        <f t="shared" si="12"/>
        <v>0</v>
      </c>
      <c r="BC44" s="882">
        <f t="shared" si="21"/>
        <v>1</v>
      </c>
      <c r="BD44" s="342" t="e">
        <f>IF(AND($BC44=0,C44=Tab_sel!$P$7,$D44=Tab_sel!$O$24,$E44=Tab_sel!$B$31),1,"")</f>
        <v>#N/A</v>
      </c>
      <c r="BE44" s="322" t="e">
        <f>IF(AND($BC44=0,C44=Tab_sel!$P$7,$D44=Tab_sel!$O$24,$E44=Tab_sel!$B$32),1,"")</f>
        <v>#N/A</v>
      </c>
      <c r="BF44" s="322" t="e">
        <f>IF(AND($BC44=0,C44=Tab_sel!$P$7,$D44=Tab_sel!$O$24,$E44=Tab_sel!$B$33),1,"")</f>
        <v>#N/A</v>
      </c>
      <c r="BG44" s="322" t="e">
        <f>IF(AND($BC44=0,C44=Tab_sel!$P$7,$D44=Tab_sel!$O$24,$E44=Tab_sel!$B$34),1,"")</f>
        <v>#N/A</v>
      </c>
      <c r="BH44" s="322" t="e">
        <f>IF(AND($BC44=0,C44=Tab_sel!$P$7,$D44=Tab_sel!$O$24,$E44=Tab_sel!$B$35),1,"")</f>
        <v>#N/A</v>
      </c>
      <c r="BI44" s="343" t="e">
        <f>IF(AND($BC44=0,C44=Tab_sel!$P$7,$D44=Tab_sel!$O$24,$E44=Tab_sel!$B$36),1,"")</f>
        <v>#N/A</v>
      </c>
      <c r="BJ44" s="342" t="e">
        <f>IF(AND($BC44=0,$C44=Tab_sel!$P$7,$D44=Tab_sel!$O$24,$E44=Tab_sel!$N$31,$F44=Tab_sel!$B$40),1,"")</f>
        <v>#N/A</v>
      </c>
      <c r="BK44" s="322" t="e">
        <f>IF(AND($BC44=0,$C44=Tab_sel!$P$7,$D44=Tab_sel!$O$24,$E44=Tab_sel!$N$31,$F44=Tab_sel!$B$41),1,"")</f>
        <v>#N/A</v>
      </c>
      <c r="BL44" s="322" t="e">
        <f>IF(AND($BC44=0,$C44=Tab_sel!$P$7,$D44=Tab_sel!$O$24,$E44=Tab_sel!$N$31,$F44=Tab_sel!$B$42),1,"")</f>
        <v>#N/A</v>
      </c>
      <c r="BM44" s="322" t="e">
        <f>IF(AND($BC44=0,$C44=Tab_sel!$P$7,$D44=Tab_sel!$O$24,$E44=Tab_sel!$N$31,$F44=Tab_sel!$B$43),1,"")</f>
        <v>#N/A</v>
      </c>
      <c r="BN44" s="322" t="e">
        <f>IF(AND($BC44=0,$C44=Tab_sel!$P$7,$D44=Tab_sel!$O$24,$E44=Tab_sel!$N$31,$F44=Tab_sel!$B$44),1,"")</f>
        <v>#N/A</v>
      </c>
      <c r="BO44" s="343" t="e">
        <f>IF(AND($BC44=0,$C44=Tab_sel!$P$7,$D44=Tab_sel!$O$24,$E44=Tab_sel!$N$31,$F44=Tab_sel!$B$45),1,"")</f>
        <v>#N/A</v>
      </c>
      <c r="BP44" s="354" t="e">
        <f>IF(AND($BC44=0,$C44=Tab_sel!$P$7,$D44=Tab_sel!$O$24,$E44=Tab_sel!$N$31,$F44=Tab_sel!$N$40,$I44=Tab_sel!$B$61),1,"")</f>
        <v>#N/A</v>
      </c>
      <c r="BQ44" s="355" t="e">
        <f>IF(AND($BC44=0,$C44=Tab_sel!$P$7,$D44=Tab_sel!$O$24,$E44=Tab_sel!$N$31,$F44=Tab_sel!$N$40,$I44=Tab_sel!$B$62),1,"")</f>
        <v>#N/A</v>
      </c>
      <c r="BR44" s="355" t="e">
        <f>IF(AND($BC44=0,$C44=Tab_sel!$P$7,$D44=Tab_sel!$O$24,$E44=Tab_sel!$N$31,$F44=Tab_sel!$N$40,$I44=Tab_sel!$B$63),1,"")</f>
        <v>#N/A</v>
      </c>
      <c r="BS44" s="355" t="e">
        <f>IF(AND($BC44=0,$C44=Tab_sel!$P$7,$D44=Tab_sel!$O$24,$E44=Tab_sel!$N$31,$F44=Tab_sel!$N$40,$I44=Tab_sel!$B$64),1,"")</f>
        <v>#N/A</v>
      </c>
      <c r="BT44" s="356" t="e">
        <f>IF(AND($BC44=0,$C44=Tab_sel!$P$7,$D44=Tab_sel!$O$24,$E44=Tab_sel!$N$31,$F44=Tab_sel!$N$40,$I44=Tab_sel!$B$65),1,"")</f>
        <v>#N/A</v>
      </c>
      <c r="BU44" s="856" t="e">
        <f>IF(AND($BC44=0,$C44=Tab_sel!$P$7,$D44=Tab_sel!$O$24,$E44=Tab_sel!$N$31,$F44=Tab_sel!$N$40,$I44=Tab_sel!$P$61,$H44=Tab_sel!$B$77),1,"")</f>
        <v>#N/A</v>
      </c>
      <c r="BV44" s="883" t="e">
        <f>IF(AND($BC44=0,$C44=Tab_sel!$P$7,$D44=Tab_sel!$O$24,$E44=Tab_sel!$N$31,$F44=Tab_sel!$N$40,$I44=Tab_sel!$P$61,$H44=Tab_sel!$B$78),1,"")</f>
        <v>#N/A</v>
      </c>
      <c r="BW44" s="883" t="e">
        <f>IF(AND($BC44=0,$C44=Tab_sel!$P$7,$D44=Tab_sel!$O$24,$E44=Tab_sel!$N$31,$F44=Tab_sel!$N$40,$I44=Tab_sel!$P$61,$H44=Tab_sel!$B$79),1,"")</f>
        <v>#N/A</v>
      </c>
      <c r="BX44" s="883" t="e">
        <f>IF(AND($BC44=0,$C44=Tab_sel!$P$7,$D44=Tab_sel!$O$24,$E44=Tab_sel!$N$31,$F44=Tab_sel!$N$40,$I44=Tab_sel!$P$61,$H44=Tab_sel!$B$80),1,"")</f>
        <v>#N/A</v>
      </c>
      <c r="BY44" s="883" t="e">
        <f>IF(AND($BC44=0,$C44=Tab_sel!$P$7,$D44=Tab_sel!$O$24,$E44=Tab_sel!$N$31,$F44=Tab_sel!$N$40,$I44=Tab_sel!$P$61,$H44=Tab_sel!$B$81),1,"")</f>
        <v>#N/A</v>
      </c>
      <c r="BZ44" s="857" t="e">
        <f>IF(AND($BC44=0,$C44=Tab_sel!$P$7,$D44=Tab_sel!$O$24,$E44=Tab_sel!$N$31,$F44=Tab_sel!$N$40,$I44=Tab_sel!$P$61,$H44=Tab_sel!$B$82),1,"")</f>
        <v>#N/A</v>
      </c>
      <c r="CA44" s="359"/>
      <c r="CC44">
        <f t="shared" si="13"/>
        <v>0</v>
      </c>
      <c r="CD44" s="882">
        <f t="shared" si="14"/>
        <v>0</v>
      </c>
      <c r="CE44" s="882">
        <f t="shared" si="15"/>
        <v>0</v>
      </c>
      <c r="CG44" t="s">
        <v>2609</v>
      </c>
      <c r="CH44" t="s">
        <v>2626</v>
      </c>
    </row>
    <row r="45" spans="2:88" ht="29.25" customHeight="1" x14ac:dyDescent="0.25">
      <c r="B45" s="791" t="s">
        <v>2342</v>
      </c>
      <c r="C45" s="771" t="s">
        <v>75</v>
      </c>
      <c r="D45" s="772" t="s">
        <v>34</v>
      </c>
      <c r="E45" s="771" t="str">
        <f>Fic</f>
        <v xml:space="preserve">Fichier ou base de données </v>
      </c>
      <c r="F45" s="768" t="str">
        <f t="shared" si="22"/>
        <v>Divulgation de données</v>
      </c>
      <c r="G45" s="909" t="s">
        <v>2564</v>
      </c>
      <c r="H45" s="864" t="s">
        <v>2592</v>
      </c>
      <c r="I45" s="771" t="s">
        <v>1202</v>
      </c>
      <c r="J45" s="769" t="s">
        <v>2537</v>
      </c>
      <c r="K45" s="778"/>
      <c r="L45" s="778"/>
      <c r="M45" s="824"/>
      <c r="N45" s="767"/>
      <c r="O45" s="767"/>
      <c r="P45" s="772"/>
      <c r="Q45" s="803"/>
      <c r="R45" s="803"/>
      <c r="S45" s="804"/>
      <c r="T45" s="772"/>
      <c r="U45" s="772"/>
      <c r="V45" s="805"/>
      <c r="W45" s="767"/>
      <c r="X45" s="767"/>
      <c r="Y45" s="772"/>
      <c r="Z45" s="772"/>
      <c r="AA45" s="772"/>
      <c r="AB45" s="805"/>
      <c r="AC45" s="806"/>
      <c r="AD45" s="806"/>
      <c r="AE45" s="806"/>
      <c r="AF45" s="806"/>
      <c r="AG45" s="806"/>
      <c r="AH45" s="805"/>
      <c r="AI45" s="807" t="str">
        <f t="shared" si="2"/>
        <v/>
      </c>
      <c r="AJ45" s="805"/>
      <c r="AK45" s="359"/>
      <c r="AM45" t="str">
        <f t="shared" si="9"/>
        <v/>
      </c>
      <c r="AN45">
        <f t="shared" si="10"/>
        <v>0</v>
      </c>
      <c r="AV45" s="860"/>
      <c r="AW45" s="882">
        <f t="shared" si="11"/>
        <v>0</v>
      </c>
      <c r="AX45" s="882">
        <f t="shared" si="19"/>
        <v>1</v>
      </c>
      <c r="AY45" s="882">
        <f t="shared" si="20"/>
        <v>1</v>
      </c>
      <c r="AZ45" s="927">
        <f t="shared" si="7"/>
        <v>1</v>
      </c>
      <c r="BA45" s="882">
        <v>0</v>
      </c>
      <c r="BB45" s="925">
        <f t="shared" si="12"/>
        <v>0</v>
      </c>
      <c r="BC45" s="882">
        <f t="shared" si="21"/>
        <v>1</v>
      </c>
      <c r="BD45" s="342" t="e">
        <f>IF(AND($BC45=0,C45=Tab_sel!$P$7,$D45=Tab_sel!$O$24,$E45=Tab_sel!$B$31),1,"")</f>
        <v>#N/A</v>
      </c>
      <c r="BE45" s="322" t="e">
        <f>IF(AND($BC45=0,C45=Tab_sel!$P$7,$D45=Tab_sel!$O$24,$E45=Tab_sel!$B$32),1,"")</f>
        <v>#N/A</v>
      </c>
      <c r="BF45" s="322" t="e">
        <f>IF(AND($BC45=0,C45=Tab_sel!$P$7,$D45=Tab_sel!$O$24,$E45=Tab_sel!$B$33),1,"")</f>
        <v>#N/A</v>
      </c>
      <c r="BG45" s="322" t="e">
        <f>IF(AND($BC45=0,C45=Tab_sel!$P$7,$D45=Tab_sel!$O$24,$E45=Tab_sel!$B$34),1,"")</f>
        <v>#N/A</v>
      </c>
      <c r="BH45" s="322" t="e">
        <f>IF(AND($BC45=0,C45=Tab_sel!$P$7,$D45=Tab_sel!$O$24,$E45=Tab_sel!$B$35),1,"")</f>
        <v>#N/A</v>
      </c>
      <c r="BI45" s="343" t="e">
        <f>IF(AND($BC45=0,C45=Tab_sel!$P$7,$D45=Tab_sel!$O$24,$E45=Tab_sel!$B$36),1,"")</f>
        <v>#N/A</v>
      </c>
      <c r="BJ45" s="342" t="e">
        <f>IF(AND($BC45=0,$C45=Tab_sel!$P$7,$D45=Tab_sel!$O$24,$E45=Tab_sel!$N$31,$F45=Tab_sel!$B$40),1,"")</f>
        <v>#N/A</v>
      </c>
      <c r="BK45" s="322" t="e">
        <f>IF(AND($BC45=0,$C45=Tab_sel!$P$7,$D45=Tab_sel!$O$24,$E45=Tab_sel!$N$31,$F45=Tab_sel!$B$41),1,"")</f>
        <v>#N/A</v>
      </c>
      <c r="BL45" s="322" t="e">
        <f>IF(AND($BC45=0,$C45=Tab_sel!$P$7,$D45=Tab_sel!$O$24,$E45=Tab_sel!$N$31,$F45=Tab_sel!$B$42),1,"")</f>
        <v>#N/A</v>
      </c>
      <c r="BM45" s="322" t="e">
        <f>IF(AND($BC45=0,$C45=Tab_sel!$P$7,$D45=Tab_sel!$O$24,$E45=Tab_sel!$N$31,$F45=Tab_sel!$B$43),1,"")</f>
        <v>#N/A</v>
      </c>
      <c r="BN45" s="322" t="e">
        <f>IF(AND($BC45=0,$C45=Tab_sel!$P$7,$D45=Tab_sel!$O$24,$E45=Tab_sel!$N$31,$F45=Tab_sel!$B$44),1,"")</f>
        <v>#N/A</v>
      </c>
      <c r="BO45" s="343" t="e">
        <f>IF(AND($BC45=0,$C45=Tab_sel!$P$7,$D45=Tab_sel!$O$24,$E45=Tab_sel!$N$31,$F45=Tab_sel!$B$45),1,"")</f>
        <v>#N/A</v>
      </c>
      <c r="BP45" s="354" t="e">
        <f>IF(AND($BC45=0,$C45=Tab_sel!$P$7,$D45=Tab_sel!$O$24,$E45=Tab_sel!$N$31,$F45=Tab_sel!$N$40,$I45=Tab_sel!$B$61),1,"")</f>
        <v>#N/A</v>
      </c>
      <c r="BQ45" s="355" t="e">
        <f>IF(AND($BC45=0,$C45=Tab_sel!$P$7,$D45=Tab_sel!$O$24,$E45=Tab_sel!$N$31,$F45=Tab_sel!$N$40,$I45=Tab_sel!$B$62),1,"")</f>
        <v>#N/A</v>
      </c>
      <c r="BR45" s="355" t="e">
        <f>IF(AND($BC45=0,$C45=Tab_sel!$P$7,$D45=Tab_sel!$O$24,$E45=Tab_sel!$N$31,$F45=Tab_sel!$N$40,$I45=Tab_sel!$B$63),1,"")</f>
        <v>#N/A</v>
      </c>
      <c r="BS45" s="355" t="e">
        <f>IF(AND($BC45=0,$C45=Tab_sel!$P$7,$D45=Tab_sel!$O$24,$E45=Tab_sel!$N$31,$F45=Tab_sel!$N$40,$I45=Tab_sel!$B$64),1,"")</f>
        <v>#N/A</v>
      </c>
      <c r="BT45" s="356" t="e">
        <f>IF(AND($BC45=0,$C45=Tab_sel!$P$7,$D45=Tab_sel!$O$24,$E45=Tab_sel!$N$31,$F45=Tab_sel!$N$40,$I45=Tab_sel!$B$65),1,"")</f>
        <v>#N/A</v>
      </c>
      <c r="BU45" s="856" t="e">
        <f>IF(AND($BC45=0,$C45=Tab_sel!$P$7,$D45=Tab_sel!$O$24,$E45=Tab_sel!$N$31,$F45=Tab_sel!$N$40,$I45=Tab_sel!$P$61,$H45=Tab_sel!$B$77),1,"")</f>
        <v>#N/A</v>
      </c>
      <c r="BV45" s="883" t="e">
        <f>IF(AND($BC45=0,$C45=Tab_sel!$P$7,$D45=Tab_sel!$O$24,$E45=Tab_sel!$N$31,$F45=Tab_sel!$N$40,$I45=Tab_sel!$P$61,$H45=Tab_sel!$B$78),1,"")</f>
        <v>#N/A</v>
      </c>
      <c r="BW45" s="883" t="e">
        <f>IF(AND($BC45=0,$C45=Tab_sel!$P$7,$D45=Tab_sel!$O$24,$E45=Tab_sel!$N$31,$F45=Tab_sel!$N$40,$I45=Tab_sel!$P$61,$H45=Tab_sel!$B$79),1,"")</f>
        <v>#N/A</v>
      </c>
      <c r="BX45" s="883" t="e">
        <f>IF(AND($BC45=0,$C45=Tab_sel!$P$7,$D45=Tab_sel!$O$24,$E45=Tab_sel!$N$31,$F45=Tab_sel!$N$40,$I45=Tab_sel!$P$61,$H45=Tab_sel!$B$80),1,"")</f>
        <v>#N/A</v>
      </c>
      <c r="BY45" s="883" t="e">
        <f>IF(AND($BC45=0,$C45=Tab_sel!$P$7,$D45=Tab_sel!$O$24,$E45=Tab_sel!$N$31,$F45=Tab_sel!$N$40,$I45=Tab_sel!$P$61,$H45=Tab_sel!$B$81),1,"")</f>
        <v>#N/A</v>
      </c>
      <c r="BZ45" s="857" t="e">
        <f>IF(AND($BC45=0,$C45=Tab_sel!$P$7,$D45=Tab_sel!$O$24,$E45=Tab_sel!$N$31,$F45=Tab_sel!$N$40,$I45=Tab_sel!$P$61,$H45=Tab_sel!$B$82),1,"")</f>
        <v>#N/A</v>
      </c>
      <c r="CA45" s="359"/>
      <c r="CC45">
        <f t="shared" si="13"/>
        <v>0</v>
      </c>
      <c r="CD45" s="882">
        <f t="shared" si="14"/>
        <v>0</v>
      </c>
      <c r="CE45" s="882">
        <f t="shared" si="15"/>
        <v>0</v>
      </c>
      <c r="CG45" t="s">
        <v>2609</v>
      </c>
    </row>
    <row r="46" spans="2:88" ht="29.25" customHeight="1" x14ac:dyDescent="0.25">
      <c r="B46" s="791" t="s">
        <v>2343</v>
      </c>
      <c r="C46" s="771" t="s">
        <v>75</v>
      </c>
      <c r="D46" s="772" t="s">
        <v>34</v>
      </c>
      <c r="E46" s="771" t="str">
        <f>Fic</f>
        <v xml:space="preserve">Fichier ou base de données </v>
      </c>
      <c r="F46" s="768" t="str">
        <f t="shared" si="22"/>
        <v>Divulgation de données</v>
      </c>
      <c r="G46" s="909" t="s">
        <v>2564</v>
      </c>
      <c r="H46" s="864" t="s">
        <v>2344</v>
      </c>
      <c r="I46" s="771" t="s">
        <v>1202</v>
      </c>
      <c r="J46" s="769"/>
      <c r="K46" s="778" t="s">
        <v>2465</v>
      </c>
      <c r="L46" s="778"/>
      <c r="M46" s="824"/>
      <c r="N46" s="767"/>
      <c r="O46" s="767"/>
      <c r="P46" s="772"/>
      <c r="Q46" s="803"/>
      <c r="R46" s="803"/>
      <c r="S46" s="804"/>
      <c r="T46" s="772"/>
      <c r="U46" s="772"/>
      <c r="V46" s="805"/>
      <c r="W46" s="767"/>
      <c r="X46" s="767"/>
      <c r="Y46" s="772"/>
      <c r="Z46" s="772"/>
      <c r="AA46" s="772"/>
      <c r="AB46" s="805"/>
      <c r="AC46" s="806"/>
      <c r="AD46" s="806"/>
      <c r="AE46" s="806"/>
      <c r="AF46" s="806"/>
      <c r="AG46" s="806"/>
      <c r="AH46" s="805"/>
      <c r="AI46" s="807" t="str">
        <f t="shared" si="2"/>
        <v/>
      </c>
      <c r="AJ46" s="805"/>
      <c r="AK46" s="359"/>
      <c r="AM46" t="str">
        <f t="shared" si="9"/>
        <v/>
      </c>
      <c r="AN46">
        <f t="shared" si="10"/>
        <v>0</v>
      </c>
      <c r="AV46" s="860"/>
      <c r="AW46" s="882">
        <f t="shared" si="11"/>
        <v>0</v>
      </c>
      <c r="AX46" s="882">
        <f t="shared" si="19"/>
        <v>1</v>
      </c>
      <c r="AY46" s="882">
        <f t="shared" si="20"/>
        <v>1</v>
      </c>
      <c r="AZ46" s="927">
        <f t="shared" si="7"/>
        <v>1</v>
      </c>
      <c r="BA46" s="882">
        <v>0</v>
      </c>
      <c r="BB46" s="925">
        <f t="shared" si="12"/>
        <v>0</v>
      </c>
      <c r="BC46" s="882">
        <f t="shared" si="21"/>
        <v>1</v>
      </c>
      <c r="BD46" s="342" t="e">
        <f>IF(AND($BC46=0,C46=Tab_sel!$P$7,$D46=Tab_sel!$O$24,$E46=Tab_sel!$B$31),1,"")</f>
        <v>#N/A</v>
      </c>
      <c r="BE46" s="322" t="e">
        <f>IF(AND($BC46=0,C46=Tab_sel!$P$7,$D46=Tab_sel!$O$24,$E46=Tab_sel!$B$32),1,"")</f>
        <v>#N/A</v>
      </c>
      <c r="BF46" s="322" t="e">
        <f>IF(AND($BC46=0,C46=Tab_sel!$P$7,$D46=Tab_sel!$O$24,$E46=Tab_sel!$B$33),1,"")</f>
        <v>#N/A</v>
      </c>
      <c r="BG46" s="322" t="e">
        <f>IF(AND($BC46=0,C46=Tab_sel!$P$7,$D46=Tab_sel!$O$24,$E46=Tab_sel!$B$34),1,"")</f>
        <v>#N/A</v>
      </c>
      <c r="BH46" s="322" t="e">
        <f>IF(AND($BC46=0,C46=Tab_sel!$P$7,$D46=Tab_sel!$O$24,$E46=Tab_sel!$B$35),1,"")</f>
        <v>#N/A</v>
      </c>
      <c r="BI46" s="343" t="e">
        <f>IF(AND($BC46=0,C46=Tab_sel!$P$7,$D46=Tab_sel!$O$24,$E46=Tab_sel!$B$36),1,"")</f>
        <v>#N/A</v>
      </c>
      <c r="BJ46" s="342" t="e">
        <f>IF(AND($BC46=0,$C46=Tab_sel!$P$7,$D46=Tab_sel!$O$24,$E46=Tab_sel!$N$31,$F46=Tab_sel!$B$40),1,"")</f>
        <v>#N/A</v>
      </c>
      <c r="BK46" s="322" t="e">
        <f>IF(AND($BC46=0,$C46=Tab_sel!$P$7,$D46=Tab_sel!$O$24,$E46=Tab_sel!$N$31,$F46=Tab_sel!$B$41),1,"")</f>
        <v>#N/A</v>
      </c>
      <c r="BL46" s="322" t="e">
        <f>IF(AND($BC46=0,$C46=Tab_sel!$P$7,$D46=Tab_sel!$O$24,$E46=Tab_sel!$N$31,$F46=Tab_sel!$B$42),1,"")</f>
        <v>#N/A</v>
      </c>
      <c r="BM46" s="322" t="e">
        <f>IF(AND($BC46=0,$C46=Tab_sel!$P$7,$D46=Tab_sel!$O$24,$E46=Tab_sel!$N$31,$F46=Tab_sel!$B$43),1,"")</f>
        <v>#N/A</v>
      </c>
      <c r="BN46" s="322" t="e">
        <f>IF(AND($BC46=0,$C46=Tab_sel!$P$7,$D46=Tab_sel!$O$24,$E46=Tab_sel!$N$31,$F46=Tab_sel!$B$44),1,"")</f>
        <v>#N/A</v>
      </c>
      <c r="BO46" s="343" t="e">
        <f>IF(AND($BC46=0,$C46=Tab_sel!$P$7,$D46=Tab_sel!$O$24,$E46=Tab_sel!$N$31,$F46=Tab_sel!$B$45),1,"")</f>
        <v>#N/A</v>
      </c>
      <c r="BP46" s="354" t="e">
        <f>IF(AND($BC46=0,$C46=Tab_sel!$P$7,$D46=Tab_sel!$O$24,$E46=Tab_sel!$N$31,$F46=Tab_sel!$N$40,$I46=Tab_sel!$B$61),1,"")</f>
        <v>#N/A</v>
      </c>
      <c r="BQ46" s="355" t="e">
        <f>IF(AND($BC46=0,$C46=Tab_sel!$P$7,$D46=Tab_sel!$O$24,$E46=Tab_sel!$N$31,$F46=Tab_sel!$N$40,$I46=Tab_sel!$B$62),1,"")</f>
        <v>#N/A</v>
      </c>
      <c r="BR46" s="355" t="e">
        <f>IF(AND($BC46=0,$C46=Tab_sel!$P$7,$D46=Tab_sel!$O$24,$E46=Tab_sel!$N$31,$F46=Tab_sel!$N$40,$I46=Tab_sel!$B$63),1,"")</f>
        <v>#N/A</v>
      </c>
      <c r="BS46" s="355" t="e">
        <f>IF(AND($BC46=0,$C46=Tab_sel!$P$7,$D46=Tab_sel!$O$24,$E46=Tab_sel!$N$31,$F46=Tab_sel!$N$40,$I46=Tab_sel!$B$64),1,"")</f>
        <v>#N/A</v>
      </c>
      <c r="BT46" s="356" t="e">
        <f>IF(AND($BC46=0,$C46=Tab_sel!$P$7,$D46=Tab_sel!$O$24,$E46=Tab_sel!$N$31,$F46=Tab_sel!$N$40,$I46=Tab_sel!$B$65),1,"")</f>
        <v>#N/A</v>
      </c>
      <c r="BU46" s="856" t="e">
        <f>IF(AND($BC46=0,$C46=Tab_sel!$P$7,$D46=Tab_sel!$O$24,$E46=Tab_sel!$N$31,$F46=Tab_sel!$N$40,$I46=Tab_sel!$P$61,$H46=Tab_sel!$B$77),1,"")</f>
        <v>#N/A</v>
      </c>
      <c r="BV46" s="883" t="e">
        <f>IF(AND($BC46=0,$C46=Tab_sel!$P$7,$D46=Tab_sel!$O$24,$E46=Tab_sel!$N$31,$F46=Tab_sel!$N$40,$I46=Tab_sel!$P$61,$H46=Tab_sel!$B$78),1,"")</f>
        <v>#N/A</v>
      </c>
      <c r="BW46" s="883" t="e">
        <f>IF(AND($BC46=0,$C46=Tab_sel!$P$7,$D46=Tab_sel!$O$24,$E46=Tab_sel!$N$31,$F46=Tab_sel!$N$40,$I46=Tab_sel!$P$61,$H46=Tab_sel!$B$79),1,"")</f>
        <v>#N/A</v>
      </c>
      <c r="BX46" s="883" t="e">
        <f>IF(AND($BC46=0,$C46=Tab_sel!$P$7,$D46=Tab_sel!$O$24,$E46=Tab_sel!$N$31,$F46=Tab_sel!$N$40,$I46=Tab_sel!$P$61,$H46=Tab_sel!$B$80),1,"")</f>
        <v>#N/A</v>
      </c>
      <c r="BY46" s="883" t="e">
        <f>IF(AND($BC46=0,$C46=Tab_sel!$P$7,$D46=Tab_sel!$O$24,$E46=Tab_sel!$N$31,$F46=Tab_sel!$N$40,$I46=Tab_sel!$P$61,$H46=Tab_sel!$B$81),1,"")</f>
        <v>#N/A</v>
      </c>
      <c r="BZ46" s="857" t="e">
        <f>IF(AND($BC46=0,$C46=Tab_sel!$P$7,$D46=Tab_sel!$O$24,$E46=Tab_sel!$N$31,$F46=Tab_sel!$N$40,$I46=Tab_sel!$P$61,$H46=Tab_sel!$B$82),1,"")</f>
        <v>#N/A</v>
      </c>
      <c r="CA46" s="359"/>
      <c r="CC46">
        <f t="shared" si="13"/>
        <v>0</v>
      </c>
      <c r="CD46" s="882">
        <f t="shared" si="14"/>
        <v>0</v>
      </c>
      <c r="CE46" s="882">
        <f t="shared" si="15"/>
        <v>0</v>
      </c>
      <c r="CH46" t="s">
        <v>2627</v>
      </c>
    </row>
    <row r="47" spans="2:88" ht="29.25" customHeight="1" x14ac:dyDescent="0.25">
      <c r="B47" s="791" t="s">
        <v>2550</v>
      </c>
      <c r="C47" s="771" t="s">
        <v>75</v>
      </c>
      <c r="D47" s="772" t="s">
        <v>34</v>
      </c>
      <c r="E47" s="771" t="str">
        <f>Fic</f>
        <v xml:space="preserve">Fichier ou base de données </v>
      </c>
      <c r="F47" s="768" t="str">
        <f t="shared" si="22"/>
        <v>Divulgation de données</v>
      </c>
      <c r="G47" s="909" t="s">
        <v>2564</v>
      </c>
      <c r="H47" s="864" t="s">
        <v>2346</v>
      </c>
      <c r="I47" s="771" t="s">
        <v>1202</v>
      </c>
      <c r="J47" s="769"/>
      <c r="K47" s="778" t="s">
        <v>2573</v>
      </c>
      <c r="L47" s="778"/>
      <c r="M47" s="824"/>
      <c r="N47" s="767"/>
      <c r="O47" s="767"/>
      <c r="P47" s="772"/>
      <c r="Q47" s="803"/>
      <c r="R47" s="803"/>
      <c r="S47" s="804"/>
      <c r="T47" s="772"/>
      <c r="U47" s="772"/>
      <c r="V47" s="805"/>
      <c r="W47" s="767"/>
      <c r="X47" s="767"/>
      <c r="Y47" s="772"/>
      <c r="Z47" s="772"/>
      <c r="AA47" s="772"/>
      <c r="AB47" s="805"/>
      <c r="AC47" s="806"/>
      <c r="AD47" s="806"/>
      <c r="AE47" s="806"/>
      <c r="AF47" s="806"/>
      <c r="AG47" s="806"/>
      <c r="AH47" s="805"/>
      <c r="AI47" s="807" t="str">
        <f t="shared" si="2"/>
        <v/>
      </c>
      <c r="AJ47" s="805"/>
      <c r="AK47" s="359"/>
      <c r="AM47" t="str">
        <f t="shared" si="9"/>
        <v/>
      </c>
      <c r="AN47">
        <f t="shared" si="10"/>
        <v>0</v>
      </c>
      <c r="AV47" s="860"/>
      <c r="AW47" s="882">
        <f t="shared" si="11"/>
        <v>0</v>
      </c>
      <c r="AX47" s="882">
        <f t="shared" si="19"/>
        <v>1</v>
      </c>
      <c r="AY47" s="882">
        <f t="shared" si="20"/>
        <v>1</v>
      </c>
      <c r="AZ47" s="927">
        <f t="shared" si="7"/>
        <v>1</v>
      </c>
      <c r="BA47" s="882">
        <v>0</v>
      </c>
      <c r="BB47" s="925">
        <f t="shared" si="12"/>
        <v>0</v>
      </c>
      <c r="BC47" s="882">
        <f t="shared" si="21"/>
        <v>1</v>
      </c>
      <c r="BD47" s="342" t="e">
        <f>IF(AND($BC47=0,C47=Tab_sel!$P$7,$D47=Tab_sel!$O$24,$E47=Tab_sel!$B$31),1,"")</f>
        <v>#N/A</v>
      </c>
      <c r="BE47" s="322" t="e">
        <f>IF(AND($BC47=0,C47=Tab_sel!$P$7,$D47=Tab_sel!$O$24,$E47=Tab_sel!$B$32),1,"")</f>
        <v>#N/A</v>
      </c>
      <c r="BF47" s="322" t="e">
        <f>IF(AND($BC47=0,C47=Tab_sel!$P$7,$D47=Tab_sel!$O$24,$E47=Tab_sel!$B$33),1,"")</f>
        <v>#N/A</v>
      </c>
      <c r="BG47" s="322" t="e">
        <f>IF(AND($BC47=0,C47=Tab_sel!$P$7,$D47=Tab_sel!$O$24,$E47=Tab_sel!$B$34),1,"")</f>
        <v>#N/A</v>
      </c>
      <c r="BH47" s="322" t="e">
        <f>IF(AND($BC47=0,C47=Tab_sel!$P$7,$D47=Tab_sel!$O$24,$E47=Tab_sel!$B$35),1,"")</f>
        <v>#N/A</v>
      </c>
      <c r="BI47" s="343" t="e">
        <f>IF(AND($BC47=0,C47=Tab_sel!$P$7,$D47=Tab_sel!$O$24,$E47=Tab_sel!$B$36),1,"")</f>
        <v>#N/A</v>
      </c>
      <c r="BJ47" s="342" t="e">
        <f>IF(AND($BC47=0,$C47=Tab_sel!$P$7,$D47=Tab_sel!$O$24,$E47=Tab_sel!$N$31,$F47=Tab_sel!$B$40),1,"")</f>
        <v>#N/A</v>
      </c>
      <c r="BK47" s="322" t="e">
        <f>IF(AND($BC47=0,$C47=Tab_sel!$P$7,$D47=Tab_sel!$O$24,$E47=Tab_sel!$N$31,$F47=Tab_sel!$B$41),1,"")</f>
        <v>#N/A</v>
      </c>
      <c r="BL47" s="322" t="e">
        <f>IF(AND($BC47=0,$C47=Tab_sel!$P$7,$D47=Tab_sel!$O$24,$E47=Tab_sel!$N$31,$F47=Tab_sel!$B$42),1,"")</f>
        <v>#N/A</v>
      </c>
      <c r="BM47" s="322" t="e">
        <f>IF(AND($BC47=0,$C47=Tab_sel!$P$7,$D47=Tab_sel!$O$24,$E47=Tab_sel!$N$31,$F47=Tab_sel!$B$43),1,"")</f>
        <v>#N/A</v>
      </c>
      <c r="BN47" s="322" t="e">
        <f>IF(AND($BC47=0,$C47=Tab_sel!$P$7,$D47=Tab_sel!$O$24,$E47=Tab_sel!$N$31,$F47=Tab_sel!$B$44),1,"")</f>
        <v>#N/A</v>
      </c>
      <c r="BO47" s="343" t="e">
        <f>IF(AND($BC47=0,$C47=Tab_sel!$P$7,$D47=Tab_sel!$O$24,$E47=Tab_sel!$N$31,$F47=Tab_sel!$B$45),1,"")</f>
        <v>#N/A</v>
      </c>
      <c r="BP47" s="354" t="e">
        <f>IF(AND($BC47=0,$C47=Tab_sel!$P$7,$D47=Tab_sel!$O$24,$E47=Tab_sel!$N$31,$F47=Tab_sel!$N$40,$I47=Tab_sel!$B$61),1,"")</f>
        <v>#N/A</v>
      </c>
      <c r="BQ47" s="355" t="e">
        <f>IF(AND($BC47=0,$C47=Tab_sel!$P$7,$D47=Tab_sel!$O$24,$E47=Tab_sel!$N$31,$F47=Tab_sel!$N$40,$I47=Tab_sel!$B$62),1,"")</f>
        <v>#N/A</v>
      </c>
      <c r="BR47" s="355" t="e">
        <f>IF(AND($BC47=0,$C47=Tab_sel!$P$7,$D47=Tab_sel!$O$24,$E47=Tab_sel!$N$31,$F47=Tab_sel!$N$40,$I47=Tab_sel!$B$63),1,"")</f>
        <v>#N/A</v>
      </c>
      <c r="BS47" s="355" t="e">
        <f>IF(AND($BC47=0,$C47=Tab_sel!$P$7,$D47=Tab_sel!$O$24,$E47=Tab_sel!$N$31,$F47=Tab_sel!$N$40,$I47=Tab_sel!$B$64),1,"")</f>
        <v>#N/A</v>
      </c>
      <c r="BT47" s="356" t="e">
        <f>IF(AND($BC47=0,$C47=Tab_sel!$P$7,$D47=Tab_sel!$O$24,$E47=Tab_sel!$N$31,$F47=Tab_sel!$N$40,$I47=Tab_sel!$B$65),1,"")</f>
        <v>#N/A</v>
      </c>
      <c r="BU47" s="856" t="e">
        <f>IF(AND($BC47=0,$C47=Tab_sel!$P$7,$D47=Tab_sel!$O$24,$E47=Tab_sel!$N$31,$F47=Tab_sel!$N$40,$I47=Tab_sel!$P$61,$H47=Tab_sel!$B$77),1,"")</f>
        <v>#N/A</v>
      </c>
      <c r="BV47" s="883" t="e">
        <f>IF(AND($BC47=0,$C47=Tab_sel!$P$7,$D47=Tab_sel!$O$24,$E47=Tab_sel!$N$31,$F47=Tab_sel!$N$40,$I47=Tab_sel!$P$61,$H47=Tab_sel!$B$78),1,"")</f>
        <v>#N/A</v>
      </c>
      <c r="BW47" s="883" t="e">
        <f>IF(AND($BC47=0,$C47=Tab_sel!$P$7,$D47=Tab_sel!$O$24,$E47=Tab_sel!$N$31,$F47=Tab_sel!$N$40,$I47=Tab_sel!$P$61,$H47=Tab_sel!$B$79),1,"")</f>
        <v>#N/A</v>
      </c>
      <c r="BX47" s="883" t="e">
        <f>IF(AND($BC47=0,$C47=Tab_sel!$P$7,$D47=Tab_sel!$O$24,$E47=Tab_sel!$N$31,$F47=Tab_sel!$N$40,$I47=Tab_sel!$P$61,$H47=Tab_sel!$B$80),1,"")</f>
        <v>#N/A</v>
      </c>
      <c r="BY47" s="883" t="e">
        <f>IF(AND($BC47=0,$C47=Tab_sel!$P$7,$D47=Tab_sel!$O$24,$E47=Tab_sel!$N$31,$F47=Tab_sel!$N$40,$I47=Tab_sel!$P$61,$H47=Tab_sel!$B$81),1,"")</f>
        <v>#N/A</v>
      </c>
      <c r="BZ47" s="857" t="e">
        <f>IF(AND($BC47=0,$C47=Tab_sel!$P$7,$D47=Tab_sel!$O$24,$E47=Tab_sel!$N$31,$F47=Tab_sel!$N$40,$I47=Tab_sel!$P$61,$H47=Tab_sel!$B$82),1,"")</f>
        <v>#N/A</v>
      </c>
      <c r="CA47" s="359"/>
      <c r="CC47">
        <f t="shared" si="13"/>
        <v>0</v>
      </c>
      <c r="CD47" s="882">
        <f t="shared" si="14"/>
        <v>0</v>
      </c>
      <c r="CE47" s="882">
        <f t="shared" si="15"/>
        <v>0</v>
      </c>
      <c r="CH47" t="s">
        <v>2628</v>
      </c>
    </row>
    <row r="48" spans="2:88" ht="29.25" customHeight="1" x14ac:dyDescent="0.25">
      <c r="B48" s="791" t="s">
        <v>1968</v>
      </c>
      <c r="C48" s="771" t="s">
        <v>75</v>
      </c>
      <c r="D48" s="772" t="s">
        <v>34</v>
      </c>
      <c r="E48" s="771" t="str">
        <f>Det</f>
        <v>Données en transit</v>
      </c>
      <c r="F48" s="768" t="str">
        <f t="shared" si="22"/>
        <v>Divulgation de données</v>
      </c>
      <c r="G48" s="768" t="s">
        <v>2593</v>
      </c>
      <c r="H48" s="768"/>
      <c r="I48" s="771" t="s">
        <v>1211</v>
      </c>
      <c r="J48" s="769"/>
      <c r="K48" s="769" t="s">
        <v>1321</v>
      </c>
      <c r="L48" s="769"/>
      <c r="M48" s="792"/>
      <c r="N48" s="767"/>
      <c r="O48" s="767"/>
      <c r="P48" s="772"/>
      <c r="Q48" s="803"/>
      <c r="R48" s="803"/>
      <c r="S48" s="804"/>
      <c r="T48" s="772"/>
      <c r="U48" s="772"/>
      <c r="V48" s="805"/>
      <c r="W48" s="767"/>
      <c r="X48" s="767"/>
      <c r="Y48" s="772"/>
      <c r="Z48" s="772"/>
      <c r="AA48" s="772"/>
      <c r="AB48" s="805"/>
      <c r="AC48" s="806"/>
      <c r="AD48" s="806"/>
      <c r="AE48" s="806"/>
      <c r="AF48" s="806"/>
      <c r="AG48" s="806"/>
      <c r="AH48" s="805"/>
      <c r="AI48" s="807" t="str">
        <f t="shared" si="2"/>
        <v/>
      </c>
      <c r="AJ48" s="805"/>
      <c r="AK48" s="359"/>
      <c r="AM48" t="str">
        <f t="shared" si="9"/>
        <v/>
      </c>
      <c r="AN48">
        <f t="shared" si="10"/>
        <v>0</v>
      </c>
      <c r="AW48" s="882">
        <f t="shared" si="11"/>
        <v>0</v>
      </c>
      <c r="AX48" s="882">
        <f t="shared" si="19"/>
        <v>1</v>
      </c>
      <c r="AY48" s="882">
        <f t="shared" si="20"/>
        <v>1</v>
      </c>
      <c r="AZ48" s="927">
        <f t="shared" si="7"/>
        <v>1</v>
      </c>
      <c r="BA48" s="882">
        <v>1</v>
      </c>
      <c r="BB48" s="925">
        <f t="shared" si="12"/>
        <v>0</v>
      </c>
      <c r="BC48" s="882">
        <f t="shared" si="21"/>
        <v>1</v>
      </c>
      <c r="BD48" s="342" t="e">
        <f>IF(AND($BC48=0,C48=Tab_sel!$P$7,$D48=Tab_sel!$O$24,$E48=Tab_sel!$B$31),1,"")</f>
        <v>#N/A</v>
      </c>
      <c r="BE48" s="322" t="e">
        <f>IF(AND($BC48=0,C48=Tab_sel!$P$7,$D48=Tab_sel!$O$24,$E48=Tab_sel!$B$32),1,"")</f>
        <v>#N/A</v>
      </c>
      <c r="BF48" s="322" t="e">
        <f>IF(AND($BC48=0,C48=Tab_sel!$P$7,$D48=Tab_sel!$O$24,$E48=Tab_sel!$B$33),1,"")</f>
        <v>#N/A</v>
      </c>
      <c r="BG48" s="322" t="e">
        <f>IF(AND($BC48=0,C48=Tab_sel!$P$7,$D48=Tab_sel!$O$24,$E48=Tab_sel!$B$34),1,"")</f>
        <v>#N/A</v>
      </c>
      <c r="BH48" s="322" t="e">
        <f>IF(AND($BC48=0,C48=Tab_sel!$P$7,$D48=Tab_sel!$O$24,$E48=Tab_sel!$B$35),1,"")</f>
        <v>#N/A</v>
      </c>
      <c r="BI48" s="343" t="e">
        <f>IF(AND($BC48=0,C48=Tab_sel!$P$7,$D48=Tab_sel!$O$24,$E48=Tab_sel!$B$36),1,"")</f>
        <v>#N/A</v>
      </c>
      <c r="BJ48" s="342" t="e">
        <f>IF(AND($BC48=0,$C48=Tab_sel!$P$7,$D48=Tab_sel!$O$24,$E48=Tab_sel!$N$31,$F48=Tab_sel!$B$40),1,"")</f>
        <v>#N/A</v>
      </c>
      <c r="BK48" s="322" t="e">
        <f>IF(AND($BC48=0,$C48=Tab_sel!$P$7,$D48=Tab_sel!$O$24,$E48=Tab_sel!$N$31,$F48=Tab_sel!$B$41),1,"")</f>
        <v>#N/A</v>
      </c>
      <c r="BL48" s="322" t="e">
        <f>IF(AND($BC48=0,$C48=Tab_sel!$P$7,$D48=Tab_sel!$O$24,$E48=Tab_sel!$N$31,$F48=Tab_sel!$B$42),1,"")</f>
        <v>#N/A</v>
      </c>
      <c r="BM48" s="322" t="e">
        <f>IF(AND($BC48=0,$C48=Tab_sel!$P$7,$D48=Tab_sel!$O$24,$E48=Tab_sel!$N$31,$F48=Tab_sel!$B$43),1,"")</f>
        <v>#N/A</v>
      </c>
      <c r="BN48" s="322" t="e">
        <f>IF(AND($BC48=0,$C48=Tab_sel!$P$7,$D48=Tab_sel!$O$24,$E48=Tab_sel!$N$31,$F48=Tab_sel!$B$44),1,"")</f>
        <v>#N/A</v>
      </c>
      <c r="BO48" s="343" t="e">
        <f>IF(AND($BC48=0,$C48=Tab_sel!$P$7,$D48=Tab_sel!$O$24,$E48=Tab_sel!$N$31,$F48=Tab_sel!$B$45),1,"")</f>
        <v>#N/A</v>
      </c>
      <c r="BP48" s="354" t="e">
        <f>IF(AND($BC48=0,$C48=Tab_sel!$P$7,$D48=Tab_sel!$O$24,$E48=Tab_sel!$N$31,$F48=Tab_sel!$N$40,$I48=Tab_sel!$B$61),1,"")</f>
        <v>#N/A</v>
      </c>
      <c r="BQ48" s="355" t="e">
        <f>IF(AND($BC48=0,$C48=Tab_sel!$P$7,$D48=Tab_sel!$O$24,$E48=Tab_sel!$N$31,$F48=Tab_sel!$N$40,$I48=Tab_sel!$B$62),1,"")</f>
        <v>#N/A</v>
      </c>
      <c r="BR48" s="355" t="e">
        <f>IF(AND($BC48=0,$C48=Tab_sel!$P$7,$D48=Tab_sel!$O$24,$E48=Tab_sel!$N$31,$F48=Tab_sel!$N$40,$I48=Tab_sel!$B$63),1,"")</f>
        <v>#N/A</v>
      </c>
      <c r="BS48" s="355" t="e">
        <f>IF(AND($BC48=0,$C48=Tab_sel!$P$7,$D48=Tab_sel!$O$24,$E48=Tab_sel!$N$31,$F48=Tab_sel!$N$40,$I48=Tab_sel!$B$64),1,"")</f>
        <v>#N/A</v>
      </c>
      <c r="BT48" s="356" t="e">
        <f>IF(AND($BC48=0,$C48=Tab_sel!$P$7,$D48=Tab_sel!$O$24,$E48=Tab_sel!$N$31,$F48=Tab_sel!$N$40,$I48=Tab_sel!$B$65),1,"")</f>
        <v>#N/A</v>
      </c>
      <c r="BU48" s="856" t="e">
        <f>IF(AND($BC48=0,$C48=Tab_sel!$P$7,$D48=Tab_sel!$O$24,$E48=Tab_sel!$N$31,$F48=Tab_sel!$N$40,$I48=Tab_sel!$P$61,$H48=Tab_sel!$B$77),1,"")</f>
        <v>#N/A</v>
      </c>
      <c r="BV48" s="883" t="e">
        <f>IF(AND($BC48=0,$C48=Tab_sel!$P$7,$D48=Tab_sel!$O$24,$E48=Tab_sel!$N$31,$F48=Tab_sel!$N$40,$I48=Tab_sel!$P$61,$H48=Tab_sel!$B$78),1,"")</f>
        <v>#N/A</v>
      </c>
      <c r="BW48" s="883" t="e">
        <f>IF(AND($BC48=0,$C48=Tab_sel!$P$7,$D48=Tab_sel!$O$24,$E48=Tab_sel!$N$31,$F48=Tab_sel!$N$40,$I48=Tab_sel!$P$61,$H48=Tab_sel!$B$79),1,"")</f>
        <v>#N/A</v>
      </c>
      <c r="BX48" s="883" t="e">
        <f>IF(AND($BC48=0,$C48=Tab_sel!$P$7,$D48=Tab_sel!$O$24,$E48=Tab_sel!$N$31,$F48=Tab_sel!$N$40,$I48=Tab_sel!$P$61,$H48=Tab_sel!$B$80),1,"")</f>
        <v>#N/A</v>
      </c>
      <c r="BY48" s="883" t="e">
        <f>IF(AND($BC48=0,$C48=Tab_sel!$P$7,$D48=Tab_sel!$O$24,$E48=Tab_sel!$N$31,$F48=Tab_sel!$N$40,$I48=Tab_sel!$P$61,$H48=Tab_sel!$B$81),1,"")</f>
        <v>#N/A</v>
      </c>
      <c r="BZ48" s="857" t="e">
        <f>IF(AND($BC48=0,$C48=Tab_sel!$P$7,$D48=Tab_sel!$O$24,$E48=Tab_sel!$N$31,$F48=Tab_sel!$N$40,$I48=Tab_sel!$P$61,$H48=Tab_sel!$B$82),1,"")</f>
        <v>#N/A</v>
      </c>
      <c r="CA48" s="359"/>
      <c r="CC48">
        <f t="shared" si="13"/>
        <v>0</v>
      </c>
      <c r="CD48" s="882">
        <f t="shared" si="14"/>
        <v>0</v>
      </c>
      <c r="CE48" s="882">
        <f t="shared" si="15"/>
        <v>0</v>
      </c>
      <c r="CH48" t="s">
        <v>2629</v>
      </c>
    </row>
    <row r="49" spans="2:88" ht="29.25" customHeight="1" x14ac:dyDescent="0.25">
      <c r="B49" s="791" t="s">
        <v>1969</v>
      </c>
      <c r="C49" s="771" t="s">
        <v>75</v>
      </c>
      <c r="D49" s="772" t="s">
        <v>34</v>
      </c>
      <c r="E49" s="771" t="str">
        <f>Det</f>
        <v>Données en transit</v>
      </c>
      <c r="F49" s="768" t="str">
        <f t="shared" si="22"/>
        <v>Divulgation de données</v>
      </c>
      <c r="G49" s="768" t="s">
        <v>1970</v>
      </c>
      <c r="H49" s="768" t="s">
        <v>2352</v>
      </c>
      <c r="I49" s="771" t="s">
        <v>1944</v>
      </c>
      <c r="J49" s="769"/>
      <c r="K49" s="769" t="s">
        <v>2051</v>
      </c>
      <c r="L49" s="769"/>
      <c r="M49" s="792"/>
      <c r="N49" s="767"/>
      <c r="O49" s="767"/>
      <c r="P49" s="772"/>
      <c r="Q49" s="803"/>
      <c r="R49" s="803"/>
      <c r="S49" s="804"/>
      <c r="T49" s="772"/>
      <c r="U49" s="772"/>
      <c r="V49" s="805"/>
      <c r="W49" s="767"/>
      <c r="X49" s="767"/>
      <c r="Y49" s="772"/>
      <c r="Z49" s="772"/>
      <c r="AA49" s="772"/>
      <c r="AB49" s="805"/>
      <c r="AC49" s="806"/>
      <c r="AD49" s="806"/>
      <c r="AE49" s="806"/>
      <c r="AF49" s="806"/>
      <c r="AG49" s="806"/>
      <c r="AH49" s="805"/>
      <c r="AI49" s="807" t="str">
        <f t="shared" si="2"/>
        <v/>
      </c>
      <c r="AJ49" s="805"/>
      <c r="AK49" s="359"/>
      <c r="AM49" t="str">
        <f t="shared" si="9"/>
        <v/>
      </c>
      <c r="AN49">
        <f t="shared" si="10"/>
        <v>0</v>
      </c>
      <c r="AW49" s="882">
        <f t="shared" si="11"/>
        <v>0</v>
      </c>
      <c r="AX49" s="882">
        <f t="shared" si="19"/>
        <v>1</v>
      </c>
      <c r="AY49" s="882">
        <f t="shared" si="20"/>
        <v>1</v>
      </c>
      <c r="AZ49" s="927">
        <f t="shared" si="7"/>
        <v>1</v>
      </c>
      <c r="BA49" s="882">
        <v>1</v>
      </c>
      <c r="BB49" s="925">
        <f t="shared" si="12"/>
        <v>0</v>
      </c>
      <c r="BC49" s="882">
        <f t="shared" si="21"/>
        <v>1</v>
      </c>
      <c r="BD49" s="342" t="e">
        <f>IF(AND($BC49=0,C49=Tab_sel!$P$7,$D49=Tab_sel!$O$24,$E49=Tab_sel!$B$31),1,"")</f>
        <v>#N/A</v>
      </c>
      <c r="BE49" s="322" t="e">
        <f>IF(AND($BC49=0,C49=Tab_sel!$P$7,$D49=Tab_sel!$O$24,$E49=Tab_sel!$B$32),1,"")</f>
        <v>#N/A</v>
      </c>
      <c r="BF49" s="322" t="e">
        <f>IF(AND($BC49=0,C49=Tab_sel!$P$7,$D49=Tab_sel!$O$24,$E49=Tab_sel!$B$33),1,"")</f>
        <v>#N/A</v>
      </c>
      <c r="BG49" s="322" t="e">
        <f>IF(AND($BC49=0,C49=Tab_sel!$P$7,$D49=Tab_sel!$O$24,$E49=Tab_sel!$B$34),1,"")</f>
        <v>#N/A</v>
      </c>
      <c r="BH49" s="322" t="e">
        <f>IF(AND($BC49=0,C49=Tab_sel!$P$7,$D49=Tab_sel!$O$24,$E49=Tab_sel!$B$35),1,"")</f>
        <v>#N/A</v>
      </c>
      <c r="BI49" s="343" t="e">
        <f>IF(AND($BC49=0,C49=Tab_sel!$P$7,$D49=Tab_sel!$O$24,$E49=Tab_sel!$B$36),1,"")</f>
        <v>#N/A</v>
      </c>
      <c r="BJ49" s="342" t="e">
        <f>IF(AND($BC49=0,$C49=Tab_sel!$P$7,$D49=Tab_sel!$O$24,$E49=Tab_sel!$N$31,$F49=Tab_sel!$B$40),1,"")</f>
        <v>#N/A</v>
      </c>
      <c r="BK49" s="322" t="e">
        <f>IF(AND($BC49=0,$C49=Tab_sel!$P$7,$D49=Tab_sel!$O$24,$E49=Tab_sel!$N$31,$F49=Tab_sel!$B$41),1,"")</f>
        <v>#N/A</v>
      </c>
      <c r="BL49" s="322" t="e">
        <f>IF(AND($BC49=0,$C49=Tab_sel!$P$7,$D49=Tab_sel!$O$24,$E49=Tab_sel!$N$31,$F49=Tab_sel!$B$42),1,"")</f>
        <v>#N/A</v>
      </c>
      <c r="BM49" s="322" t="e">
        <f>IF(AND($BC49=0,$C49=Tab_sel!$P$7,$D49=Tab_sel!$O$24,$E49=Tab_sel!$N$31,$F49=Tab_sel!$B$43),1,"")</f>
        <v>#N/A</v>
      </c>
      <c r="BN49" s="322" t="e">
        <f>IF(AND($BC49=0,$C49=Tab_sel!$P$7,$D49=Tab_sel!$O$24,$E49=Tab_sel!$N$31,$F49=Tab_sel!$B$44),1,"")</f>
        <v>#N/A</v>
      </c>
      <c r="BO49" s="343" t="e">
        <f>IF(AND($BC49=0,$C49=Tab_sel!$P$7,$D49=Tab_sel!$O$24,$E49=Tab_sel!$N$31,$F49=Tab_sel!$B$45),1,"")</f>
        <v>#N/A</v>
      </c>
      <c r="BP49" s="354" t="e">
        <f>IF(AND($BC49=0,$C49=Tab_sel!$P$7,$D49=Tab_sel!$O$24,$E49=Tab_sel!$N$31,$F49=Tab_sel!$N$40,$I49=Tab_sel!$B$61),1,"")</f>
        <v>#N/A</v>
      </c>
      <c r="BQ49" s="355" t="e">
        <f>IF(AND($BC49=0,$C49=Tab_sel!$P$7,$D49=Tab_sel!$O$24,$E49=Tab_sel!$N$31,$F49=Tab_sel!$N$40,$I49=Tab_sel!$B$62),1,"")</f>
        <v>#N/A</v>
      </c>
      <c r="BR49" s="355" t="e">
        <f>IF(AND($BC49=0,$C49=Tab_sel!$P$7,$D49=Tab_sel!$O$24,$E49=Tab_sel!$N$31,$F49=Tab_sel!$N$40,$I49=Tab_sel!$B$63),1,"")</f>
        <v>#N/A</v>
      </c>
      <c r="BS49" s="355" t="e">
        <f>IF(AND($BC49=0,$C49=Tab_sel!$P$7,$D49=Tab_sel!$O$24,$E49=Tab_sel!$N$31,$F49=Tab_sel!$N$40,$I49=Tab_sel!$B$64),1,"")</f>
        <v>#N/A</v>
      </c>
      <c r="BT49" s="356" t="e">
        <f>IF(AND($BC49=0,$C49=Tab_sel!$P$7,$D49=Tab_sel!$O$24,$E49=Tab_sel!$N$31,$F49=Tab_sel!$N$40,$I49=Tab_sel!$B$65),1,"")</f>
        <v>#N/A</v>
      </c>
      <c r="BU49" s="856" t="e">
        <f>IF(AND($BC49=0,$C49=Tab_sel!$P$7,$D49=Tab_sel!$O$24,$E49=Tab_sel!$N$31,$F49=Tab_sel!$N$40,$I49=Tab_sel!$P$61,$H49=Tab_sel!$B$77),1,"")</f>
        <v>#N/A</v>
      </c>
      <c r="BV49" s="883" t="e">
        <f>IF(AND($BC49=0,$C49=Tab_sel!$P$7,$D49=Tab_sel!$O$24,$E49=Tab_sel!$N$31,$F49=Tab_sel!$N$40,$I49=Tab_sel!$P$61,$H49=Tab_sel!$B$78),1,"")</f>
        <v>#N/A</v>
      </c>
      <c r="BW49" s="883" t="e">
        <f>IF(AND($BC49=0,$C49=Tab_sel!$P$7,$D49=Tab_sel!$O$24,$E49=Tab_sel!$N$31,$F49=Tab_sel!$N$40,$I49=Tab_sel!$P$61,$H49=Tab_sel!$B$79),1,"")</f>
        <v>#N/A</v>
      </c>
      <c r="BX49" s="883" t="e">
        <f>IF(AND($BC49=0,$C49=Tab_sel!$P$7,$D49=Tab_sel!$O$24,$E49=Tab_sel!$N$31,$F49=Tab_sel!$N$40,$I49=Tab_sel!$P$61,$H49=Tab_sel!$B$80),1,"")</f>
        <v>#N/A</v>
      </c>
      <c r="BY49" s="883" t="e">
        <f>IF(AND($BC49=0,$C49=Tab_sel!$P$7,$D49=Tab_sel!$O$24,$E49=Tab_sel!$N$31,$F49=Tab_sel!$N$40,$I49=Tab_sel!$P$61,$H49=Tab_sel!$B$81),1,"")</f>
        <v>#N/A</v>
      </c>
      <c r="BZ49" s="857" t="e">
        <f>IF(AND($BC49=0,$C49=Tab_sel!$P$7,$D49=Tab_sel!$O$24,$E49=Tab_sel!$N$31,$F49=Tab_sel!$N$40,$I49=Tab_sel!$P$61,$H49=Tab_sel!$B$82),1,"")</f>
        <v>#N/A</v>
      </c>
      <c r="CA49" s="359"/>
      <c r="CC49">
        <f t="shared" si="13"/>
        <v>0</v>
      </c>
      <c r="CD49" s="882">
        <f t="shared" si="14"/>
        <v>0</v>
      </c>
      <c r="CE49" s="882">
        <f t="shared" si="15"/>
        <v>0</v>
      </c>
      <c r="CH49" t="s">
        <v>2703</v>
      </c>
    </row>
    <row r="50" spans="2:88" ht="29.25" customHeight="1" x14ac:dyDescent="0.25">
      <c r="B50" s="791" t="s">
        <v>1971</v>
      </c>
      <c r="C50" s="771" t="s">
        <v>75</v>
      </c>
      <c r="D50" s="772" t="s">
        <v>34</v>
      </c>
      <c r="E50" s="771" t="str">
        <f>Med</f>
        <v>Media support de données</v>
      </c>
      <c r="F50" s="768" t="str">
        <f t="shared" si="22"/>
        <v>Divulgation de données</v>
      </c>
      <c r="G50" s="909" t="s">
        <v>2565</v>
      </c>
      <c r="H50" s="768" t="s">
        <v>2352</v>
      </c>
      <c r="I50" s="771" t="s">
        <v>1204</v>
      </c>
      <c r="J50" s="769" t="s">
        <v>2374</v>
      </c>
      <c r="K50" s="769" t="s">
        <v>2454</v>
      </c>
      <c r="L50" s="769"/>
      <c r="M50" s="795"/>
      <c r="N50" s="767"/>
      <c r="O50" s="767"/>
      <c r="P50" s="772"/>
      <c r="Q50" s="803"/>
      <c r="R50" s="803"/>
      <c r="S50" s="804"/>
      <c r="T50" s="772"/>
      <c r="U50" s="772"/>
      <c r="V50" s="805"/>
      <c r="W50" s="767"/>
      <c r="X50" s="767"/>
      <c r="Y50" s="772"/>
      <c r="Z50" s="772"/>
      <c r="AA50" s="772"/>
      <c r="AB50" s="805"/>
      <c r="AC50" s="806"/>
      <c r="AD50" s="806"/>
      <c r="AE50" s="806"/>
      <c r="AF50" s="806"/>
      <c r="AG50" s="806"/>
      <c r="AH50" s="805"/>
      <c r="AI50" s="807" t="str">
        <f t="shared" si="2"/>
        <v/>
      </c>
      <c r="AJ50" s="805"/>
      <c r="AK50" s="359"/>
      <c r="AM50" t="str">
        <f t="shared" si="9"/>
        <v/>
      </c>
      <c r="AN50">
        <f t="shared" si="10"/>
        <v>0</v>
      </c>
      <c r="AV50" s="758"/>
      <c r="AW50" s="882">
        <f t="shared" si="11"/>
        <v>0</v>
      </c>
      <c r="AX50" s="882">
        <f t="shared" si="19"/>
        <v>1</v>
      </c>
      <c r="AY50" s="882">
        <f t="shared" si="20"/>
        <v>1</v>
      </c>
      <c r="AZ50" s="927">
        <f t="shared" si="7"/>
        <v>1</v>
      </c>
      <c r="BA50" s="882">
        <v>1</v>
      </c>
      <c r="BB50" s="925">
        <f t="shared" si="12"/>
        <v>0</v>
      </c>
      <c r="BC50" s="882">
        <f t="shared" si="21"/>
        <v>1</v>
      </c>
      <c r="BD50" s="342" t="e">
        <f>IF(AND($BC50=0,C50=Tab_sel!$P$7,$D50=Tab_sel!$O$24,$E50=Tab_sel!$B$31),1,"")</f>
        <v>#N/A</v>
      </c>
      <c r="BE50" s="322" t="e">
        <f>IF(AND($BC50=0,C50=Tab_sel!$P$7,$D50=Tab_sel!$O$24,$E50=Tab_sel!$B$32),1,"")</f>
        <v>#N/A</v>
      </c>
      <c r="BF50" s="322" t="e">
        <f>IF(AND($BC50=0,C50=Tab_sel!$P$7,$D50=Tab_sel!$O$24,$E50=Tab_sel!$B$33),1,"")</f>
        <v>#N/A</v>
      </c>
      <c r="BG50" s="322" t="e">
        <f>IF(AND($BC50=0,C50=Tab_sel!$P$7,$D50=Tab_sel!$O$24,$E50=Tab_sel!$B$34),1,"")</f>
        <v>#N/A</v>
      </c>
      <c r="BH50" s="322" t="e">
        <f>IF(AND($BC50=0,C50=Tab_sel!$P$7,$D50=Tab_sel!$O$24,$E50=Tab_sel!$B$35),1,"")</f>
        <v>#N/A</v>
      </c>
      <c r="BI50" s="343" t="e">
        <f>IF(AND($BC50=0,C50=Tab_sel!$P$7,$D50=Tab_sel!$O$24,$E50=Tab_sel!$B$36),1,"")</f>
        <v>#N/A</v>
      </c>
      <c r="BJ50" s="342" t="e">
        <f>IF(AND($BC50=0,$C50=Tab_sel!$P$7,$D50=Tab_sel!$O$24,$E50=Tab_sel!$N$31,$F50=Tab_sel!$B$40),1,"")</f>
        <v>#N/A</v>
      </c>
      <c r="BK50" s="322" t="e">
        <f>IF(AND($BC50=0,$C50=Tab_sel!$P$7,$D50=Tab_sel!$O$24,$E50=Tab_sel!$N$31,$F50=Tab_sel!$B$41),1,"")</f>
        <v>#N/A</v>
      </c>
      <c r="BL50" s="322" t="e">
        <f>IF(AND($BC50=0,$C50=Tab_sel!$P$7,$D50=Tab_sel!$O$24,$E50=Tab_sel!$N$31,$F50=Tab_sel!$B$42),1,"")</f>
        <v>#N/A</v>
      </c>
      <c r="BM50" s="322" t="e">
        <f>IF(AND($BC50=0,$C50=Tab_sel!$P$7,$D50=Tab_sel!$O$24,$E50=Tab_sel!$N$31,$F50=Tab_sel!$B$43),1,"")</f>
        <v>#N/A</v>
      </c>
      <c r="BN50" s="322" t="e">
        <f>IF(AND($BC50=0,$C50=Tab_sel!$P$7,$D50=Tab_sel!$O$24,$E50=Tab_sel!$N$31,$F50=Tab_sel!$B$44),1,"")</f>
        <v>#N/A</v>
      </c>
      <c r="BO50" s="343" t="e">
        <f>IF(AND($BC50=0,$C50=Tab_sel!$P$7,$D50=Tab_sel!$O$24,$E50=Tab_sel!$N$31,$F50=Tab_sel!$B$45),1,"")</f>
        <v>#N/A</v>
      </c>
      <c r="BP50" s="354" t="e">
        <f>IF(AND($BC50=0,$C50=Tab_sel!$P$7,$D50=Tab_sel!$O$24,$E50=Tab_sel!$N$31,$F50=Tab_sel!$N$40,$I50=Tab_sel!$B$61),1,"")</f>
        <v>#N/A</v>
      </c>
      <c r="BQ50" s="355" t="e">
        <f>IF(AND($BC50=0,$C50=Tab_sel!$P$7,$D50=Tab_sel!$O$24,$E50=Tab_sel!$N$31,$F50=Tab_sel!$N$40,$I50=Tab_sel!$B$62),1,"")</f>
        <v>#N/A</v>
      </c>
      <c r="BR50" s="355" t="e">
        <f>IF(AND($BC50=0,$C50=Tab_sel!$P$7,$D50=Tab_sel!$O$24,$E50=Tab_sel!$N$31,$F50=Tab_sel!$N$40,$I50=Tab_sel!$B$63),1,"")</f>
        <v>#N/A</v>
      </c>
      <c r="BS50" s="355" t="e">
        <f>IF(AND($BC50=0,$C50=Tab_sel!$P$7,$D50=Tab_sel!$O$24,$E50=Tab_sel!$N$31,$F50=Tab_sel!$N$40,$I50=Tab_sel!$B$64),1,"")</f>
        <v>#N/A</v>
      </c>
      <c r="BT50" s="356" t="e">
        <f>IF(AND($BC50=0,$C50=Tab_sel!$P$7,$D50=Tab_sel!$O$24,$E50=Tab_sel!$N$31,$F50=Tab_sel!$N$40,$I50=Tab_sel!$B$65),1,"")</f>
        <v>#N/A</v>
      </c>
      <c r="BU50" s="856" t="e">
        <f>IF(AND($BC50=0,$C50=Tab_sel!$P$7,$D50=Tab_sel!$O$24,$E50=Tab_sel!$N$31,$F50=Tab_sel!$N$40,$I50=Tab_sel!$P$61,$H50=Tab_sel!$B$77),1,"")</f>
        <v>#N/A</v>
      </c>
      <c r="BV50" s="883" t="e">
        <f>IF(AND($BC50=0,$C50=Tab_sel!$P$7,$D50=Tab_sel!$O$24,$E50=Tab_sel!$N$31,$F50=Tab_sel!$N$40,$I50=Tab_sel!$P$61,$H50=Tab_sel!$B$78),1,"")</f>
        <v>#N/A</v>
      </c>
      <c r="BW50" s="883" t="e">
        <f>IF(AND($BC50=0,$C50=Tab_sel!$P$7,$D50=Tab_sel!$O$24,$E50=Tab_sel!$N$31,$F50=Tab_sel!$N$40,$I50=Tab_sel!$P$61,$H50=Tab_sel!$B$79),1,"")</f>
        <v>#N/A</v>
      </c>
      <c r="BX50" s="883" t="e">
        <f>IF(AND($BC50=0,$C50=Tab_sel!$P$7,$D50=Tab_sel!$O$24,$E50=Tab_sel!$N$31,$F50=Tab_sel!$N$40,$I50=Tab_sel!$P$61,$H50=Tab_sel!$B$80),1,"")</f>
        <v>#N/A</v>
      </c>
      <c r="BY50" s="883" t="e">
        <f>IF(AND($BC50=0,$C50=Tab_sel!$P$7,$D50=Tab_sel!$O$24,$E50=Tab_sel!$N$31,$F50=Tab_sel!$N$40,$I50=Tab_sel!$P$61,$H50=Tab_sel!$B$81),1,"")</f>
        <v>#N/A</v>
      </c>
      <c r="BZ50" s="857" t="e">
        <f>IF(AND($BC50=0,$C50=Tab_sel!$P$7,$D50=Tab_sel!$O$24,$E50=Tab_sel!$N$31,$F50=Tab_sel!$N$40,$I50=Tab_sel!$P$61,$H50=Tab_sel!$B$82),1,"")</f>
        <v>#N/A</v>
      </c>
      <c r="CA50" s="359"/>
      <c r="CC50">
        <f t="shared" si="13"/>
        <v>0</v>
      </c>
      <c r="CD50" s="882">
        <f t="shared" si="14"/>
        <v>0</v>
      </c>
      <c r="CE50" s="882">
        <f t="shared" si="15"/>
        <v>0</v>
      </c>
      <c r="CG50" t="s">
        <v>2618</v>
      </c>
      <c r="CH50" t="s">
        <v>2630</v>
      </c>
    </row>
    <row r="51" spans="2:88" ht="29.25" customHeight="1" x14ac:dyDescent="0.25">
      <c r="B51" s="791" t="s">
        <v>2347</v>
      </c>
      <c r="C51" s="771" t="s">
        <v>75</v>
      </c>
      <c r="D51" s="772" t="s">
        <v>34</v>
      </c>
      <c r="E51" s="771" t="str">
        <f>Med</f>
        <v>Media support de données</v>
      </c>
      <c r="F51" s="768" t="str">
        <f t="shared" si="22"/>
        <v>Divulgation de données</v>
      </c>
      <c r="G51" s="909" t="s">
        <v>2565</v>
      </c>
      <c r="H51" s="863" t="s">
        <v>2594</v>
      </c>
      <c r="I51" s="771" t="s">
        <v>1204</v>
      </c>
      <c r="J51" s="769" t="s">
        <v>2374</v>
      </c>
      <c r="K51" s="769" t="s">
        <v>1316</v>
      </c>
      <c r="L51" s="769"/>
      <c r="M51" s="795"/>
      <c r="N51" s="767"/>
      <c r="O51" s="767"/>
      <c r="P51" s="772"/>
      <c r="Q51" s="803"/>
      <c r="R51" s="803"/>
      <c r="S51" s="804"/>
      <c r="T51" s="772"/>
      <c r="U51" s="772"/>
      <c r="V51" s="805"/>
      <c r="W51" s="767"/>
      <c r="X51" s="767"/>
      <c r="Y51" s="772"/>
      <c r="Z51" s="772"/>
      <c r="AA51" s="772"/>
      <c r="AB51" s="805"/>
      <c r="AC51" s="806"/>
      <c r="AD51" s="806"/>
      <c r="AE51" s="806"/>
      <c r="AF51" s="806"/>
      <c r="AG51" s="806"/>
      <c r="AH51" s="805"/>
      <c r="AI51" s="807" t="str">
        <f t="shared" si="2"/>
        <v/>
      </c>
      <c r="AJ51" s="805"/>
      <c r="AK51" s="359"/>
      <c r="AM51" t="str">
        <f t="shared" si="9"/>
        <v/>
      </c>
      <c r="AN51">
        <f t="shared" si="10"/>
        <v>0</v>
      </c>
      <c r="AV51" s="860"/>
      <c r="AW51" s="882">
        <f t="shared" si="11"/>
        <v>0</v>
      </c>
      <c r="AX51" s="882">
        <f t="shared" si="19"/>
        <v>1</v>
      </c>
      <c r="AY51" s="882">
        <f t="shared" si="20"/>
        <v>1</v>
      </c>
      <c r="AZ51" s="927">
        <f t="shared" si="7"/>
        <v>1</v>
      </c>
      <c r="BA51" s="882">
        <v>0</v>
      </c>
      <c r="BB51" s="925">
        <f t="shared" si="12"/>
        <v>0</v>
      </c>
      <c r="BC51" s="882">
        <f t="shared" si="21"/>
        <v>1</v>
      </c>
      <c r="BD51" s="342" t="e">
        <f>IF(AND($BC51=0,C51=Tab_sel!$P$7,$D51=Tab_sel!$O$24,$E51=Tab_sel!$B$31),1,"")</f>
        <v>#N/A</v>
      </c>
      <c r="BE51" s="322" t="e">
        <f>IF(AND($BC51=0,C51=Tab_sel!$P$7,$D51=Tab_sel!$O$24,$E51=Tab_sel!$B$32),1,"")</f>
        <v>#N/A</v>
      </c>
      <c r="BF51" s="322" t="e">
        <f>IF(AND($BC51=0,C51=Tab_sel!$P$7,$D51=Tab_sel!$O$24,$E51=Tab_sel!$B$33),1,"")</f>
        <v>#N/A</v>
      </c>
      <c r="BG51" s="322" t="e">
        <f>IF(AND($BC51=0,C51=Tab_sel!$P$7,$D51=Tab_sel!$O$24,$E51=Tab_sel!$B$34),1,"")</f>
        <v>#N/A</v>
      </c>
      <c r="BH51" s="322" t="e">
        <f>IF(AND($BC51=0,C51=Tab_sel!$P$7,$D51=Tab_sel!$O$24,$E51=Tab_sel!$B$35),1,"")</f>
        <v>#N/A</v>
      </c>
      <c r="BI51" s="343" t="e">
        <f>IF(AND($BC51=0,C51=Tab_sel!$P$7,$D51=Tab_sel!$O$24,$E51=Tab_sel!$B$36),1,"")</f>
        <v>#N/A</v>
      </c>
      <c r="BJ51" s="342" t="e">
        <f>IF(AND($BC51=0,$C51=Tab_sel!$P$7,$D51=Tab_sel!$O$24,$E51=Tab_sel!$N$31,$F51=Tab_sel!$B$40),1,"")</f>
        <v>#N/A</v>
      </c>
      <c r="BK51" s="322" t="e">
        <f>IF(AND($BC51=0,$C51=Tab_sel!$P$7,$D51=Tab_sel!$O$24,$E51=Tab_sel!$N$31,$F51=Tab_sel!$B$41),1,"")</f>
        <v>#N/A</v>
      </c>
      <c r="BL51" s="322" t="e">
        <f>IF(AND($BC51=0,$C51=Tab_sel!$P$7,$D51=Tab_sel!$O$24,$E51=Tab_sel!$N$31,$F51=Tab_sel!$B$42),1,"")</f>
        <v>#N/A</v>
      </c>
      <c r="BM51" s="322" t="e">
        <f>IF(AND($BC51=0,$C51=Tab_sel!$P$7,$D51=Tab_sel!$O$24,$E51=Tab_sel!$N$31,$F51=Tab_sel!$B$43),1,"")</f>
        <v>#N/A</v>
      </c>
      <c r="BN51" s="322" t="e">
        <f>IF(AND($BC51=0,$C51=Tab_sel!$P$7,$D51=Tab_sel!$O$24,$E51=Tab_sel!$N$31,$F51=Tab_sel!$B$44),1,"")</f>
        <v>#N/A</v>
      </c>
      <c r="BO51" s="343" t="e">
        <f>IF(AND($BC51=0,$C51=Tab_sel!$P$7,$D51=Tab_sel!$O$24,$E51=Tab_sel!$N$31,$F51=Tab_sel!$B$45),1,"")</f>
        <v>#N/A</v>
      </c>
      <c r="BP51" s="354" t="e">
        <f>IF(AND($BC51=0,$C51=Tab_sel!$P$7,$D51=Tab_sel!$O$24,$E51=Tab_sel!$N$31,$F51=Tab_sel!$N$40,$I51=Tab_sel!$B$61),1,"")</f>
        <v>#N/A</v>
      </c>
      <c r="BQ51" s="355" t="e">
        <f>IF(AND($BC51=0,$C51=Tab_sel!$P$7,$D51=Tab_sel!$O$24,$E51=Tab_sel!$N$31,$F51=Tab_sel!$N$40,$I51=Tab_sel!$B$62),1,"")</f>
        <v>#N/A</v>
      </c>
      <c r="BR51" s="355" t="e">
        <f>IF(AND($BC51=0,$C51=Tab_sel!$P$7,$D51=Tab_sel!$O$24,$E51=Tab_sel!$N$31,$F51=Tab_sel!$N$40,$I51=Tab_sel!$B$63),1,"")</f>
        <v>#N/A</v>
      </c>
      <c r="BS51" s="355" t="e">
        <f>IF(AND($BC51=0,$C51=Tab_sel!$P$7,$D51=Tab_sel!$O$24,$E51=Tab_sel!$N$31,$F51=Tab_sel!$N$40,$I51=Tab_sel!$B$64),1,"")</f>
        <v>#N/A</v>
      </c>
      <c r="BT51" s="356" t="e">
        <f>IF(AND($BC51=0,$C51=Tab_sel!$P$7,$D51=Tab_sel!$O$24,$E51=Tab_sel!$N$31,$F51=Tab_sel!$N$40,$I51=Tab_sel!$B$65),1,"")</f>
        <v>#N/A</v>
      </c>
      <c r="BU51" s="856" t="e">
        <f>IF(AND($BC51=0,$C51=Tab_sel!$P$7,$D51=Tab_sel!$O$24,$E51=Tab_sel!$N$31,$F51=Tab_sel!$N$40,$I51=Tab_sel!$P$61,$H51=Tab_sel!$B$77),1,"")</f>
        <v>#N/A</v>
      </c>
      <c r="BV51" s="883" t="e">
        <f>IF(AND($BC51=0,$C51=Tab_sel!$P$7,$D51=Tab_sel!$O$24,$E51=Tab_sel!$N$31,$F51=Tab_sel!$N$40,$I51=Tab_sel!$P$61,$H51=Tab_sel!$B$78),1,"")</f>
        <v>#N/A</v>
      </c>
      <c r="BW51" s="883" t="e">
        <f>IF(AND($BC51=0,$C51=Tab_sel!$P$7,$D51=Tab_sel!$O$24,$E51=Tab_sel!$N$31,$F51=Tab_sel!$N$40,$I51=Tab_sel!$P$61,$H51=Tab_sel!$B$79),1,"")</f>
        <v>#N/A</v>
      </c>
      <c r="BX51" s="883" t="e">
        <f>IF(AND($BC51=0,$C51=Tab_sel!$P$7,$D51=Tab_sel!$O$24,$E51=Tab_sel!$N$31,$F51=Tab_sel!$N$40,$I51=Tab_sel!$P$61,$H51=Tab_sel!$B$80),1,"")</f>
        <v>#N/A</v>
      </c>
      <c r="BY51" s="883" t="e">
        <f>IF(AND($BC51=0,$C51=Tab_sel!$P$7,$D51=Tab_sel!$O$24,$E51=Tab_sel!$N$31,$F51=Tab_sel!$N$40,$I51=Tab_sel!$P$61,$H51=Tab_sel!$B$81),1,"")</f>
        <v>#N/A</v>
      </c>
      <c r="BZ51" s="857" t="e">
        <f>IF(AND($BC51=0,$C51=Tab_sel!$P$7,$D51=Tab_sel!$O$24,$E51=Tab_sel!$N$31,$F51=Tab_sel!$N$40,$I51=Tab_sel!$P$61,$H51=Tab_sel!$B$82),1,"")</f>
        <v>#N/A</v>
      </c>
      <c r="CA51" s="359"/>
      <c r="CC51">
        <f t="shared" si="13"/>
        <v>0</v>
      </c>
      <c r="CD51" s="882">
        <f t="shared" si="14"/>
        <v>0</v>
      </c>
      <c r="CE51" s="882">
        <f t="shared" si="15"/>
        <v>0</v>
      </c>
      <c r="CG51" t="s">
        <v>2618</v>
      </c>
      <c r="CH51" t="s">
        <v>2631</v>
      </c>
    </row>
    <row r="52" spans="2:88" ht="29.25" customHeight="1" x14ac:dyDescent="0.25">
      <c r="B52" s="791" t="s">
        <v>2348</v>
      </c>
      <c r="C52" s="771" t="s">
        <v>75</v>
      </c>
      <c r="D52" s="772" t="s">
        <v>34</v>
      </c>
      <c r="E52" s="771" t="str">
        <f>Med</f>
        <v>Media support de données</v>
      </c>
      <c r="F52" s="768" t="str">
        <f t="shared" si="22"/>
        <v>Divulgation de données</v>
      </c>
      <c r="G52" s="909" t="s">
        <v>2565</v>
      </c>
      <c r="H52" s="863" t="s">
        <v>2349</v>
      </c>
      <c r="I52" s="771" t="s">
        <v>1204</v>
      </c>
      <c r="J52" s="769"/>
      <c r="K52" s="769" t="s">
        <v>2454</v>
      </c>
      <c r="L52" s="769"/>
      <c r="M52" s="795"/>
      <c r="N52" s="767"/>
      <c r="O52" s="767"/>
      <c r="P52" s="772"/>
      <c r="Q52" s="803"/>
      <c r="R52" s="803"/>
      <c r="S52" s="804"/>
      <c r="T52" s="772"/>
      <c r="U52" s="772"/>
      <c r="V52" s="805"/>
      <c r="W52" s="767"/>
      <c r="X52" s="767"/>
      <c r="Y52" s="772"/>
      <c r="Z52" s="772"/>
      <c r="AA52" s="772"/>
      <c r="AB52" s="805"/>
      <c r="AC52" s="806"/>
      <c r="AD52" s="806"/>
      <c r="AE52" s="806"/>
      <c r="AF52" s="806"/>
      <c r="AG52" s="806"/>
      <c r="AH52" s="805"/>
      <c r="AI52" s="807" t="str">
        <f t="shared" si="2"/>
        <v/>
      </c>
      <c r="AJ52" s="805"/>
      <c r="AK52" s="359"/>
      <c r="AM52" t="str">
        <f t="shared" si="9"/>
        <v/>
      </c>
      <c r="AN52">
        <f t="shared" si="10"/>
        <v>0</v>
      </c>
      <c r="AV52" s="860"/>
      <c r="AW52" s="882">
        <f t="shared" si="11"/>
        <v>0</v>
      </c>
      <c r="AX52" s="882">
        <f t="shared" si="19"/>
        <v>1</v>
      </c>
      <c r="AY52" s="882">
        <f t="shared" si="20"/>
        <v>1</v>
      </c>
      <c r="AZ52" s="927">
        <f t="shared" si="7"/>
        <v>1</v>
      </c>
      <c r="BA52" s="882">
        <v>0</v>
      </c>
      <c r="BB52" s="925">
        <f t="shared" si="12"/>
        <v>0</v>
      </c>
      <c r="BC52" s="882">
        <f t="shared" si="21"/>
        <v>1</v>
      </c>
      <c r="BD52" s="342" t="e">
        <f>IF(AND($BC52=0,C52=Tab_sel!$P$7,$D52=Tab_sel!$O$24,$E52=Tab_sel!$B$31),1,"")</f>
        <v>#N/A</v>
      </c>
      <c r="BE52" s="322" t="e">
        <f>IF(AND($BC52=0,C52=Tab_sel!$P$7,$D52=Tab_sel!$O$24,$E52=Tab_sel!$B$32),1,"")</f>
        <v>#N/A</v>
      </c>
      <c r="BF52" s="322" t="e">
        <f>IF(AND($BC52=0,C52=Tab_sel!$P$7,$D52=Tab_sel!$O$24,$E52=Tab_sel!$B$33),1,"")</f>
        <v>#N/A</v>
      </c>
      <c r="BG52" s="322" t="e">
        <f>IF(AND($BC52=0,C52=Tab_sel!$P$7,$D52=Tab_sel!$O$24,$E52=Tab_sel!$B$34),1,"")</f>
        <v>#N/A</v>
      </c>
      <c r="BH52" s="322" t="e">
        <f>IF(AND($BC52=0,C52=Tab_sel!$P$7,$D52=Tab_sel!$O$24,$E52=Tab_sel!$B$35),1,"")</f>
        <v>#N/A</v>
      </c>
      <c r="BI52" s="343" t="e">
        <f>IF(AND($BC52=0,C52=Tab_sel!$P$7,$D52=Tab_sel!$O$24,$E52=Tab_sel!$B$36),1,"")</f>
        <v>#N/A</v>
      </c>
      <c r="BJ52" s="342" t="e">
        <f>IF(AND($BC52=0,$C52=Tab_sel!$P$7,$D52=Tab_sel!$O$24,$E52=Tab_sel!$N$31,$F52=Tab_sel!$B$40),1,"")</f>
        <v>#N/A</v>
      </c>
      <c r="BK52" s="322" t="e">
        <f>IF(AND($BC52=0,$C52=Tab_sel!$P$7,$D52=Tab_sel!$O$24,$E52=Tab_sel!$N$31,$F52=Tab_sel!$B$41),1,"")</f>
        <v>#N/A</v>
      </c>
      <c r="BL52" s="322" t="e">
        <f>IF(AND($BC52=0,$C52=Tab_sel!$P$7,$D52=Tab_sel!$O$24,$E52=Tab_sel!$N$31,$F52=Tab_sel!$B$42),1,"")</f>
        <v>#N/A</v>
      </c>
      <c r="BM52" s="322" t="e">
        <f>IF(AND($BC52=0,$C52=Tab_sel!$P$7,$D52=Tab_sel!$O$24,$E52=Tab_sel!$N$31,$F52=Tab_sel!$B$43),1,"")</f>
        <v>#N/A</v>
      </c>
      <c r="BN52" s="322" t="e">
        <f>IF(AND($BC52=0,$C52=Tab_sel!$P$7,$D52=Tab_sel!$O$24,$E52=Tab_sel!$N$31,$F52=Tab_sel!$B$44),1,"")</f>
        <v>#N/A</v>
      </c>
      <c r="BO52" s="343" t="e">
        <f>IF(AND($BC52=0,$C52=Tab_sel!$P$7,$D52=Tab_sel!$O$24,$E52=Tab_sel!$N$31,$F52=Tab_sel!$B$45),1,"")</f>
        <v>#N/A</v>
      </c>
      <c r="BP52" s="354" t="e">
        <f>IF(AND($BC52=0,$C52=Tab_sel!$P$7,$D52=Tab_sel!$O$24,$E52=Tab_sel!$N$31,$F52=Tab_sel!$N$40,$I52=Tab_sel!$B$61),1,"")</f>
        <v>#N/A</v>
      </c>
      <c r="BQ52" s="355" t="e">
        <f>IF(AND($BC52=0,$C52=Tab_sel!$P$7,$D52=Tab_sel!$O$24,$E52=Tab_sel!$N$31,$F52=Tab_sel!$N$40,$I52=Tab_sel!$B$62),1,"")</f>
        <v>#N/A</v>
      </c>
      <c r="BR52" s="355" t="e">
        <f>IF(AND($BC52=0,$C52=Tab_sel!$P$7,$D52=Tab_sel!$O$24,$E52=Tab_sel!$N$31,$F52=Tab_sel!$N$40,$I52=Tab_sel!$B$63),1,"")</f>
        <v>#N/A</v>
      </c>
      <c r="BS52" s="355" t="e">
        <f>IF(AND($BC52=0,$C52=Tab_sel!$P$7,$D52=Tab_sel!$O$24,$E52=Tab_sel!$N$31,$F52=Tab_sel!$N$40,$I52=Tab_sel!$B$64),1,"")</f>
        <v>#N/A</v>
      </c>
      <c r="BT52" s="356" t="e">
        <f>IF(AND($BC52=0,$C52=Tab_sel!$P$7,$D52=Tab_sel!$O$24,$E52=Tab_sel!$N$31,$F52=Tab_sel!$N$40,$I52=Tab_sel!$B$65),1,"")</f>
        <v>#N/A</v>
      </c>
      <c r="BU52" s="856" t="e">
        <f>IF(AND($BC52=0,$C52=Tab_sel!$P$7,$D52=Tab_sel!$O$24,$E52=Tab_sel!$N$31,$F52=Tab_sel!$N$40,$I52=Tab_sel!$P$61,$H52=Tab_sel!$B$77),1,"")</f>
        <v>#N/A</v>
      </c>
      <c r="BV52" s="883" t="e">
        <f>IF(AND($BC52=0,$C52=Tab_sel!$P$7,$D52=Tab_sel!$O$24,$E52=Tab_sel!$N$31,$F52=Tab_sel!$N$40,$I52=Tab_sel!$P$61,$H52=Tab_sel!$B$78),1,"")</f>
        <v>#N/A</v>
      </c>
      <c r="BW52" s="883" t="e">
        <f>IF(AND($BC52=0,$C52=Tab_sel!$P$7,$D52=Tab_sel!$O$24,$E52=Tab_sel!$N$31,$F52=Tab_sel!$N$40,$I52=Tab_sel!$P$61,$H52=Tab_sel!$B$79),1,"")</f>
        <v>#N/A</v>
      </c>
      <c r="BX52" s="883" t="e">
        <f>IF(AND($BC52=0,$C52=Tab_sel!$P$7,$D52=Tab_sel!$O$24,$E52=Tab_sel!$N$31,$F52=Tab_sel!$N$40,$I52=Tab_sel!$P$61,$H52=Tab_sel!$B$80),1,"")</f>
        <v>#N/A</v>
      </c>
      <c r="BY52" s="883" t="e">
        <f>IF(AND($BC52=0,$C52=Tab_sel!$P$7,$D52=Tab_sel!$O$24,$E52=Tab_sel!$N$31,$F52=Tab_sel!$N$40,$I52=Tab_sel!$P$61,$H52=Tab_sel!$B$81),1,"")</f>
        <v>#N/A</v>
      </c>
      <c r="BZ52" s="857" t="e">
        <f>IF(AND($BC52=0,$C52=Tab_sel!$P$7,$D52=Tab_sel!$O$24,$E52=Tab_sel!$N$31,$F52=Tab_sel!$N$40,$I52=Tab_sel!$P$61,$H52=Tab_sel!$B$82),1,"")</f>
        <v>#N/A</v>
      </c>
      <c r="CA52" s="359"/>
      <c r="CC52">
        <f t="shared" si="13"/>
        <v>0</v>
      </c>
      <c r="CD52" s="882">
        <f t="shared" si="14"/>
        <v>0</v>
      </c>
      <c r="CE52" s="882">
        <f t="shared" si="15"/>
        <v>0</v>
      </c>
      <c r="CH52" t="s">
        <v>2630</v>
      </c>
    </row>
    <row r="53" spans="2:88" ht="29.25" customHeight="1" x14ac:dyDescent="0.25">
      <c r="B53" s="791" t="s">
        <v>2258</v>
      </c>
      <c r="C53" s="771" t="s">
        <v>75</v>
      </c>
      <c r="D53" s="772" t="s">
        <v>34</v>
      </c>
      <c r="E53" s="771" t="str">
        <f>Med</f>
        <v>Media support de données</v>
      </c>
      <c r="F53" s="768" t="str">
        <f t="shared" si="22"/>
        <v>Divulgation de données</v>
      </c>
      <c r="G53" s="768" t="s">
        <v>2259</v>
      </c>
      <c r="H53" s="768" t="s">
        <v>2352</v>
      </c>
      <c r="I53" s="771" t="s">
        <v>1171</v>
      </c>
      <c r="J53" s="769"/>
      <c r="K53" s="769" t="s">
        <v>2527</v>
      </c>
      <c r="L53" s="769"/>
      <c r="M53" s="795"/>
      <c r="N53" s="767"/>
      <c r="O53" s="767"/>
      <c r="P53" s="772"/>
      <c r="Q53" s="803"/>
      <c r="R53" s="803"/>
      <c r="S53" s="804"/>
      <c r="T53" s="772"/>
      <c r="U53" s="772"/>
      <c r="V53" s="805"/>
      <c r="W53" s="767"/>
      <c r="X53" s="767"/>
      <c r="Y53" s="772"/>
      <c r="Z53" s="772"/>
      <c r="AA53" s="772"/>
      <c r="AB53" s="805"/>
      <c r="AC53" s="806"/>
      <c r="AD53" s="806"/>
      <c r="AE53" s="806"/>
      <c r="AF53" s="806"/>
      <c r="AG53" s="806"/>
      <c r="AH53" s="805"/>
      <c r="AI53" s="807" t="str">
        <f t="shared" si="2"/>
        <v/>
      </c>
      <c r="AJ53" s="805"/>
      <c r="AK53" s="359"/>
      <c r="AM53" t="str">
        <f t="shared" si="9"/>
        <v/>
      </c>
      <c r="AN53">
        <f t="shared" si="10"/>
        <v>0</v>
      </c>
      <c r="AW53" s="882">
        <f t="shared" si="11"/>
        <v>0</v>
      </c>
      <c r="AX53" s="882">
        <f t="shared" si="19"/>
        <v>1</v>
      </c>
      <c r="AY53" s="882">
        <f t="shared" si="20"/>
        <v>1</v>
      </c>
      <c r="AZ53" s="927">
        <f t="shared" si="7"/>
        <v>1</v>
      </c>
      <c r="BA53" s="882">
        <v>1</v>
      </c>
      <c r="BB53" s="925">
        <f t="shared" si="12"/>
        <v>0</v>
      </c>
      <c r="BC53" s="882">
        <f t="shared" si="21"/>
        <v>1</v>
      </c>
      <c r="BD53" s="342" t="e">
        <f>IF(AND($BC53=0,C53=Tab_sel!$P$7,$D53=Tab_sel!$O$24,$E53=Tab_sel!$B$31),1,"")</f>
        <v>#N/A</v>
      </c>
      <c r="BE53" s="322" t="e">
        <f>IF(AND($BC53=0,C53=Tab_sel!$P$7,$D53=Tab_sel!$O$24,$E53=Tab_sel!$B$32),1,"")</f>
        <v>#N/A</v>
      </c>
      <c r="BF53" s="322" t="e">
        <f>IF(AND($BC53=0,C53=Tab_sel!$P$7,$D53=Tab_sel!$O$24,$E53=Tab_sel!$B$33),1,"")</f>
        <v>#N/A</v>
      </c>
      <c r="BG53" s="322" t="e">
        <f>IF(AND($BC53=0,C53=Tab_sel!$P$7,$D53=Tab_sel!$O$24,$E53=Tab_sel!$B$34),1,"")</f>
        <v>#N/A</v>
      </c>
      <c r="BH53" s="322" t="e">
        <f>IF(AND($BC53=0,C53=Tab_sel!$P$7,$D53=Tab_sel!$O$24,$E53=Tab_sel!$B$35),1,"")</f>
        <v>#N/A</v>
      </c>
      <c r="BI53" s="343" t="e">
        <f>IF(AND($BC53=0,C53=Tab_sel!$P$7,$D53=Tab_sel!$O$24,$E53=Tab_sel!$B$36),1,"")</f>
        <v>#N/A</v>
      </c>
      <c r="BJ53" s="342" t="e">
        <f>IF(AND($BC53=0,$C53=Tab_sel!$P$7,$D53=Tab_sel!$O$24,$E53=Tab_sel!$N$31,$F53=Tab_sel!$B$40),1,"")</f>
        <v>#N/A</v>
      </c>
      <c r="BK53" s="322" t="e">
        <f>IF(AND($BC53=0,$C53=Tab_sel!$P$7,$D53=Tab_sel!$O$24,$E53=Tab_sel!$N$31,$F53=Tab_sel!$B$41),1,"")</f>
        <v>#N/A</v>
      </c>
      <c r="BL53" s="322" t="e">
        <f>IF(AND($BC53=0,$C53=Tab_sel!$P$7,$D53=Tab_sel!$O$24,$E53=Tab_sel!$N$31,$F53=Tab_sel!$B$42),1,"")</f>
        <v>#N/A</v>
      </c>
      <c r="BM53" s="322" t="e">
        <f>IF(AND($BC53=0,$C53=Tab_sel!$P$7,$D53=Tab_sel!$O$24,$E53=Tab_sel!$N$31,$F53=Tab_sel!$B$43),1,"")</f>
        <v>#N/A</v>
      </c>
      <c r="BN53" s="322" t="e">
        <f>IF(AND($BC53=0,$C53=Tab_sel!$P$7,$D53=Tab_sel!$O$24,$E53=Tab_sel!$N$31,$F53=Tab_sel!$B$44),1,"")</f>
        <v>#N/A</v>
      </c>
      <c r="BO53" s="343" t="e">
        <f>IF(AND($BC53=0,$C53=Tab_sel!$P$7,$D53=Tab_sel!$O$24,$E53=Tab_sel!$N$31,$F53=Tab_sel!$B$45),1,"")</f>
        <v>#N/A</v>
      </c>
      <c r="BP53" s="354" t="e">
        <f>IF(AND($BC53=0,$C53=Tab_sel!$P$7,$D53=Tab_sel!$O$24,$E53=Tab_sel!$N$31,$F53=Tab_sel!$N$40,$I53=Tab_sel!$B$61),1,"")</f>
        <v>#N/A</v>
      </c>
      <c r="BQ53" s="355" t="e">
        <f>IF(AND($BC53=0,$C53=Tab_sel!$P$7,$D53=Tab_sel!$O$24,$E53=Tab_sel!$N$31,$F53=Tab_sel!$N$40,$I53=Tab_sel!$B$62),1,"")</f>
        <v>#N/A</v>
      </c>
      <c r="BR53" s="355" t="e">
        <f>IF(AND($BC53=0,$C53=Tab_sel!$P$7,$D53=Tab_sel!$O$24,$E53=Tab_sel!$N$31,$F53=Tab_sel!$N$40,$I53=Tab_sel!$B$63),1,"")</f>
        <v>#N/A</v>
      </c>
      <c r="BS53" s="355" t="e">
        <f>IF(AND($BC53=0,$C53=Tab_sel!$P$7,$D53=Tab_sel!$O$24,$E53=Tab_sel!$N$31,$F53=Tab_sel!$N$40,$I53=Tab_sel!$B$64),1,"")</f>
        <v>#N/A</v>
      </c>
      <c r="BT53" s="356" t="e">
        <f>IF(AND($BC53=0,$C53=Tab_sel!$P$7,$D53=Tab_sel!$O$24,$E53=Tab_sel!$N$31,$F53=Tab_sel!$N$40,$I53=Tab_sel!$B$65),1,"")</f>
        <v>#N/A</v>
      </c>
      <c r="BU53" s="856" t="e">
        <f>IF(AND($BC53=0,$C53=Tab_sel!$P$7,$D53=Tab_sel!$O$24,$E53=Tab_sel!$N$31,$F53=Tab_sel!$N$40,$I53=Tab_sel!$P$61,$H53=Tab_sel!$B$77),1,"")</f>
        <v>#N/A</v>
      </c>
      <c r="BV53" s="883" t="e">
        <f>IF(AND($BC53=0,$C53=Tab_sel!$P$7,$D53=Tab_sel!$O$24,$E53=Tab_sel!$N$31,$F53=Tab_sel!$N$40,$I53=Tab_sel!$P$61,$H53=Tab_sel!$B$78),1,"")</f>
        <v>#N/A</v>
      </c>
      <c r="BW53" s="883" t="e">
        <f>IF(AND($BC53=0,$C53=Tab_sel!$P$7,$D53=Tab_sel!$O$24,$E53=Tab_sel!$N$31,$F53=Tab_sel!$N$40,$I53=Tab_sel!$P$61,$H53=Tab_sel!$B$79),1,"")</f>
        <v>#N/A</v>
      </c>
      <c r="BX53" s="883" t="e">
        <f>IF(AND($BC53=0,$C53=Tab_sel!$P$7,$D53=Tab_sel!$O$24,$E53=Tab_sel!$N$31,$F53=Tab_sel!$N$40,$I53=Tab_sel!$P$61,$H53=Tab_sel!$B$80),1,"")</f>
        <v>#N/A</v>
      </c>
      <c r="BY53" s="883" t="e">
        <f>IF(AND($BC53=0,$C53=Tab_sel!$P$7,$D53=Tab_sel!$O$24,$E53=Tab_sel!$N$31,$F53=Tab_sel!$N$40,$I53=Tab_sel!$P$61,$H53=Tab_sel!$B$81),1,"")</f>
        <v>#N/A</v>
      </c>
      <c r="BZ53" s="857" t="e">
        <f>IF(AND($BC53=0,$C53=Tab_sel!$P$7,$D53=Tab_sel!$O$24,$E53=Tab_sel!$N$31,$F53=Tab_sel!$N$40,$I53=Tab_sel!$P$61,$H53=Tab_sel!$B$82),1,"")</f>
        <v>#N/A</v>
      </c>
      <c r="CA53" s="359"/>
      <c r="CC53">
        <f t="shared" si="13"/>
        <v>0</v>
      </c>
      <c r="CD53" s="882">
        <f t="shared" si="14"/>
        <v>0</v>
      </c>
      <c r="CE53" s="882">
        <f t="shared" si="15"/>
        <v>0</v>
      </c>
      <c r="CH53" t="s">
        <v>2796</v>
      </c>
    </row>
    <row r="54" spans="2:88" x14ac:dyDescent="0.25">
      <c r="B54" s="825" t="s">
        <v>1972</v>
      </c>
      <c r="C54" s="1024" t="str">
        <f>Dbu</f>
        <v>Données bureautiques</v>
      </c>
      <c r="D54" s="1024"/>
      <c r="E54" s="1024"/>
      <c r="F54" s="1024"/>
      <c r="G54" s="1024"/>
      <c r="H54" s="1024"/>
      <c r="I54" s="1024"/>
      <c r="J54" s="1024"/>
      <c r="K54" s="1024"/>
      <c r="L54" s="1024"/>
      <c r="M54" s="1025"/>
      <c r="N54" s="826"/>
      <c r="O54" s="826"/>
      <c r="P54" s="827"/>
      <c r="Q54" s="828"/>
      <c r="R54" s="828"/>
      <c r="S54" s="829"/>
      <c r="T54" s="827"/>
      <c r="U54" s="827"/>
      <c r="V54" s="830"/>
      <c r="W54" s="826"/>
      <c r="X54" s="826"/>
      <c r="Y54" s="827"/>
      <c r="Z54" s="827"/>
      <c r="AA54" s="827"/>
      <c r="AB54" s="830"/>
      <c r="AC54" s="831"/>
      <c r="AD54" s="831"/>
      <c r="AE54" s="831"/>
      <c r="AF54" s="831"/>
      <c r="AG54" s="831"/>
      <c r="AH54" s="830"/>
      <c r="AI54" s="807" t="str">
        <f t="shared" si="2"/>
        <v/>
      </c>
      <c r="AJ54" s="830"/>
      <c r="AK54" s="359"/>
      <c r="AW54" s="882"/>
      <c r="AX54" s="882"/>
      <c r="AY54" s="882"/>
      <c r="AZ54" s="927"/>
      <c r="BA54" s="882"/>
      <c r="BB54" s="925">
        <f t="shared" si="12"/>
        <v>0</v>
      </c>
      <c r="BC54" s="882"/>
      <c r="BD54" s="342"/>
      <c r="BE54" s="322"/>
      <c r="BF54" s="322"/>
      <c r="BG54" s="322"/>
      <c r="BH54" s="322"/>
      <c r="BI54" s="343"/>
      <c r="BJ54" s="342"/>
      <c r="BK54" s="322"/>
      <c r="BL54" s="322"/>
      <c r="BM54" s="322"/>
      <c r="BN54" s="322"/>
      <c r="BO54" s="343"/>
      <c r="BP54" s="354"/>
      <c r="BQ54" s="355"/>
      <c r="BR54" s="355"/>
      <c r="BS54" s="355"/>
      <c r="BT54" s="356"/>
      <c r="BU54" s="856"/>
      <c r="BV54" s="883"/>
      <c r="BW54" s="883"/>
      <c r="BX54" s="883"/>
      <c r="BY54" s="883"/>
      <c r="BZ54" s="857"/>
      <c r="CA54" s="359"/>
      <c r="CC54">
        <f t="shared" si="13"/>
        <v>0</v>
      </c>
      <c r="CD54" s="882">
        <f t="shared" si="14"/>
        <v>0</v>
      </c>
      <c r="CE54" s="882">
        <f t="shared" si="15"/>
        <v>0</v>
      </c>
    </row>
    <row r="55" spans="2:88" ht="33.75" customHeight="1" x14ac:dyDescent="0.25">
      <c r="B55" s="791" t="s">
        <v>1973</v>
      </c>
      <c r="C55" s="771" t="s">
        <v>38</v>
      </c>
      <c r="D55" s="772" t="s">
        <v>76</v>
      </c>
      <c r="E55" s="771" t="str">
        <f t="shared" ref="E55:E63" si="23">Fic</f>
        <v xml:space="preserve">Fichier ou base de données </v>
      </c>
      <c r="F55" s="768" t="str">
        <f t="shared" ref="F55:F61" si="24">Disp</f>
        <v>Disparition</v>
      </c>
      <c r="G55" s="909" t="s">
        <v>2566</v>
      </c>
      <c r="H55" s="768"/>
      <c r="I55" s="771" t="s">
        <v>1197</v>
      </c>
      <c r="J55" s="877" t="s">
        <v>2540</v>
      </c>
      <c r="K55" s="769" t="s">
        <v>2364</v>
      </c>
      <c r="L55" s="769"/>
      <c r="M55" s="788" t="s">
        <v>1259</v>
      </c>
      <c r="N55" s="767"/>
      <c r="O55" s="767"/>
      <c r="P55" s="772"/>
      <c r="Q55" s="803"/>
      <c r="R55" s="803"/>
      <c r="S55" s="804"/>
      <c r="T55" s="772"/>
      <c r="U55" s="772"/>
      <c r="V55" s="805"/>
      <c r="W55" s="767"/>
      <c r="X55" s="767"/>
      <c r="Y55" s="772"/>
      <c r="Z55" s="772"/>
      <c r="AA55" s="772"/>
      <c r="AB55" s="805"/>
      <c r="AC55" s="806"/>
      <c r="AD55" s="806"/>
      <c r="AE55" s="806"/>
      <c r="AF55" s="806"/>
      <c r="AG55" s="806"/>
      <c r="AH55" s="805"/>
      <c r="AI55" s="807" t="str">
        <f t="shared" si="2"/>
        <v/>
      </c>
      <c r="AJ55" s="805"/>
      <c r="AK55" s="359"/>
      <c r="AM55" t="str">
        <f t="shared" si="9"/>
        <v/>
      </c>
      <c r="AN55">
        <f t="shared" si="10"/>
        <v>0</v>
      </c>
      <c r="AW55" s="882">
        <f t="shared" si="11"/>
        <v>0</v>
      </c>
      <c r="AX55" s="882">
        <f t="shared" ref="AX55:AX79" si="25">VLOOKUP(E55,Tab_ActS,2,FALSE)</f>
        <v>1</v>
      </c>
      <c r="AY55" s="882">
        <f t="shared" ref="AY55:AY79" si="26">VLOOKUP(F55,Tab_SDom,3,FALSE)</f>
        <v>1</v>
      </c>
      <c r="AZ55" s="927">
        <f t="shared" ref="AZ55:AZ100" si="27">VLOOKUP($I55,Tabexpo,8,FALSE)</f>
        <v>1</v>
      </c>
      <c r="BA55" s="882">
        <v>1</v>
      </c>
      <c r="BB55" s="925">
        <f t="shared" si="12"/>
        <v>0</v>
      </c>
      <c r="BC55" s="882">
        <f t="shared" ref="BC55:BC79" si="28">IF(IndS=FALSE,IF(BB55=1,0,1),IF(BB55=0,1,AV55))</f>
        <v>1</v>
      </c>
      <c r="BD55" s="342" t="e">
        <f>IF(AND($BC55=0,C55=Tab_sel!$P$7,$D55=Tab_sel!$O$24,$E55=Tab_sel!$B$31),1,"")</f>
        <v>#N/A</v>
      </c>
      <c r="BE55" s="322" t="e">
        <f>IF(AND($BC55=0,C55=Tab_sel!$P$7,$D55=Tab_sel!$O$24,$E55=Tab_sel!$B$32),1,"")</f>
        <v>#N/A</v>
      </c>
      <c r="BF55" s="322" t="e">
        <f>IF(AND($BC55=0,C55=Tab_sel!$P$7,$D55=Tab_sel!$O$24,$E55=Tab_sel!$B$33),1,"")</f>
        <v>#N/A</v>
      </c>
      <c r="BG55" s="322" t="e">
        <f>IF(AND($BC55=0,C55=Tab_sel!$P$7,$D55=Tab_sel!$O$24,$E55=Tab_sel!$B$34),1,"")</f>
        <v>#N/A</v>
      </c>
      <c r="BH55" s="322" t="e">
        <f>IF(AND($BC55=0,C55=Tab_sel!$P$7,$D55=Tab_sel!$O$24,$E55=Tab_sel!$B$35),1,"")</f>
        <v>#N/A</v>
      </c>
      <c r="BI55" s="343" t="e">
        <f>IF(AND($BC55=0,C55=Tab_sel!$P$7,$D55=Tab_sel!$O$24,$E55=Tab_sel!$B$36),1,"")</f>
        <v>#N/A</v>
      </c>
      <c r="BJ55" s="342" t="e">
        <f>IF(AND($BC55=0,$C55=Tab_sel!$P$7,$D55=Tab_sel!$O$24,$E55=Tab_sel!$N$31,$F55=Tab_sel!$B$40),1,"")</f>
        <v>#N/A</v>
      </c>
      <c r="BK55" s="322" t="e">
        <f>IF(AND($BC55=0,$C55=Tab_sel!$P$7,$D55=Tab_sel!$O$24,$E55=Tab_sel!$N$31,$F55=Tab_sel!$B$41),1,"")</f>
        <v>#N/A</v>
      </c>
      <c r="BL55" s="322" t="e">
        <f>IF(AND($BC55=0,$C55=Tab_sel!$P$7,$D55=Tab_sel!$O$24,$E55=Tab_sel!$N$31,$F55=Tab_sel!$B$42),1,"")</f>
        <v>#N/A</v>
      </c>
      <c r="BM55" s="322" t="e">
        <f>IF(AND($BC55=0,$C55=Tab_sel!$P$7,$D55=Tab_sel!$O$24,$E55=Tab_sel!$N$31,$F55=Tab_sel!$B$43),1,"")</f>
        <v>#N/A</v>
      </c>
      <c r="BN55" s="322" t="e">
        <f>IF(AND($BC55=0,$C55=Tab_sel!$P$7,$D55=Tab_sel!$O$24,$E55=Tab_sel!$N$31,$F55=Tab_sel!$B$44),1,"")</f>
        <v>#N/A</v>
      </c>
      <c r="BO55" s="343" t="e">
        <f>IF(AND($BC55=0,$C55=Tab_sel!$P$7,$D55=Tab_sel!$O$24,$E55=Tab_sel!$N$31,$F55=Tab_sel!$B$45),1,"")</f>
        <v>#N/A</v>
      </c>
      <c r="BP55" s="354" t="e">
        <f>IF(AND($BC55=0,$C55=Tab_sel!$P$7,$D55=Tab_sel!$O$24,$E55=Tab_sel!$N$31,$F55=Tab_sel!$N$40,$I55=Tab_sel!$B$61),1,"")</f>
        <v>#N/A</v>
      </c>
      <c r="BQ55" s="355" t="e">
        <f>IF(AND($BC55=0,$C55=Tab_sel!$P$7,$D55=Tab_sel!$O$24,$E55=Tab_sel!$N$31,$F55=Tab_sel!$N$40,$I55=Tab_sel!$B$62),1,"")</f>
        <v>#N/A</v>
      </c>
      <c r="BR55" s="355" t="e">
        <f>IF(AND($BC55=0,$C55=Tab_sel!$P$7,$D55=Tab_sel!$O$24,$E55=Tab_sel!$N$31,$F55=Tab_sel!$N$40,$I55=Tab_sel!$B$63),1,"")</f>
        <v>#N/A</v>
      </c>
      <c r="BS55" s="355" t="e">
        <f>IF(AND($BC55=0,$C55=Tab_sel!$P$7,$D55=Tab_sel!$O$24,$E55=Tab_sel!$N$31,$F55=Tab_sel!$N$40,$I55=Tab_sel!$B$64),1,"")</f>
        <v>#N/A</v>
      </c>
      <c r="BT55" s="356" t="e">
        <f>IF(AND($BC55=0,$C55=Tab_sel!$P$7,$D55=Tab_sel!$O$24,$E55=Tab_sel!$N$31,$F55=Tab_sel!$N$40,$I55=Tab_sel!$B$65),1,"")</f>
        <v>#N/A</v>
      </c>
      <c r="BU55" s="856" t="e">
        <f>IF(AND($BC55=0,$C55=Tab_sel!$P$7,$D55=Tab_sel!$O$24,$E55=Tab_sel!$N$31,$F55=Tab_sel!$N$40,$I55=Tab_sel!$P$61,$H55=Tab_sel!$B$77),1,"")</f>
        <v>#N/A</v>
      </c>
      <c r="BV55" s="883" t="e">
        <f>IF(AND($BC55=0,$C55=Tab_sel!$P$7,$D55=Tab_sel!$O$24,$E55=Tab_sel!$N$31,$F55=Tab_sel!$N$40,$I55=Tab_sel!$P$61,$H55=Tab_sel!$B$78),1,"")</f>
        <v>#N/A</v>
      </c>
      <c r="BW55" s="883" t="e">
        <f>IF(AND($BC55=0,$C55=Tab_sel!$P$7,$D55=Tab_sel!$O$24,$E55=Tab_sel!$N$31,$F55=Tab_sel!$N$40,$I55=Tab_sel!$P$61,$H55=Tab_sel!$B$79),1,"")</f>
        <v>#N/A</v>
      </c>
      <c r="BX55" s="883" t="e">
        <f>IF(AND($BC55=0,$C55=Tab_sel!$P$7,$D55=Tab_sel!$O$24,$E55=Tab_sel!$N$31,$F55=Tab_sel!$N$40,$I55=Tab_sel!$P$61,$H55=Tab_sel!$B$80),1,"")</f>
        <v>#N/A</v>
      </c>
      <c r="BY55" s="883" t="e">
        <f>IF(AND($BC55=0,$C55=Tab_sel!$P$7,$D55=Tab_sel!$O$24,$E55=Tab_sel!$N$31,$F55=Tab_sel!$N$40,$I55=Tab_sel!$P$61,$H55=Tab_sel!$B$81),1,"")</f>
        <v>#N/A</v>
      </c>
      <c r="BZ55" s="857" t="e">
        <f>IF(AND($BC55=0,$C55=Tab_sel!$P$7,$D55=Tab_sel!$O$24,$E55=Tab_sel!$N$31,$F55=Tab_sel!$N$40,$I55=Tab_sel!$P$61,$H55=Tab_sel!$B$82),1,"")</f>
        <v>#N/A</v>
      </c>
      <c r="CA55" s="359"/>
      <c r="CC55">
        <f t="shared" si="13"/>
        <v>0</v>
      </c>
      <c r="CD55" s="882">
        <f t="shared" si="14"/>
        <v>0</v>
      </c>
      <c r="CE55" s="882">
        <f t="shared" si="15"/>
        <v>0</v>
      </c>
      <c r="CG55" t="s">
        <v>2632</v>
      </c>
      <c r="CH55" t="s">
        <v>2633</v>
      </c>
      <c r="CJ55" t="s">
        <v>2611</v>
      </c>
    </row>
    <row r="56" spans="2:88" ht="39.6" x14ac:dyDescent="0.25">
      <c r="B56" s="791" t="s">
        <v>2359</v>
      </c>
      <c r="C56" s="874" t="s">
        <v>38</v>
      </c>
      <c r="D56" s="875" t="s">
        <v>76</v>
      </c>
      <c r="E56" s="771" t="str">
        <f t="shared" si="23"/>
        <v xml:space="preserve">Fichier ou base de données </v>
      </c>
      <c r="F56" s="768" t="str">
        <f t="shared" si="24"/>
        <v>Disparition</v>
      </c>
      <c r="G56" s="909" t="s">
        <v>2566</v>
      </c>
      <c r="H56" s="876" t="s">
        <v>2592</v>
      </c>
      <c r="I56" s="874" t="s">
        <v>1197</v>
      </c>
      <c r="J56" s="877" t="s">
        <v>2537</v>
      </c>
      <c r="K56" s="877"/>
      <c r="L56" s="877"/>
      <c r="M56" s="788" t="s">
        <v>1259</v>
      </c>
      <c r="N56" s="851"/>
      <c r="O56" s="851"/>
      <c r="P56" s="875"/>
      <c r="Q56" s="803"/>
      <c r="R56" s="803"/>
      <c r="S56" s="804"/>
      <c r="T56" s="875"/>
      <c r="U56" s="875"/>
      <c r="V56" s="805"/>
      <c r="W56" s="851"/>
      <c r="X56" s="851"/>
      <c r="Y56" s="875"/>
      <c r="Z56" s="875"/>
      <c r="AA56" s="875"/>
      <c r="AB56" s="805"/>
      <c r="AC56" s="806"/>
      <c r="AD56" s="806"/>
      <c r="AE56" s="806"/>
      <c r="AF56" s="806"/>
      <c r="AG56" s="806"/>
      <c r="AH56" s="805"/>
      <c r="AI56" s="807" t="str">
        <f t="shared" si="2"/>
        <v/>
      </c>
      <c r="AJ56" s="805"/>
      <c r="AK56" s="359"/>
      <c r="AM56" t="str">
        <f t="shared" si="9"/>
        <v/>
      </c>
      <c r="AN56">
        <f t="shared" si="10"/>
        <v>0</v>
      </c>
      <c r="AV56" s="871"/>
      <c r="AW56" s="882">
        <f t="shared" si="11"/>
        <v>0</v>
      </c>
      <c r="AX56" s="882">
        <f t="shared" si="25"/>
        <v>1</v>
      </c>
      <c r="AY56" s="882">
        <f t="shared" si="26"/>
        <v>1</v>
      </c>
      <c r="AZ56" s="927">
        <f t="shared" si="27"/>
        <v>1</v>
      </c>
      <c r="BA56" s="882">
        <v>0</v>
      </c>
      <c r="BB56" s="925">
        <f t="shared" si="12"/>
        <v>0</v>
      </c>
      <c r="BC56" s="882">
        <f t="shared" si="28"/>
        <v>1</v>
      </c>
      <c r="BD56" s="342" t="e">
        <f>IF(AND($BC56=0,C56=Tab_sel!$P$7,$D56=Tab_sel!$O$24,$E56=Tab_sel!$B$31),1,"")</f>
        <v>#N/A</v>
      </c>
      <c r="BE56" s="322" t="e">
        <f>IF(AND($BC56=0,C56=Tab_sel!$P$7,$D56=Tab_sel!$O$24,$E56=Tab_sel!$B$32),1,"")</f>
        <v>#N/A</v>
      </c>
      <c r="BF56" s="322" t="e">
        <f>IF(AND($BC56=0,C56=Tab_sel!$P$7,$D56=Tab_sel!$O$24,$E56=Tab_sel!$B$33),1,"")</f>
        <v>#N/A</v>
      </c>
      <c r="BG56" s="322" t="e">
        <f>IF(AND($BC56=0,C56=Tab_sel!$P$7,$D56=Tab_sel!$O$24,$E56=Tab_sel!$B$34),1,"")</f>
        <v>#N/A</v>
      </c>
      <c r="BH56" s="322" t="e">
        <f>IF(AND($BC56=0,C56=Tab_sel!$P$7,$D56=Tab_sel!$O$24,$E56=Tab_sel!$B$35),1,"")</f>
        <v>#N/A</v>
      </c>
      <c r="BI56" s="343" t="e">
        <f>IF(AND($BC56=0,C56=Tab_sel!$P$7,$D56=Tab_sel!$O$24,$E56=Tab_sel!$B$36),1,"")</f>
        <v>#N/A</v>
      </c>
      <c r="BJ56" s="342" t="e">
        <f>IF(AND($BC56=0,$C56=Tab_sel!$P$7,$D56=Tab_sel!$O$24,$E56=Tab_sel!$N$31,$F56=Tab_sel!$B$40),1,"")</f>
        <v>#N/A</v>
      </c>
      <c r="BK56" s="322" t="e">
        <f>IF(AND($BC56=0,$C56=Tab_sel!$P$7,$D56=Tab_sel!$O$24,$E56=Tab_sel!$N$31,$F56=Tab_sel!$B$41),1,"")</f>
        <v>#N/A</v>
      </c>
      <c r="BL56" s="322" t="e">
        <f>IF(AND($BC56=0,$C56=Tab_sel!$P$7,$D56=Tab_sel!$O$24,$E56=Tab_sel!$N$31,$F56=Tab_sel!$B$42),1,"")</f>
        <v>#N/A</v>
      </c>
      <c r="BM56" s="322" t="e">
        <f>IF(AND($BC56=0,$C56=Tab_sel!$P$7,$D56=Tab_sel!$O$24,$E56=Tab_sel!$N$31,$F56=Tab_sel!$B$43),1,"")</f>
        <v>#N/A</v>
      </c>
      <c r="BN56" s="322" t="e">
        <f>IF(AND($BC56=0,$C56=Tab_sel!$P$7,$D56=Tab_sel!$O$24,$E56=Tab_sel!$N$31,$F56=Tab_sel!$B$44),1,"")</f>
        <v>#N/A</v>
      </c>
      <c r="BO56" s="343" t="e">
        <f>IF(AND($BC56=0,$C56=Tab_sel!$P$7,$D56=Tab_sel!$O$24,$E56=Tab_sel!$N$31,$F56=Tab_sel!$B$45),1,"")</f>
        <v>#N/A</v>
      </c>
      <c r="BP56" s="354" t="e">
        <f>IF(AND($BC56=0,$C56=Tab_sel!$P$7,$D56=Tab_sel!$O$24,$E56=Tab_sel!$N$31,$F56=Tab_sel!$N$40,$I56=Tab_sel!$B$61),1,"")</f>
        <v>#N/A</v>
      </c>
      <c r="BQ56" s="355" t="e">
        <f>IF(AND($BC56=0,$C56=Tab_sel!$P$7,$D56=Tab_sel!$O$24,$E56=Tab_sel!$N$31,$F56=Tab_sel!$N$40,$I56=Tab_sel!$B$62),1,"")</f>
        <v>#N/A</v>
      </c>
      <c r="BR56" s="355" t="e">
        <f>IF(AND($BC56=0,$C56=Tab_sel!$P$7,$D56=Tab_sel!$O$24,$E56=Tab_sel!$N$31,$F56=Tab_sel!$N$40,$I56=Tab_sel!$B$63),1,"")</f>
        <v>#N/A</v>
      </c>
      <c r="BS56" s="355" t="e">
        <f>IF(AND($BC56=0,$C56=Tab_sel!$P$7,$D56=Tab_sel!$O$24,$E56=Tab_sel!$N$31,$F56=Tab_sel!$N$40,$I56=Tab_sel!$B$64),1,"")</f>
        <v>#N/A</v>
      </c>
      <c r="BT56" s="356" t="e">
        <f>IF(AND($BC56=0,$C56=Tab_sel!$P$7,$D56=Tab_sel!$O$24,$E56=Tab_sel!$N$31,$F56=Tab_sel!$N$40,$I56=Tab_sel!$B$65),1,"")</f>
        <v>#N/A</v>
      </c>
      <c r="BU56" s="856" t="e">
        <f>IF(AND($BC56=0,$C56=Tab_sel!$P$7,$D56=Tab_sel!$O$24,$E56=Tab_sel!$N$31,$F56=Tab_sel!$N$40,$I56=Tab_sel!$P$61,$H56=Tab_sel!$B$77),1,"")</f>
        <v>#N/A</v>
      </c>
      <c r="BV56" s="883" t="e">
        <f>IF(AND($BC56=0,$C56=Tab_sel!$P$7,$D56=Tab_sel!$O$24,$E56=Tab_sel!$N$31,$F56=Tab_sel!$N$40,$I56=Tab_sel!$P$61,$H56=Tab_sel!$B$78),1,"")</f>
        <v>#N/A</v>
      </c>
      <c r="BW56" s="883" t="e">
        <f>IF(AND($BC56=0,$C56=Tab_sel!$P$7,$D56=Tab_sel!$O$24,$E56=Tab_sel!$N$31,$F56=Tab_sel!$N$40,$I56=Tab_sel!$P$61,$H56=Tab_sel!$B$79),1,"")</f>
        <v>#N/A</v>
      </c>
      <c r="BX56" s="883" t="e">
        <f>IF(AND($BC56=0,$C56=Tab_sel!$P$7,$D56=Tab_sel!$O$24,$E56=Tab_sel!$N$31,$F56=Tab_sel!$N$40,$I56=Tab_sel!$P$61,$H56=Tab_sel!$B$80),1,"")</f>
        <v>#N/A</v>
      </c>
      <c r="BY56" s="883" t="e">
        <f>IF(AND($BC56=0,$C56=Tab_sel!$P$7,$D56=Tab_sel!$O$24,$E56=Tab_sel!$N$31,$F56=Tab_sel!$N$40,$I56=Tab_sel!$P$61,$H56=Tab_sel!$B$81),1,"")</f>
        <v>#N/A</v>
      </c>
      <c r="BZ56" s="857" t="e">
        <f>IF(AND($BC56=0,$C56=Tab_sel!$P$7,$D56=Tab_sel!$O$24,$E56=Tab_sel!$N$31,$F56=Tab_sel!$N$40,$I56=Tab_sel!$P$61,$H56=Tab_sel!$B$82),1,"")</f>
        <v>#N/A</v>
      </c>
      <c r="CA56" s="359"/>
      <c r="CC56">
        <f t="shared" si="13"/>
        <v>0</v>
      </c>
      <c r="CD56" s="882">
        <f t="shared" si="14"/>
        <v>0</v>
      </c>
      <c r="CE56" s="882">
        <f t="shared" si="15"/>
        <v>0</v>
      </c>
      <c r="CG56" t="s">
        <v>2609</v>
      </c>
      <c r="CJ56" t="s">
        <v>2611</v>
      </c>
    </row>
    <row r="57" spans="2:88" ht="39.6" x14ac:dyDescent="0.25">
      <c r="B57" s="791" t="s">
        <v>2503</v>
      </c>
      <c r="C57" s="874" t="s">
        <v>38</v>
      </c>
      <c r="D57" s="875" t="s">
        <v>76</v>
      </c>
      <c r="E57" s="771" t="str">
        <f t="shared" si="23"/>
        <v xml:space="preserve">Fichier ou base de données </v>
      </c>
      <c r="F57" s="768" t="str">
        <f t="shared" si="24"/>
        <v>Disparition</v>
      </c>
      <c r="G57" s="909" t="s">
        <v>2566</v>
      </c>
      <c r="H57" s="876" t="s">
        <v>2360</v>
      </c>
      <c r="I57" s="874" t="s">
        <v>1197</v>
      </c>
      <c r="J57" s="877"/>
      <c r="K57" s="877" t="s">
        <v>1300</v>
      </c>
      <c r="L57" s="877"/>
      <c r="M57" s="788" t="s">
        <v>1259</v>
      </c>
      <c r="N57" s="851"/>
      <c r="O57" s="851"/>
      <c r="P57" s="875"/>
      <c r="Q57" s="803"/>
      <c r="R57" s="803"/>
      <c r="S57" s="804"/>
      <c r="T57" s="875"/>
      <c r="U57" s="875"/>
      <c r="V57" s="805"/>
      <c r="W57" s="851"/>
      <c r="X57" s="851"/>
      <c r="Y57" s="875"/>
      <c r="Z57" s="875"/>
      <c r="AA57" s="875"/>
      <c r="AB57" s="805"/>
      <c r="AC57" s="806"/>
      <c r="AD57" s="806"/>
      <c r="AE57" s="806"/>
      <c r="AF57" s="806"/>
      <c r="AG57" s="806"/>
      <c r="AH57" s="805"/>
      <c r="AI57" s="807" t="str">
        <f t="shared" si="2"/>
        <v/>
      </c>
      <c r="AJ57" s="805"/>
      <c r="AK57" s="359"/>
      <c r="AM57" t="str">
        <f t="shared" si="9"/>
        <v/>
      </c>
      <c r="AN57">
        <f t="shared" si="10"/>
        <v>0</v>
      </c>
      <c r="AV57" s="871"/>
      <c r="AW57" s="882">
        <f t="shared" si="11"/>
        <v>0</v>
      </c>
      <c r="AX57" s="882">
        <f t="shared" si="25"/>
        <v>1</v>
      </c>
      <c r="AY57" s="882">
        <f t="shared" si="26"/>
        <v>1</v>
      </c>
      <c r="AZ57" s="927">
        <f t="shared" si="27"/>
        <v>1</v>
      </c>
      <c r="BA57" s="882">
        <v>0</v>
      </c>
      <c r="BB57" s="925">
        <f t="shared" si="12"/>
        <v>0</v>
      </c>
      <c r="BC57" s="882">
        <f t="shared" si="28"/>
        <v>1</v>
      </c>
      <c r="BD57" s="342" t="e">
        <f>IF(AND($BC57=0,C57=Tab_sel!$P$7,$D57=Tab_sel!$O$24,$E57=Tab_sel!$B$31),1,"")</f>
        <v>#N/A</v>
      </c>
      <c r="BE57" s="322" t="e">
        <f>IF(AND($BC57=0,C57=Tab_sel!$P$7,$D57=Tab_sel!$O$24,$E57=Tab_sel!$B$32),1,"")</f>
        <v>#N/A</v>
      </c>
      <c r="BF57" s="322" t="e">
        <f>IF(AND($BC57=0,C57=Tab_sel!$P$7,$D57=Tab_sel!$O$24,$E57=Tab_sel!$B$33),1,"")</f>
        <v>#N/A</v>
      </c>
      <c r="BG57" s="322" t="e">
        <f>IF(AND($BC57=0,C57=Tab_sel!$P$7,$D57=Tab_sel!$O$24,$E57=Tab_sel!$B$34),1,"")</f>
        <v>#N/A</v>
      </c>
      <c r="BH57" s="322" t="e">
        <f>IF(AND($BC57=0,C57=Tab_sel!$P$7,$D57=Tab_sel!$O$24,$E57=Tab_sel!$B$35),1,"")</f>
        <v>#N/A</v>
      </c>
      <c r="BI57" s="343" t="e">
        <f>IF(AND($BC57=0,C57=Tab_sel!$P$7,$D57=Tab_sel!$O$24,$E57=Tab_sel!$B$36),1,"")</f>
        <v>#N/A</v>
      </c>
      <c r="BJ57" s="342" t="e">
        <f>IF(AND($BC57=0,$C57=Tab_sel!$P$7,$D57=Tab_sel!$O$24,$E57=Tab_sel!$N$31,$F57=Tab_sel!$B$40),1,"")</f>
        <v>#N/A</v>
      </c>
      <c r="BK57" s="322" t="e">
        <f>IF(AND($BC57=0,$C57=Tab_sel!$P$7,$D57=Tab_sel!$O$24,$E57=Tab_sel!$N$31,$F57=Tab_sel!$B$41),1,"")</f>
        <v>#N/A</v>
      </c>
      <c r="BL57" s="322" t="e">
        <f>IF(AND($BC57=0,$C57=Tab_sel!$P$7,$D57=Tab_sel!$O$24,$E57=Tab_sel!$N$31,$F57=Tab_sel!$B$42),1,"")</f>
        <v>#N/A</v>
      </c>
      <c r="BM57" s="322" t="e">
        <f>IF(AND($BC57=0,$C57=Tab_sel!$P$7,$D57=Tab_sel!$O$24,$E57=Tab_sel!$N$31,$F57=Tab_sel!$B$43),1,"")</f>
        <v>#N/A</v>
      </c>
      <c r="BN57" s="322" t="e">
        <f>IF(AND($BC57=0,$C57=Tab_sel!$P$7,$D57=Tab_sel!$O$24,$E57=Tab_sel!$N$31,$F57=Tab_sel!$B$44),1,"")</f>
        <v>#N/A</v>
      </c>
      <c r="BO57" s="343" t="e">
        <f>IF(AND($BC57=0,$C57=Tab_sel!$P$7,$D57=Tab_sel!$O$24,$E57=Tab_sel!$N$31,$F57=Tab_sel!$B$45),1,"")</f>
        <v>#N/A</v>
      </c>
      <c r="BP57" s="354" t="e">
        <f>IF(AND($BC57=0,$C57=Tab_sel!$P$7,$D57=Tab_sel!$O$24,$E57=Tab_sel!$N$31,$F57=Tab_sel!$N$40,$I57=Tab_sel!$B$61),1,"")</f>
        <v>#N/A</v>
      </c>
      <c r="BQ57" s="355" t="e">
        <f>IF(AND($BC57=0,$C57=Tab_sel!$P$7,$D57=Tab_sel!$O$24,$E57=Tab_sel!$N$31,$F57=Tab_sel!$N$40,$I57=Tab_sel!$B$62),1,"")</f>
        <v>#N/A</v>
      </c>
      <c r="BR57" s="355" t="e">
        <f>IF(AND($BC57=0,$C57=Tab_sel!$P$7,$D57=Tab_sel!$O$24,$E57=Tab_sel!$N$31,$F57=Tab_sel!$N$40,$I57=Tab_sel!$B$63),1,"")</f>
        <v>#N/A</v>
      </c>
      <c r="BS57" s="355" t="e">
        <f>IF(AND($BC57=0,$C57=Tab_sel!$P$7,$D57=Tab_sel!$O$24,$E57=Tab_sel!$N$31,$F57=Tab_sel!$N$40,$I57=Tab_sel!$B$64),1,"")</f>
        <v>#N/A</v>
      </c>
      <c r="BT57" s="356" t="e">
        <f>IF(AND($BC57=0,$C57=Tab_sel!$P$7,$D57=Tab_sel!$O$24,$E57=Tab_sel!$N$31,$F57=Tab_sel!$N$40,$I57=Tab_sel!$B$65),1,"")</f>
        <v>#N/A</v>
      </c>
      <c r="BU57" s="856" t="e">
        <f>IF(AND($BC57=0,$C57=Tab_sel!$P$7,$D57=Tab_sel!$O$24,$E57=Tab_sel!$N$31,$F57=Tab_sel!$N$40,$I57=Tab_sel!$P$61,$H57=Tab_sel!$B$77),1,"")</f>
        <v>#N/A</v>
      </c>
      <c r="BV57" s="883" t="e">
        <f>IF(AND($BC57=0,$C57=Tab_sel!$P$7,$D57=Tab_sel!$O$24,$E57=Tab_sel!$N$31,$F57=Tab_sel!$N$40,$I57=Tab_sel!$P$61,$H57=Tab_sel!$B$78),1,"")</f>
        <v>#N/A</v>
      </c>
      <c r="BW57" s="883" t="e">
        <f>IF(AND($BC57=0,$C57=Tab_sel!$P$7,$D57=Tab_sel!$O$24,$E57=Tab_sel!$N$31,$F57=Tab_sel!$N$40,$I57=Tab_sel!$P$61,$H57=Tab_sel!$B$79),1,"")</f>
        <v>#N/A</v>
      </c>
      <c r="BX57" s="883" t="e">
        <f>IF(AND($BC57=0,$C57=Tab_sel!$P$7,$D57=Tab_sel!$O$24,$E57=Tab_sel!$N$31,$F57=Tab_sel!$N$40,$I57=Tab_sel!$P$61,$H57=Tab_sel!$B$80),1,"")</f>
        <v>#N/A</v>
      </c>
      <c r="BY57" s="883" t="e">
        <f>IF(AND($BC57=0,$C57=Tab_sel!$P$7,$D57=Tab_sel!$O$24,$E57=Tab_sel!$N$31,$F57=Tab_sel!$N$40,$I57=Tab_sel!$P$61,$H57=Tab_sel!$B$81),1,"")</f>
        <v>#N/A</v>
      </c>
      <c r="BZ57" s="857" t="e">
        <f>IF(AND($BC57=0,$C57=Tab_sel!$P$7,$D57=Tab_sel!$O$24,$E57=Tab_sel!$N$31,$F57=Tab_sel!$N$40,$I57=Tab_sel!$P$61,$H57=Tab_sel!$B$82),1,"")</f>
        <v>#N/A</v>
      </c>
      <c r="CA57" s="359"/>
      <c r="CC57">
        <f t="shared" si="13"/>
        <v>0</v>
      </c>
      <c r="CD57" s="882">
        <f t="shared" si="14"/>
        <v>0</v>
      </c>
      <c r="CE57" s="882">
        <f t="shared" si="15"/>
        <v>0</v>
      </c>
      <c r="CH57" t="s">
        <v>2610</v>
      </c>
      <c r="CJ57" t="s">
        <v>2611</v>
      </c>
    </row>
    <row r="58" spans="2:88" ht="39.6" x14ac:dyDescent="0.25">
      <c r="B58" s="791" t="s">
        <v>2504</v>
      </c>
      <c r="C58" s="874" t="s">
        <v>38</v>
      </c>
      <c r="D58" s="875" t="s">
        <v>76</v>
      </c>
      <c r="E58" s="771" t="str">
        <f t="shared" si="23"/>
        <v xml:space="preserve">Fichier ou base de données </v>
      </c>
      <c r="F58" s="768" t="str">
        <f t="shared" si="24"/>
        <v>Disparition</v>
      </c>
      <c r="G58" s="909" t="s">
        <v>2566</v>
      </c>
      <c r="H58" s="876" t="s">
        <v>2361</v>
      </c>
      <c r="I58" s="874" t="s">
        <v>1197</v>
      </c>
      <c r="J58" s="877" t="s">
        <v>2373</v>
      </c>
      <c r="K58" s="877" t="s">
        <v>1303</v>
      </c>
      <c r="L58" s="877"/>
      <c r="M58" s="788" t="s">
        <v>1259</v>
      </c>
      <c r="N58" s="851"/>
      <c r="O58" s="851"/>
      <c r="P58" s="875"/>
      <c r="Q58" s="803"/>
      <c r="R58" s="803"/>
      <c r="S58" s="804"/>
      <c r="T58" s="875"/>
      <c r="U58" s="875"/>
      <c r="V58" s="805"/>
      <c r="W58" s="851"/>
      <c r="X58" s="851"/>
      <c r="Y58" s="875"/>
      <c r="Z58" s="875"/>
      <c r="AA58" s="875"/>
      <c r="AB58" s="805"/>
      <c r="AC58" s="806"/>
      <c r="AD58" s="806"/>
      <c r="AE58" s="806"/>
      <c r="AF58" s="806"/>
      <c r="AG58" s="806"/>
      <c r="AH58" s="805"/>
      <c r="AI58" s="807" t="str">
        <f t="shared" si="2"/>
        <v/>
      </c>
      <c r="AJ58" s="805"/>
      <c r="AK58" s="359"/>
      <c r="AM58" t="str">
        <f t="shared" si="9"/>
        <v/>
      </c>
      <c r="AN58">
        <f t="shared" si="10"/>
        <v>0</v>
      </c>
      <c r="AV58" s="871"/>
      <c r="AW58" s="882">
        <f t="shared" si="11"/>
        <v>0</v>
      </c>
      <c r="AX58" s="882">
        <f t="shared" si="25"/>
        <v>1</v>
      </c>
      <c r="AY58" s="882">
        <f t="shared" si="26"/>
        <v>1</v>
      </c>
      <c r="AZ58" s="927">
        <f t="shared" si="27"/>
        <v>1</v>
      </c>
      <c r="BA58" s="882">
        <v>0</v>
      </c>
      <c r="BB58" s="925">
        <f t="shared" si="12"/>
        <v>0</v>
      </c>
      <c r="BC58" s="882">
        <f t="shared" si="28"/>
        <v>1</v>
      </c>
      <c r="BD58" s="342" t="e">
        <f>IF(AND($BC58=0,C58=Tab_sel!$P$7,$D58=Tab_sel!$O$24,$E58=Tab_sel!$B$31),1,"")</f>
        <v>#N/A</v>
      </c>
      <c r="BE58" s="322" t="e">
        <f>IF(AND($BC58=0,C58=Tab_sel!$P$7,$D58=Tab_sel!$O$24,$E58=Tab_sel!$B$32),1,"")</f>
        <v>#N/A</v>
      </c>
      <c r="BF58" s="322" t="e">
        <f>IF(AND($BC58=0,C58=Tab_sel!$P$7,$D58=Tab_sel!$O$24,$E58=Tab_sel!$B$33),1,"")</f>
        <v>#N/A</v>
      </c>
      <c r="BG58" s="322" t="e">
        <f>IF(AND($BC58=0,C58=Tab_sel!$P$7,$D58=Tab_sel!$O$24,$E58=Tab_sel!$B$34),1,"")</f>
        <v>#N/A</v>
      </c>
      <c r="BH58" s="322" t="e">
        <f>IF(AND($BC58=0,C58=Tab_sel!$P$7,$D58=Tab_sel!$O$24,$E58=Tab_sel!$B$35),1,"")</f>
        <v>#N/A</v>
      </c>
      <c r="BI58" s="343" t="e">
        <f>IF(AND($BC58=0,C58=Tab_sel!$P$7,$D58=Tab_sel!$O$24,$E58=Tab_sel!$B$36),1,"")</f>
        <v>#N/A</v>
      </c>
      <c r="BJ58" s="342" t="e">
        <f>IF(AND($BC58=0,$C58=Tab_sel!$P$7,$D58=Tab_sel!$O$24,$E58=Tab_sel!$N$31,$F58=Tab_sel!$B$40),1,"")</f>
        <v>#N/A</v>
      </c>
      <c r="BK58" s="322" t="e">
        <f>IF(AND($BC58=0,$C58=Tab_sel!$P$7,$D58=Tab_sel!$O$24,$E58=Tab_sel!$N$31,$F58=Tab_sel!$B$41),1,"")</f>
        <v>#N/A</v>
      </c>
      <c r="BL58" s="322" t="e">
        <f>IF(AND($BC58=0,$C58=Tab_sel!$P$7,$D58=Tab_sel!$O$24,$E58=Tab_sel!$N$31,$F58=Tab_sel!$B$42),1,"")</f>
        <v>#N/A</v>
      </c>
      <c r="BM58" s="322" t="e">
        <f>IF(AND($BC58=0,$C58=Tab_sel!$P$7,$D58=Tab_sel!$O$24,$E58=Tab_sel!$N$31,$F58=Tab_sel!$B$43),1,"")</f>
        <v>#N/A</v>
      </c>
      <c r="BN58" s="322" t="e">
        <f>IF(AND($BC58=0,$C58=Tab_sel!$P$7,$D58=Tab_sel!$O$24,$E58=Tab_sel!$N$31,$F58=Tab_sel!$B$44),1,"")</f>
        <v>#N/A</v>
      </c>
      <c r="BO58" s="343" t="e">
        <f>IF(AND($BC58=0,$C58=Tab_sel!$P$7,$D58=Tab_sel!$O$24,$E58=Tab_sel!$N$31,$F58=Tab_sel!$B$45),1,"")</f>
        <v>#N/A</v>
      </c>
      <c r="BP58" s="354" t="e">
        <f>IF(AND($BC58=0,$C58=Tab_sel!$P$7,$D58=Tab_sel!$O$24,$E58=Tab_sel!$N$31,$F58=Tab_sel!$N$40,$I58=Tab_sel!$B$61),1,"")</f>
        <v>#N/A</v>
      </c>
      <c r="BQ58" s="355" t="e">
        <f>IF(AND($BC58=0,$C58=Tab_sel!$P$7,$D58=Tab_sel!$O$24,$E58=Tab_sel!$N$31,$F58=Tab_sel!$N$40,$I58=Tab_sel!$B$62),1,"")</f>
        <v>#N/A</v>
      </c>
      <c r="BR58" s="355" t="e">
        <f>IF(AND($BC58=0,$C58=Tab_sel!$P$7,$D58=Tab_sel!$O$24,$E58=Tab_sel!$N$31,$F58=Tab_sel!$N$40,$I58=Tab_sel!$B$63),1,"")</f>
        <v>#N/A</v>
      </c>
      <c r="BS58" s="355" t="e">
        <f>IF(AND($BC58=0,$C58=Tab_sel!$P$7,$D58=Tab_sel!$O$24,$E58=Tab_sel!$N$31,$F58=Tab_sel!$N$40,$I58=Tab_sel!$B$64),1,"")</f>
        <v>#N/A</v>
      </c>
      <c r="BT58" s="356" t="e">
        <f>IF(AND($BC58=0,$C58=Tab_sel!$P$7,$D58=Tab_sel!$O$24,$E58=Tab_sel!$N$31,$F58=Tab_sel!$N$40,$I58=Tab_sel!$B$65),1,"")</f>
        <v>#N/A</v>
      </c>
      <c r="BU58" s="856" t="e">
        <f>IF(AND($BC58=0,$C58=Tab_sel!$P$7,$D58=Tab_sel!$O$24,$E58=Tab_sel!$N$31,$F58=Tab_sel!$N$40,$I58=Tab_sel!$P$61,$H58=Tab_sel!$B$77),1,"")</f>
        <v>#N/A</v>
      </c>
      <c r="BV58" s="883" t="e">
        <f>IF(AND($BC58=0,$C58=Tab_sel!$P$7,$D58=Tab_sel!$O$24,$E58=Tab_sel!$N$31,$F58=Tab_sel!$N$40,$I58=Tab_sel!$P$61,$H58=Tab_sel!$B$78),1,"")</f>
        <v>#N/A</v>
      </c>
      <c r="BW58" s="883" t="e">
        <f>IF(AND($BC58=0,$C58=Tab_sel!$P$7,$D58=Tab_sel!$O$24,$E58=Tab_sel!$N$31,$F58=Tab_sel!$N$40,$I58=Tab_sel!$P$61,$H58=Tab_sel!$B$79),1,"")</f>
        <v>#N/A</v>
      </c>
      <c r="BX58" s="883" t="e">
        <f>IF(AND($BC58=0,$C58=Tab_sel!$P$7,$D58=Tab_sel!$O$24,$E58=Tab_sel!$N$31,$F58=Tab_sel!$N$40,$I58=Tab_sel!$P$61,$H58=Tab_sel!$B$80),1,"")</f>
        <v>#N/A</v>
      </c>
      <c r="BY58" s="883" t="e">
        <f>IF(AND($BC58=0,$C58=Tab_sel!$P$7,$D58=Tab_sel!$O$24,$E58=Tab_sel!$N$31,$F58=Tab_sel!$N$40,$I58=Tab_sel!$P$61,$H58=Tab_sel!$B$81),1,"")</f>
        <v>#N/A</v>
      </c>
      <c r="BZ58" s="857" t="e">
        <f>IF(AND($BC58=0,$C58=Tab_sel!$P$7,$D58=Tab_sel!$O$24,$E58=Tab_sel!$N$31,$F58=Tab_sel!$N$40,$I58=Tab_sel!$P$61,$H58=Tab_sel!$B$82),1,"")</f>
        <v>#N/A</v>
      </c>
      <c r="CA58" s="359"/>
      <c r="CC58">
        <f t="shared" si="13"/>
        <v>0</v>
      </c>
      <c r="CD58" s="882">
        <f t="shared" si="14"/>
        <v>0</v>
      </c>
      <c r="CE58" s="882">
        <f t="shared" si="15"/>
        <v>0</v>
      </c>
      <c r="CG58" t="s">
        <v>2634</v>
      </c>
      <c r="CH58" t="s">
        <v>2635</v>
      </c>
      <c r="CJ58" t="s">
        <v>2611</v>
      </c>
    </row>
    <row r="59" spans="2:88" ht="39.6" x14ac:dyDescent="0.25">
      <c r="B59" s="791" t="s">
        <v>1974</v>
      </c>
      <c r="C59" s="771" t="s">
        <v>38</v>
      </c>
      <c r="D59" s="772" t="s">
        <v>76</v>
      </c>
      <c r="E59" s="771" t="str">
        <f t="shared" si="23"/>
        <v xml:space="preserve">Fichier ou base de données </v>
      </c>
      <c r="F59" s="768" t="str">
        <f t="shared" si="24"/>
        <v>Disparition</v>
      </c>
      <c r="G59" s="768" t="s">
        <v>2552</v>
      </c>
      <c r="H59" s="876"/>
      <c r="I59" s="771" t="s">
        <v>1171</v>
      </c>
      <c r="J59" s="769"/>
      <c r="K59" s="779"/>
      <c r="L59" s="769"/>
      <c r="M59" s="788" t="s">
        <v>1259</v>
      </c>
      <c r="N59" s="767"/>
      <c r="O59" s="767"/>
      <c r="P59" s="772"/>
      <c r="Q59" s="803"/>
      <c r="R59" s="803"/>
      <c r="S59" s="804"/>
      <c r="T59" s="772"/>
      <c r="U59" s="772"/>
      <c r="V59" s="805"/>
      <c r="W59" s="767"/>
      <c r="X59" s="767"/>
      <c r="Y59" s="772"/>
      <c r="Z59" s="772"/>
      <c r="AA59" s="772"/>
      <c r="AB59" s="805"/>
      <c r="AC59" s="806"/>
      <c r="AD59" s="806"/>
      <c r="AE59" s="806"/>
      <c r="AF59" s="806"/>
      <c r="AG59" s="806"/>
      <c r="AH59" s="805"/>
      <c r="AI59" s="807" t="str">
        <f t="shared" si="2"/>
        <v/>
      </c>
      <c r="AJ59" s="805"/>
      <c r="AK59" s="359"/>
      <c r="AM59" t="str">
        <f t="shared" si="9"/>
        <v/>
      </c>
      <c r="AN59">
        <f t="shared" si="10"/>
        <v>0</v>
      </c>
      <c r="AW59" s="882">
        <f t="shared" si="11"/>
        <v>0</v>
      </c>
      <c r="AX59" s="882">
        <f t="shared" si="25"/>
        <v>1</v>
      </c>
      <c r="AY59" s="882">
        <f t="shared" si="26"/>
        <v>1</v>
      </c>
      <c r="AZ59" s="927">
        <f t="shared" si="27"/>
        <v>1</v>
      </c>
      <c r="BA59" s="882">
        <v>1</v>
      </c>
      <c r="BB59" s="925">
        <f t="shared" si="12"/>
        <v>0</v>
      </c>
      <c r="BC59" s="882">
        <f t="shared" si="28"/>
        <v>1</v>
      </c>
      <c r="BD59" s="342" t="e">
        <f>IF(AND($BC59=0,C59=Tab_sel!$P$7,$D59=Tab_sel!$O$24,$E59=Tab_sel!$B$31),1,"")</f>
        <v>#N/A</v>
      </c>
      <c r="BE59" s="322" t="e">
        <f>IF(AND($BC59=0,C59=Tab_sel!$P$7,$D59=Tab_sel!$O$24,$E59=Tab_sel!$B$32),1,"")</f>
        <v>#N/A</v>
      </c>
      <c r="BF59" s="322" t="e">
        <f>IF(AND($BC59=0,C59=Tab_sel!$P$7,$D59=Tab_sel!$O$24,$E59=Tab_sel!$B$33),1,"")</f>
        <v>#N/A</v>
      </c>
      <c r="BG59" s="322" t="e">
        <f>IF(AND($BC59=0,C59=Tab_sel!$P$7,$D59=Tab_sel!$O$24,$E59=Tab_sel!$B$34),1,"")</f>
        <v>#N/A</v>
      </c>
      <c r="BH59" s="322" t="e">
        <f>IF(AND($BC59=0,C59=Tab_sel!$P$7,$D59=Tab_sel!$O$24,$E59=Tab_sel!$B$35),1,"")</f>
        <v>#N/A</v>
      </c>
      <c r="BI59" s="343" t="e">
        <f>IF(AND($BC59=0,C59=Tab_sel!$P$7,$D59=Tab_sel!$O$24,$E59=Tab_sel!$B$36),1,"")</f>
        <v>#N/A</v>
      </c>
      <c r="BJ59" s="342" t="e">
        <f>IF(AND($BC59=0,$C59=Tab_sel!$P$7,$D59=Tab_sel!$O$24,$E59=Tab_sel!$N$31,$F59=Tab_sel!$B$40),1,"")</f>
        <v>#N/A</v>
      </c>
      <c r="BK59" s="322" t="e">
        <f>IF(AND($BC59=0,$C59=Tab_sel!$P$7,$D59=Tab_sel!$O$24,$E59=Tab_sel!$N$31,$F59=Tab_sel!$B$41),1,"")</f>
        <v>#N/A</v>
      </c>
      <c r="BL59" s="322" t="e">
        <f>IF(AND($BC59=0,$C59=Tab_sel!$P$7,$D59=Tab_sel!$O$24,$E59=Tab_sel!$N$31,$F59=Tab_sel!$B$42),1,"")</f>
        <v>#N/A</v>
      </c>
      <c r="BM59" s="322" t="e">
        <f>IF(AND($BC59=0,$C59=Tab_sel!$P$7,$D59=Tab_sel!$O$24,$E59=Tab_sel!$N$31,$F59=Tab_sel!$B$43),1,"")</f>
        <v>#N/A</v>
      </c>
      <c r="BN59" s="322" t="e">
        <f>IF(AND($BC59=0,$C59=Tab_sel!$P$7,$D59=Tab_sel!$O$24,$E59=Tab_sel!$N$31,$F59=Tab_sel!$B$44),1,"")</f>
        <v>#N/A</v>
      </c>
      <c r="BO59" s="343" t="e">
        <f>IF(AND($BC59=0,$C59=Tab_sel!$P$7,$D59=Tab_sel!$O$24,$E59=Tab_sel!$N$31,$F59=Tab_sel!$B$45),1,"")</f>
        <v>#N/A</v>
      </c>
      <c r="BP59" s="354" t="e">
        <f>IF(AND($BC59=0,$C59=Tab_sel!$P$7,$D59=Tab_sel!$O$24,$E59=Tab_sel!$N$31,$F59=Tab_sel!$N$40,$I59=Tab_sel!$B$61),1,"")</f>
        <v>#N/A</v>
      </c>
      <c r="BQ59" s="355" t="e">
        <f>IF(AND($BC59=0,$C59=Tab_sel!$P$7,$D59=Tab_sel!$O$24,$E59=Tab_sel!$N$31,$F59=Tab_sel!$N$40,$I59=Tab_sel!$B$62),1,"")</f>
        <v>#N/A</v>
      </c>
      <c r="BR59" s="355" t="e">
        <f>IF(AND($BC59=0,$C59=Tab_sel!$P$7,$D59=Tab_sel!$O$24,$E59=Tab_sel!$N$31,$F59=Tab_sel!$N$40,$I59=Tab_sel!$B$63),1,"")</f>
        <v>#N/A</v>
      </c>
      <c r="BS59" s="355" t="e">
        <f>IF(AND($BC59=0,$C59=Tab_sel!$P$7,$D59=Tab_sel!$O$24,$E59=Tab_sel!$N$31,$F59=Tab_sel!$N$40,$I59=Tab_sel!$B$64),1,"")</f>
        <v>#N/A</v>
      </c>
      <c r="BT59" s="356" t="e">
        <f>IF(AND($BC59=0,$C59=Tab_sel!$P$7,$D59=Tab_sel!$O$24,$E59=Tab_sel!$N$31,$F59=Tab_sel!$N$40,$I59=Tab_sel!$B$65),1,"")</f>
        <v>#N/A</v>
      </c>
      <c r="BU59" s="856" t="e">
        <f>IF(AND($BC59=0,$C59=Tab_sel!$P$7,$D59=Tab_sel!$O$24,$E59=Tab_sel!$N$31,$F59=Tab_sel!$N$40,$I59=Tab_sel!$P$61,$H59=Tab_sel!$B$77),1,"")</f>
        <v>#N/A</v>
      </c>
      <c r="BV59" s="883" t="e">
        <f>IF(AND($BC59=0,$C59=Tab_sel!$P$7,$D59=Tab_sel!$O$24,$E59=Tab_sel!$N$31,$F59=Tab_sel!$N$40,$I59=Tab_sel!$P$61,$H59=Tab_sel!$B$78),1,"")</f>
        <v>#N/A</v>
      </c>
      <c r="BW59" s="883" t="e">
        <f>IF(AND($BC59=0,$C59=Tab_sel!$P$7,$D59=Tab_sel!$O$24,$E59=Tab_sel!$N$31,$F59=Tab_sel!$N$40,$I59=Tab_sel!$P$61,$H59=Tab_sel!$B$79),1,"")</f>
        <v>#N/A</v>
      </c>
      <c r="BX59" s="883" t="e">
        <f>IF(AND($BC59=0,$C59=Tab_sel!$P$7,$D59=Tab_sel!$O$24,$E59=Tab_sel!$N$31,$F59=Tab_sel!$N$40,$I59=Tab_sel!$P$61,$H59=Tab_sel!$B$80),1,"")</f>
        <v>#N/A</v>
      </c>
      <c r="BY59" s="883" t="e">
        <f>IF(AND($BC59=0,$C59=Tab_sel!$P$7,$D59=Tab_sel!$O$24,$E59=Tab_sel!$N$31,$F59=Tab_sel!$N$40,$I59=Tab_sel!$P$61,$H59=Tab_sel!$B$81),1,"")</f>
        <v>#N/A</v>
      </c>
      <c r="BZ59" s="857" t="e">
        <f>IF(AND($BC59=0,$C59=Tab_sel!$P$7,$D59=Tab_sel!$O$24,$E59=Tab_sel!$N$31,$F59=Tab_sel!$N$40,$I59=Tab_sel!$P$61,$H59=Tab_sel!$B$82),1,"")</f>
        <v>#N/A</v>
      </c>
      <c r="CA59" s="359"/>
      <c r="CC59">
        <f t="shared" si="13"/>
        <v>0</v>
      </c>
      <c r="CD59" s="882">
        <f t="shared" si="14"/>
        <v>0</v>
      </c>
      <c r="CE59" s="882">
        <f t="shared" si="15"/>
        <v>0</v>
      </c>
      <c r="CJ59" t="s">
        <v>2611</v>
      </c>
    </row>
    <row r="60" spans="2:88" ht="42.75" customHeight="1" x14ac:dyDescent="0.25">
      <c r="B60" s="791" t="s">
        <v>1975</v>
      </c>
      <c r="C60" s="771" t="s">
        <v>38</v>
      </c>
      <c r="D60" s="772" t="s">
        <v>76</v>
      </c>
      <c r="E60" s="771" t="str">
        <f t="shared" si="23"/>
        <v xml:space="preserve">Fichier ou base de données </v>
      </c>
      <c r="F60" s="768" t="str">
        <f t="shared" si="24"/>
        <v>Disparition</v>
      </c>
      <c r="G60" s="843" t="s">
        <v>2553</v>
      </c>
      <c r="H60" s="884"/>
      <c r="I60" s="771" t="s">
        <v>1180</v>
      </c>
      <c r="J60" s="769"/>
      <c r="K60" s="769" t="s">
        <v>1265</v>
      </c>
      <c r="L60" s="769"/>
      <c r="M60" s="788" t="s">
        <v>1259</v>
      </c>
      <c r="N60" s="767"/>
      <c r="O60" s="767"/>
      <c r="P60" s="772"/>
      <c r="Q60" s="803"/>
      <c r="R60" s="803"/>
      <c r="S60" s="804"/>
      <c r="T60" s="772"/>
      <c r="U60" s="772"/>
      <c r="V60" s="805"/>
      <c r="W60" s="767"/>
      <c r="X60" s="767"/>
      <c r="Y60" s="772"/>
      <c r="Z60" s="772"/>
      <c r="AA60" s="772"/>
      <c r="AB60" s="805"/>
      <c r="AC60" s="806"/>
      <c r="AD60" s="806"/>
      <c r="AE60" s="806"/>
      <c r="AF60" s="806"/>
      <c r="AG60" s="806"/>
      <c r="AH60" s="805"/>
      <c r="AI60" s="807" t="str">
        <f t="shared" si="2"/>
        <v/>
      </c>
      <c r="AJ60" s="805"/>
      <c r="AK60" s="359"/>
      <c r="AM60" t="str">
        <f t="shared" si="9"/>
        <v/>
      </c>
      <c r="AN60">
        <f t="shared" si="10"/>
        <v>0</v>
      </c>
      <c r="AW60" s="882">
        <f t="shared" si="11"/>
        <v>0</v>
      </c>
      <c r="AX60" s="882">
        <f t="shared" si="25"/>
        <v>1</v>
      </c>
      <c r="AY60" s="882">
        <f t="shared" si="26"/>
        <v>1</v>
      </c>
      <c r="AZ60" s="927">
        <f t="shared" si="27"/>
        <v>1</v>
      </c>
      <c r="BA60" s="882">
        <v>1</v>
      </c>
      <c r="BB60" s="925">
        <f t="shared" si="12"/>
        <v>0</v>
      </c>
      <c r="BC60" s="882">
        <f t="shared" si="28"/>
        <v>1</v>
      </c>
      <c r="BD60" s="342" t="e">
        <f>IF(AND($BC60=0,C60=Tab_sel!$P$7,$D60=Tab_sel!$O$24,$E60=Tab_sel!$B$31),1,"")</f>
        <v>#N/A</v>
      </c>
      <c r="BE60" s="322" t="e">
        <f>IF(AND($BC60=0,C60=Tab_sel!$P$7,$D60=Tab_sel!$O$24,$E60=Tab_sel!$B$32),1,"")</f>
        <v>#N/A</v>
      </c>
      <c r="BF60" s="322" t="e">
        <f>IF(AND($BC60=0,C60=Tab_sel!$P$7,$D60=Tab_sel!$O$24,$E60=Tab_sel!$B$33),1,"")</f>
        <v>#N/A</v>
      </c>
      <c r="BG60" s="322" t="e">
        <f>IF(AND($BC60=0,C60=Tab_sel!$P$7,$D60=Tab_sel!$O$24,$E60=Tab_sel!$B$34),1,"")</f>
        <v>#N/A</v>
      </c>
      <c r="BH60" s="322" t="e">
        <f>IF(AND($BC60=0,C60=Tab_sel!$P$7,$D60=Tab_sel!$O$24,$E60=Tab_sel!$B$35),1,"")</f>
        <v>#N/A</v>
      </c>
      <c r="BI60" s="343" t="e">
        <f>IF(AND($BC60=0,C60=Tab_sel!$P$7,$D60=Tab_sel!$O$24,$E60=Tab_sel!$B$36),1,"")</f>
        <v>#N/A</v>
      </c>
      <c r="BJ60" s="342" t="e">
        <f>IF(AND($BC60=0,$C60=Tab_sel!$P$7,$D60=Tab_sel!$O$24,$E60=Tab_sel!$N$31,$F60=Tab_sel!$B$40),1,"")</f>
        <v>#N/A</v>
      </c>
      <c r="BK60" s="322" t="e">
        <f>IF(AND($BC60=0,$C60=Tab_sel!$P$7,$D60=Tab_sel!$O$24,$E60=Tab_sel!$N$31,$F60=Tab_sel!$B$41),1,"")</f>
        <v>#N/A</v>
      </c>
      <c r="BL60" s="322" t="e">
        <f>IF(AND($BC60=0,$C60=Tab_sel!$P$7,$D60=Tab_sel!$O$24,$E60=Tab_sel!$N$31,$F60=Tab_sel!$B$42),1,"")</f>
        <v>#N/A</v>
      </c>
      <c r="BM60" s="322" t="e">
        <f>IF(AND($BC60=0,$C60=Tab_sel!$P$7,$D60=Tab_sel!$O$24,$E60=Tab_sel!$N$31,$F60=Tab_sel!$B$43),1,"")</f>
        <v>#N/A</v>
      </c>
      <c r="BN60" s="322" t="e">
        <f>IF(AND($BC60=0,$C60=Tab_sel!$P$7,$D60=Tab_sel!$O$24,$E60=Tab_sel!$N$31,$F60=Tab_sel!$B$44),1,"")</f>
        <v>#N/A</v>
      </c>
      <c r="BO60" s="343" t="e">
        <f>IF(AND($BC60=0,$C60=Tab_sel!$P$7,$D60=Tab_sel!$O$24,$E60=Tab_sel!$N$31,$F60=Tab_sel!$B$45),1,"")</f>
        <v>#N/A</v>
      </c>
      <c r="BP60" s="354" t="e">
        <f>IF(AND($BC60=0,$C60=Tab_sel!$P$7,$D60=Tab_sel!$O$24,$E60=Tab_sel!$N$31,$F60=Tab_sel!$N$40,$I60=Tab_sel!$B$61),1,"")</f>
        <v>#N/A</v>
      </c>
      <c r="BQ60" s="355" t="e">
        <f>IF(AND($BC60=0,$C60=Tab_sel!$P$7,$D60=Tab_sel!$O$24,$E60=Tab_sel!$N$31,$F60=Tab_sel!$N$40,$I60=Tab_sel!$B$62),1,"")</f>
        <v>#N/A</v>
      </c>
      <c r="BR60" s="355" t="e">
        <f>IF(AND($BC60=0,$C60=Tab_sel!$P$7,$D60=Tab_sel!$O$24,$E60=Tab_sel!$N$31,$F60=Tab_sel!$N$40,$I60=Tab_sel!$B$63),1,"")</f>
        <v>#N/A</v>
      </c>
      <c r="BS60" s="355" t="e">
        <f>IF(AND($BC60=0,$C60=Tab_sel!$P$7,$D60=Tab_sel!$O$24,$E60=Tab_sel!$N$31,$F60=Tab_sel!$N$40,$I60=Tab_sel!$B$64),1,"")</f>
        <v>#N/A</v>
      </c>
      <c r="BT60" s="356" t="e">
        <f>IF(AND($BC60=0,$C60=Tab_sel!$P$7,$D60=Tab_sel!$O$24,$E60=Tab_sel!$N$31,$F60=Tab_sel!$N$40,$I60=Tab_sel!$B$65),1,"")</f>
        <v>#N/A</v>
      </c>
      <c r="BU60" s="856" t="e">
        <f>IF(AND($BC60=0,$C60=Tab_sel!$P$7,$D60=Tab_sel!$O$24,$E60=Tab_sel!$N$31,$F60=Tab_sel!$N$40,$I60=Tab_sel!$P$61,$H60=Tab_sel!$B$77),1,"")</f>
        <v>#N/A</v>
      </c>
      <c r="BV60" s="883" t="e">
        <f>IF(AND($BC60=0,$C60=Tab_sel!$P$7,$D60=Tab_sel!$O$24,$E60=Tab_sel!$N$31,$F60=Tab_sel!$N$40,$I60=Tab_sel!$P$61,$H60=Tab_sel!$B$78),1,"")</f>
        <v>#N/A</v>
      </c>
      <c r="BW60" s="883" t="e">
        <f>IF(AND($BC60=0,$C60=Tab_sel!$P$7,$D60=Tab_sel!$O$24,$E60=Tab_sel!$N$31,$F60=Tab_sel!$N$40,$I60=Tab_sel!$P$61,$H60=Tab_sel!$B$79),1,"")</f>
        <v>#N/A</v>
      </c>
      <c r="BX60" s="883" t="e">
        <f>IF(AND($BC60=0,$C60=Tab_sel!$P$7,$D60=Tab_sel!$O$24,$E60=Tab_sel!$N$31,$F60=Tab_sel!$N$40,$I60=Tab_sel!$P$61,$H60=Tab_sel!$B$80),1,"")</f>
        <v>#N/A</v>
      </c>
      <c r="BY60" s="883" t="e">
        <f>IF(AND($BC60=0,$C60=Tab_sel!$P$7,$D60=Tab_sel!$O$24,$E60=Tab_sel!$N$31,$F60=Tab_sel!$N$40,$I60=Tab_sel!$P$61,$H60=Tab_sel!$B$81),1,"")</f>
        <v>#N/A</v>
      </c>
      <c r="BZ60" s="857" t="e">
        <f>IF(AND($BC60=0,$C60=Tab_sel!$P$7,$D60=Tab_sel!$O$24,$E60=Tab_sel!$N$31,$F60=Tab_sel!$N$40,$I60=Tab_sel!$P$61,$H60=Tab_sel!$B$82),1,"")</f>
        <v>#N/A</v>
      </c>
      <c r="CA60" s="359"/>
      <c r="CC60">
        <f t="shared" si="13"/>
        <v>0</v>
      </c>
      <c r="CD60" s="882">
        <f t="shared" si="14"/>
        <v>0</v>
      </c>
      <c r="CE60" s="882">
        <f t="shared" si="15"/>
        <v>0</v>
      </c>
      <c r="CH60" t="s">
        <v>2636</v>
      </c>
      <c r="CJ60" t="s">
        <v>2611</v>
      </c>
    </row>
    <row r="61" spans="2:88" ht="32.25" customHeight="1" x14ac:dyDescent="0.25">
      <c r="B61" s="791" t="s">
        <v>1976</v>
      </c>
      <c r="C61" s="771" t="s">
        <v>38</v>
      </c>
      <c r="D61" s="772" t="s">
        <v>76</v>
      </c>
      <c r="E61" s="771" t="str">
        <f t="shared" si="23"/>
        <v xml:space="preserve">Fichier ou base de données </v>
      </c>
      <c r="F61" s="768" t="str">
        <f t="shared" si="24"/>
        <v>Disparition</v>
      </c>
      <c r="G61" s="771" t="s">
        <v>2574</v>
      </c>
      <c r="H61" s="771"/>
      <c r="I61" s="771" t="s">
        <v>1201</v>
      </c>
      <c r="J61" s="769" t="s">
        <v>2537</v>
      </c>
      <c r="K61" s="769"/>
      <c r="L61" s="769"/>
      <c r="M61" s="788"/>
      <c r="N61" s="767"/>
      <c r="O61" s="767"/>
      <c r="P61" s="772"/>
      <c r="Q61" s="803"/>
      <c r="R61" s="803"/>
      <c r="S61" s="804"/>
      <c r="T61" s="772"/>
      <c r="U61" s="772"/>
      <c r="V61" s="805"/>
      <c r="W61" s="767"/>
      <c r="X61" s="767"/>
      <c r="Y61" s="772"/>
      <c r="Z61" s="772"/>
      <c r="AA61" s="772"/>
      <c r="AB61" s="805"/>
      <c r="AC61" s="806"/>
      <c r="AD61" s="806"/>
      <c r="AE61" s="806"/>
      <c r="AF61" s="806"/>
      <c r="AG61" s="806"/>
      <c r="AH61" s="805"/>
      <c r="AI61" s="807" t="str">
        <f t="shared" si="2"/>
        <v/>
      </c>
      <c r="AJ61" s="805"/>
      <c r="AK61" s="359"/>
      <c r="AM61" t="str">
        <f t="shared" si="9"/>
        <v/>
      </c>
      <c r="AN61">
        <f t="shared" si="10"/>
        <v>0</v>
      </c>
      <c r="AW61" s="882">
        <f t="shared" si="11"/>
        <v>0</v>
      </c>
      <c r="AX61" s="882">
        <f t="shared" si="25"/>
        <v>1</v>
      </c>
      <c r="AY61" s="882">
        <f t="shared" si="26"/>
        <v>1</v>
      </c>
      <c r="AZ61" s="927">
        <f t="shared" si="27"/>
        <v>1</v>
      </c>
      <c r="BA61" s="882">
        <v>1</v>
      </c>
      <c r="BB61" s="925">
        <f t="shared" si="12"/>
        <v>0</v>
      </c>
      <c r="BC61" s="882">
        <f t="shared" si="28"/>
        <v>1</v>
      </c>
      <c r="BD61" s="342" t="e">
        <f>IF(AND($BC61=0,C61=Tab_sel!$P$7,$D61=Tab_sel!$O$24,$E61=Tab_sel!$B$31),1,"")</f>
        <v>#N/A</v>
      </c>
      <c r="BE61" s="322" t="e">
        <f>IF(AND($BC61=0,C61=Tab_sel!$P$7,$D61=Tab_sel!$O$24,$E61=Tab_sel!$B$32),1,"")</f>
        <v>#N/A</v>
      </c>
      <c r="BF61" s="322" t="e">
        <f>IF(AND($BC61=0,C61=Tab_sel!$P$7,$D61=Tab_sel!$O$24,$E61=Tab_sel!$B$33),1,"")</f>
        <v>#N/A</v>
      </c>
      <c r="BG61" s="322" t="e">
        <f>IF(AND($BC61=0,C61=Tab_sel!$P$7,$D61=Tab_sel!$O$24,$E61=Tab_sel!$B$34),1,"")</f>
        <v>#N/A</v>
      </c>
      <c r="BH61" s="322" t="e">
        <f>IF(AND($BC61=0,C61=Tab_sel!$P$7,$D61=Tab_sel!$O$24,$E61=Tab_sel!$B$35),1,"")</f>
        <v>#N/A</v>
      </c>
      <c r="BI61" s="343" t="e">
        <f>IF(AND($BC61=0,C61=Tab_sel!$P$7,$D61=Tab_sel!$O$24,$E61=Tab_sel!$B$36),1,"")</f>
        <v>#N/A</v>
      </c>
      <c r="BJ61" s="342" t="e">
        <f>IF(AND($BC61=0,$C61=Tab_sel!$P$7,$D61=Tab_sel!$O$24,$E61=Tab_sel!$N$31,$F61=Tab_sel!$B$40),1,"")</f>
        <v>#N/A</v>
      </c>
      <c r="BK61" s="322" t="e">
        <f>IF(AND($BC61=0,$C61=Tab_sel!$P$7,$D61=Tab_sel!$O$24,$E61=Tab_sel!$N$31,$F61=Tab_sel!$B$41),1,"")</f>
        <v>#N/A</v>
      </c>
      <c r="BL61" s="322" t="e">
        <f>IF(AND($BC61=0,$C61=Tab_sel!$P$7,$D61=Tab_sel!$O$24,$E61=Tab_sel!$N$31,$F61=Tab_sel!$B$42),1,"")</f>
        <v>#N/A</v>
      </c>
      <c r="BM61" s="322" t="e">
        <f>IF(AND($BC61=0,$C61=Tab_sel!$P$7,$D61=Tab_sel!$O$24,$E61=Tab_sel!$N$31,$F61=Tab_sel!$B$43),1,"")</f>
        <v>#N/A</v>
      </c>
      <c r="BN61" s="322" t="e">
        <f>IF(AND($BC61=0,$C61=Tab_sel!$P$7,$D61=Tab_sel!$O$24,$E61=Tab_sel!$N$31,$F61=Tab_sel!$B$44),1,"")</f>
        <v>#N/A</v>
      </c>
      <c r="BO61" s="343" t="e">
        <f>IF(AND($BC61=0,$C61=Tab_sel!$P$7,$D61=Tab_sel!$O$24,$E61=Tab_sel!$N$31,$F61=Tab_sel!$B$45),1,"")</f>
        <v>#N/A</v>
      </c>
      <c r="BP61" s="354" t="e">
        <f>IF(AND($BC61=0,$C61=Tab_sel!$P$7,$D61=Tab_sel!$O$24,$E61=Tab_sel!$N$31,$F61=Tab_sel!$N$40,$I61=Tab_sel!$B$61),1,"")</f>
        <v>#N/A</v>
      </c>
      <c r="BQ61" s="355" t="e">
        <f>IF(AND($BC61=0,$C61=Tab_sel!$P$7,$D61=Tab_sel!$O$24,$E61=Tab_sel!$N$31,$F61=Tab_sel!$N$40,$I61=Tab_sel!$B$62),1,"")</f>
        <v>#N/A</v>
      </c>
      <c r="BR61" s="355" t="e">
        <f>IF(AND($BC61=0,$C61=Tab_sel!$P$7,$D61=Tab_sel!$O$24,$E61=Tab_sel!$N$31,$F61=Tab_sel!$N$40,$I61=Tab_sel!$B$63),1,"")</f>
        <v>#N/A</v>
      </c>
      <c r="BS61" s="355" t="e">
        <f>IF(AND($BC61=0,$C61=Tab_sel!$P$7,$D61=Tab_sel!$O$24,$E61=Tab_sel!$N$31,$F61=Tab_sel!$N$40,$I61=Tab_sel!$B$64),1,"")</f>
        <v>#N/A</v>
      </c>
      <c r="BT61" s="356" t="e">
        <f>IF(AND($BC61=0,$C61=Tab_sel!$P$7,$D61=Tab_sel!$O$24,$E61=Tab_sel!$N$31,$F61=Tab_sel!$N$40,$I61=Tab_sel!$B$65),1,"")</f>
        <v>#N/A</v>
      </c>
      <c r="BU61" s="856" t="e">
        <f>IF(AND($BC61=0,$C61=Tab_sel!$P$7,$D61=Tab_sel!$O$24,$E61=Tab_sel!$N$31,$F61=Tab_sel!$N$40,$I61=Tab_sel!$P$61,$H61=Tab_sel!$B$77),1,"")</f>
        <v>#N/A</v>
      </c>
      <c r="BV61" s="883" t="e">
        <f>IF(AND($BC61=0,$C61=Tab_sel!$P$7,$D61=Tab_sel!$O$24,$E61=Tab_sel!$N$31,$F61=Tab_sel!$N$40,$I61=Tab_sel!$P$61,$H61=Tab_sel!$B$78),1,"")</f>
        <v>#N/A</v>
      </c>
      <c r="BW61" s="883" t="e">
        <f>IF(AND($BC61=0,$C61=Tab_sel!$P$7,$D61=Tab_sel!$O$24,$E61=Tab_sel!$N$31,$F61=Tab_sel!$N$40,$I61=Tab_sel!$P$61,$H61=Tab_sel!$B$79),1,"")</f>
        <v>#N/A</v>
      </c>
      <c r="BX61" s="883" t="e">
        <f>IF(AND($BC61=0,$C61=Tab_sel!$P$7,$D61=Tab_sel!$O$24,$E61=Tab_sel!$N$31,$F61=Tab_sel!$N$40,$I61=Tab_sel!$P$61,$H61=Tab_sel!$B$80),1,"")</f>
        <v>#N/A</v>
      </c>
      <c r="BY61" s="883" t="e">
        <f>IF(AND($BC61=0,$C61=Tab_sel!$P$7,$D61=Tab_sel!$O$24,$E61=Tab_sel!$N$31,$F61=Tab_sel!$N$40,$I61=Tab_sel!$P$61,$H61=Tab_sel!$B$81),1,"")</f>
        <v>#N/A</v>
      </c>
      <c r="BZ61" s="857" t="e">
        <f>IF(AND($BC61=0,$C61=Tab_sel!$P$7,$D61=Tab_sel!$O$24,$E61=Tab_sel!$N$31,$F61=Tab_sel!$N$40,$I61=Tab_sel!$P$61,$H61=Tab_sel!$B$82),1,"")</f>
        <v>#N/A</v>
      </c>
      <c r="CA61" s="359"/>
      <c r="CC61">
        <f t="shared" si="13"/>
        <v>0</v>
      </c>
      <c r="CD61" s="882">
        <f t="shared" si="14"/>
        <v>0</v>
      </c>
      <c r="CE61" s="882">
        <f t="shared" si="15"/>
        <v>0</v>
      </c>
      <c r="CG61" t="s">
        <v>2609</v>
      </c>
    </row>
    <row r="62" spans="2:88" ht="39.6" x14ac:dyDescent="0.25">
      <c r="B62" s="791" t="s">
        <v>1977</v>
      </c>
      <c r="C62" s="771" t="s">
        <v>38</v>
      </c>
      <c r="D62" s="772" t="s">
        <v>76</v>
      </c>
      <c r="E62" s="771" t="str">
        <f t="shared" si="23"/>
        <v xml:space="preserve">Fichier ou base de données </v>
      </c>
      <c r="F62" s="768" t="str">
        <f>Inex</f>
        <v>Inexploitabilité</v>
      </c>
      <c r="G62" s="769" t="s">
        <v>1371</v>
      </c>
      <c r="H62" s="769"/>
      <c r="I62" s="771" t="s">
        <v>1197</v>
      </c>
      <c r="J62" s="769"/>
      <c r="K62" s="769"/>
      <c r="L62" s="769"/>
      <c r="M62" s="788" t="s">
        <v>2027</v>
      </c>
      <c r="N62" s="767"/>
      <c r="O62" s="767"/>
      <c r="P62" s="772"/>
      <c r="Q62" s="803"/>
      <c r="R62" s="803"/>
      <c r="S62" s="804"/>
      <c r="T62" s="772"/>
      <c r="U62" s="772"/>
      <c r="V62" s="805"/>
      <c r="W62" s="767"/>
      <c r="X62" s="767"/>
      <c r="Y62" s="772"/>
      <c r="Z62" s="772"/>
      <c r="AA62" s="772"/>
      <c r="AB62" s="805"/>
      <c r="AC62" s="806"/>
      <c r="AD62" s="806"/>
      <c r="AE62" s="806"/>
      <c r="AF62" s="806"/>
      <c r="AG62" s="806"/>
      <c r="AH62" s="805"/>
      <c r="AI62" s="807" t="str">
        <f t="shared" si="2"/>
        <v/>
      </c>
      <c r="AJ62" s="805"/>
      <c r="AK62" s="359"/>
      <c r="AM62" t="str">
        <f t="shared" si="9"/>
        <v/>
      </c>
      <c r="AN62">
        <f t="shared" si="10"/>
        <v>0</v>
      </c>
      <c r="AW62" s="882">
        <f t="shared" ref="AW62:AW121" si="29">IF(ISNUMBER(IF(D62="D",VLOOKUP(C62,Tab_ActP,4,FALSE),IF(D62="I",VLOOKUP(C62,Tab_ActP,5,FALSE),IF(D62="C",VLOOKUP(C62,Tab_ActP,6,FALSE),VLOOKUP(C62,Tab_ActP,7,FALSE))))),1,0)</f>
        <v>0</v>
      </c>
      <c r="AX62" s="882">
        <f t="shared" si="25"/>
        <v>1</v>
      </c>
      <c r="AY62" s="882">
        <f t="shared" si="26"/>
        <v>1</v>
      </c>
      <c r="AZ62" s="927">
        <f t="shared" si="27"/>
        <v>1</v>
      </c>
      <c r="BA62" s="882">
        <v>1</v>
      </c>
      <c r="BB62" s="925">
        <f t="shared" si="12"/>
        <v>0</v>
      </c>
      <c r="BC62" s="882">
        <f t="shared" si="28"/>
        <v>1</v>
      </c>
      <c r="BD62" s="342" t="e">
        <f>IF(AND($BC62=0,C62=Tab_sel!$P$7,$D62=Tab_sel!$O$24,$E62=Tab_sel!$B$31),1,"")</f>
        <v>#N/A</v>
      </c>
      <c r="BE62" s="322" t="e">
        <f>IF(AND($BC62=0,C62=Tab_sel!$P$7,$D62=Tab_sel!$O$24,$E62=Tab_sel!$B$32),1,"")</f>
        <v>#N/A</v>
      </c>
      <c r="BF62" s="322" t="e">
        <f>IF(AND($BC62=0,C62=Tab_sel!$P$7,$D62=Tab_sel!$O$24,$E62=Tab_sel!$B$33),1,"")</f>
        <v>#N/A</v>
      </c>
      <c r="BG62" s="322" t="e">
        <f>IF(AND($BC62=0,C62=Tab_sel!$P$7,$D62=Tab_sel!$O$24,$E62=Tab_sel!$B$34),1,"")</f>
        <v>#N/A</v>
      </c>
      <c r="BH62" s="322" t="e">
        <f>IF(AND($BC62=0,C62=Tab_sel!$P$7,$D62=Tab_sel!$O$24,$E62=Tab_sel!$B$35),1,"")</f>
        <v>#N/A</v>
      </c>
      <c r="BI62" s="343" t="e">
        <f>IF(AND($BC62=0,C62=Tab_sel!$P$7,$D62=Tab_sel!$O$24,$E62=Tab_sel!$B$36),1,"")</f>
        <v>#N/A</v>
      </c>
      <c r="BJ62" s="342" t="e">
        <f>IF(AND($BC62=0,$C62=Tab_sel!$P$7,$D62=Tab_sel!$O$24,$E62=Tab_sel!$N$31,$F62=Tab_sel!$B$40),1,"")</f>
        <v>#N/A</v>
      </c>
      <c r="BK62" s="322" t="e">
        <f>IF(AND($BC62=0,$C62=Tab_sel!$P$7,$D62=Tab_sel!$O$24,$E62=Tab_sel!$N$31,$F62=Tab_sel!$B$41),1,"")</f>
        <v>#N/A</v>
      </c>
      <c r="BL62" s="322" t="e">
        <f>IF(AND($BC62=0,$C62=Tab_sel!$P$7,$D62=Tab_sel!$O$24,$E62=Tab_sel!$N$31,$F62=Tab_sel!$B$42),1,"")</f>
        <v>#N/A</v>
      </c>
      <c r="BM62" s="322" t="e">
        <f>IF(AND($BC62=0,$C62=Tab_sel!$P$7,$D62=Tab_sel!$O$24,$E62=Tab_sel!$N$31,$F62=Tab_sel!$B$43),1,"")</f>
        <v>#N/A</v>
      </c>
      <c r="BN62" s="322" t="e">
        <f>IF(AND($BC62=0,$C62=Tab_sel!$P$7,$D62=Tab_sel!$O$24,$E62=Tab_sel!$N$31,$F62=Tab_sel!$B$44),1,"")</f>
        <v>#N/A</v>
      </c>
      <c r="BO62" s="343" t="e">
        <f>IF(AND($BC62=0,$C62=Tab_sel!$P$7,$D62=Tab_sel!$O$24,$E62=Tab_sel!$N$31,$F62=Tab_sel!$B$45),1,"")</f>
        <v>#N/A</v>
      </c>
      <c r="BP62" s="354" t="e">
        <f>IF(AND($BC62=0,$C62=Tab_sel!$P$7,$D62=Tab_sel!$O$24,$E62=Tab_sel!$N$31,$F62=Tab_sel!$N$40,$I62=Tab_sel!$B$61),1,"")</f>
        <v>#N/A</v>
      </c>
      <c r="BQ62" s="355" t="e">
        <f>IF(AND($BC62=0,$C62=Tab_sel!$P$7,$D62=Tab_sel!$O$24,$E62=Tab_sel!$N$31,$F62=Tab_sel!$N$40,$I62=Tab_sel!$B$62),1,"")</f>
        <v>#N/A</v>
      </c>
      <c r="BR62" s="355" t="e">
        <f>IF(AND($BC62=0,$C62=Tab_sel!$P$7,$D62=Tab_sel!$O$24,$E62=Tab_sel!$N$31,$F62=Tab_sel!$N$40,$I62=Tab_sel!$B$63),1,"")</f>
        <v>#N/A</v>
      </c>
      <c r="BS62" s="355" t="e">
        <f>IF(AND($BC62=0,$C62=Tab_sel!$P$7,$D62=Tab_sel!$O$24,$E62=Tab_sel!$N$31,$F62=Tab_sel!$N$40,$I62=Tab_sel!$B$64),1,"")</f>
        <v>#N/A</v>
      </c>
      <c r="BT62" s="356" t="e">
        <f>IF(AND($BC62=0,$C62=Tab_sel!$P$7,$D62=Tab_sel!$O$24,$E62=Tab_sel!$N$31,$F62=Tab_sel!$N$40,$I62=Tab_sel!$B$65),1,"")</f>
        <v>#N/A</v>
      </c>
      <c r="BU62" s="856" t="e">
        <f>IF(AND($BC62=0,$C62=Tab_sel!$P$7,$D62=Tab_sel!$O$24,$E62=Tab_sel!$N$31,$F62=Tab_sel!$N$40,$I62=Tab_sel!$P$61,$H62=Tab_sel!$B$77),1,"")</f>
        <v>#N/A</v>
      </c>
      <c r="BV62" s="883" t="e">
        <f>IF(AND($BC62=0,$C62=Tab_sel!$P$7,$D62=Tab_sel!$O$24,$E62=Tab_sel!$N$31,$F62=Tab_sel!$N$40,$I62=Tab_sel!$P$61,$H62=Tab_sel!$B$78),1,"")</f>
        <v>#N/A</v>
      </c>
      <c r="BW62" s="883" t="e">
        <f>IF(AND($BC62=0,$C62=Tab_sel!$P$7,$D62=Tab_sel!$O$24,$E62=Tab_sel!$N$31,$F62=Tab_sel!$N$40,$I62=Tab_sel!$P$61,$H62=Tab_sel!$B$79),1,"")</f>
        <v>#N/A</v>
      </c>
      <c r="BX62" s="883" t="e">
        <f>IF(AND($BC62=0,$C62=Tab_sel!$P$7,$D62=Tab_sel!$O$24,$E62=Tab_sel!$N$31,$F62=Tab_sel!$N$40,$I62=Tab_sel!$P$61,$H62=Tab_sel!$B$80),1,"")</f>
        <v>#N/A</v>
      </c>
      <c r="BY62" s="883" t="e">
        <f>IF(AND($BC62=0,$C62=Tab_sel!$P$7,$D62=Tab_sel!$O$24,$E62=Tab_sel!$N$31,$F62=Tab_sel!$N$40,$I62=Tab_sel!$P$61,$H62=Tab_sel!$B$81),1,"")</f>
        <v>#N/A</v>
      </c>
      <c r="BZ62" s="857" t="e">
        <f>IF(AND($BC62=0,$C62=Tab_sel!$P$7,$D62=Tab_sel!$O$24,$E62=Tab_sel!$N$31,$F62=Tab_sel!$N$40,$I62=Tab_sel!$P$61,$H62=Tab_sel!$B$82),1,"")</f>
        <v>#N/A</v>
      </c>
      <c r="CA62" s="359"/>
      <c r="CC62">
        <f t="shared" ref="CC62:CC121" si="30">IF(OR(AK62=1,AH62="",NOT(AB62="-")),0,1)</f>
        <v>0</v>
      </c>
      <c r="CD62" s="882">
        <f t="shared" ref="CD62:CD121" si="31">IF(OR(AK62=1,AB62="-",AH62=""),0,1)</f>
        <v>0</v>
      </c>
      <c r="CE62" s="882">
        <f t="shared" ref="CE62:CE121" si="32">IF(NOT(AK62=1),AB62)</f>
        <v>0</v>
      </c>
      <c r="CJ62" t="s">
        <v>2612</v>
      </c>
    </row>
    <row r="63" spans="2:88" ht="39.6" x14ac:dyDescent="0.25">
      <c r="B63" s="791" t="s">
        <v>1978</v>
      </c>
      <c r="C63" s="771" t="s">
        <v>38</v>
      </c>
      <c r="D63" s="772" t="s">
        <v>76</v>
      </c>
      <c r="E63" s="771" t="str">
        <f t="shared" si="23"/>
        <v xml:space="preserve">Fichier ou base de données </v>
      </c>
      <c r="F63" s="768" t="str">
        <f>Endl</f>
        <v>Endommagement logique</v>
      </c>
      <c r="G63" s="768" t="s">
        <v>2554</v>
      </c>
      <c r="H63" s="876"/>
      <c r="I63" s="874" t="s">
        <v>1171</v>
      </c>
      <c r="J63" s="769"/>
      <c r="K63" s="769"/>
      <c r="L63" s="769"/>
      <c r="M63" s="788" t="s">
        <v>1259</v>
      </c>
      <c r="N63" s="767"/>
      <c r="O63" s="767"/>
      <c r="P63" s="772"/>
      <c r="Q63" s="803"/>
      <c r="R63" s="803"/>
      <c r="S63" s="804"/>
      <c r="T63" s="772"/>
      <c r="U63" s="772"/>
      <c r="V63" s="805"/>
      <c r="W63" s="767"/>
      <c r="X63" s="767"/>
      <c r="Y63" s="772"/>
      <c r="Z63" s="772"/>
      <c r="AA63" s="772"/>
      <c r="AB63" s="805"/>
      <c r="AC63" s="806"/>
      <c r="AD63" s="806"/>
      <c r="AE63" s="806"/>
      <c r="AF63" s="806"/>
      <c r="AG63" s="806"/>
      <c r="AH63" s="805"/>
      <c r="AI63" s="807" t="str">
        <f t="shared" si="2"/>
        <v/>
      </c>
      <c r="AJ63" s="805"/>
      <c r="AK63" s="359"/>
      <c r="AM63" t="str">
        <f t="shared" si="9"/>
        <v/>
      </c>
      <c r="AN63">
        <f t="shared" si="10"/>
        <v>0</v>
      </c>
      <c r="AW63" s="882">
        <f t="shared" si="29"/>
        <v>0</v>
      </c>
      <c r="AX63" s="882">
        <f t="shared" si="25"/>
        <v>1</v>
      </c>
      <c r="AY63" s="882">
        <f t="shared" si="26"/>
        <v>1</v>
      </c>
      <c r="AZ63" s="927">
        <f t="shared" si="27"/>
        <v>1</v>
      </c>
      <c r="BA63" s="882">
        <v>1</v>
      </c>
      <c r="BB63" s="925">
        <f t="shared" si="12"/>
        <v>0</v>
      </c>
      <c r="BC63" s="882">
        <f t="shared" si="28"/>
        <v>1</v>
      </c>
      <c r="BD63" s="342" t="e">
        <f>IF(AND($BC63=0,C63=Tab_sel!$P$7,$D63=Tab_sel!$O$24,$E63=Tab_sel!$B$31),1,"")</f>
        <v>#N/A</v>
      </c>
      <c r="BE63" s="322" t="e">
        <f>IF(AND($BC63=0,C63=Tab_sel!$P$7,$D63=Tab_sel!$O$24,$E63=Tab_sel!$B$32),1,"")</f>
        <v>#N/A</v>
      </c>
      <c r="BF63" s="322" t="e">
        <f>IF(AND($BC63=0,C63=Tab_sel!$P$7,$D63=Tab_sel!$O$24,$E63=Tab_sel!$B$33),1,"")</f>
        <v>#N/A</v>
      </c>
      <c r="BG63" s="322" t="e">
        <f>IF(AND($BC63=0,C63=Tab_sel!$P$7,$D63=Tab_sel!$O$24,$E63=Tab_sel!$B$34),1,"")</f>
        <v>#N/A</v>
      </c>
      <c r="BH63" s="322" t="e">
        <f>IF(AND($BC63=0,C63=Tab_sel!$P$7,$D63=Tab_sel!$O$24,$E63=Tab_sel!$B$35),1,"")</f>
        <v>#N/A</v>
      </c>
      <c r="BI63" s="343" t="e">
        <f>IF(AND($BC63=0,C63=Tab_sel!$P$7,$D63=Tab_sel!$O$24,$E63=Tab_sel!$B$36),1,"")</f>
        <v>#N/A</v>
      </c>
      <c r="BJ63" s="342" t="e">
        <f>IF(AND($BC63=0,$C63=Tab_sel!$P$7,$D63=Tab_sel!$O$24,$E63=Tab_sel!$N$31,$F63=Tab_sel!$B$40),1,"")</f>
        <v>#N/A</v>
      </c>
      <c r="BK63" s="322" t="e">
        <f>IF(AND($BC63=0,$C63=Tab_sel!$P$7,$D63=Tab_sel!$O$24,$E63=Tab_sel!$N$31,$F63=Tab_sel!$B$41),1,"")</f>
        <v>#N/A</v>
      </c>
      <c r="BL63" s="322" t="e">
        <f>IF(AND($BC63=0,$C63=Tab_sel!$P$7,$D63=Tab_sel!$O$24,$E63=Tab_sel!$N$31,$F63=Tab_sel!$B$42),1,"")</f>
        <v>#N/A</v>
      </c>
      <c r="BM63" s="322" t="e">
        <f>IF(AND($BC63=0,$C63=Tab_sel!$P$7,$D63=Tab_sel!$O$24,$E63=Tab_sel!$N$31,$F63=Tab_sel!$B$43),1,"")</f>
        <v>#N/A</v>
      </c>
      <c r="BN63" s="322" t="e">
        <f>IF(AND($BC63=0,$C63=Tab_sel!$P$7,$D63=Tab_sel!$O$24,$E63=Tab_sel!$N$31,$F63=Tab_sel!$B$44),1,"")</f>
        <v>#N/A</v>
      </c>
      <c r="BO63" s="343" t="e">
        <f>IF(AND($BC63=0,$C63=Tab_sel!$P$7,$D63=Tab_sel!$O$24,$E63=Tab_sel!$N$31,$F63=Tab_sel!$B$45),1,"")</f>
        <v>#N/A</v>
      </c>
      <c r="BP63" s="354" t="e">
        <f>IF(AND($BC63=0,$C63=Tab_sel!$P$7,$D63=Tab_sel!$O$24,$E63=Tab_sel!$N$31,$F63=Tab_sel!$N$40,$I63=Tab_sel!$B$61),1,"")</f>
        <v>#N/A</v>
      </c>
      <c r="BQ63" s="355" t="e">
        <f>IF(AND($BC63=0,$C63=Tab_sel!$P$7,$D63=Tab_sel!$O$24,$E63=Tab_sel!$N$31,$F63=Tab_sel!$N$40,$I63=Tab_sel!$B$62),1,"")</f>
        <v>#N/A</v>
      </c>
      <c r="BR63" s="355" t="e">
        <f>IF(AND($BC63=0,$C63=Tab_sel!$P$7,$D63=Tab_sel!$O$24,$E63=Tab_sel!$N$31,$F63=Tab_sel!$N$40,$I63=Tab_sel!$B$63),1,"")</f>
        <v>#N/A</v>
      </c>
      <c r="BS63" s="355" t="e">
        <f>IF(AND($BC63=0,$C63=Tab_sel!$P$7,$D63=Tab_sel!$O$24,$E63=Tab_sel!$N$31,$F63=Tab_sel!$N$40,$I63=Tab_sel!$B$64),1,"")</f>
        <v>#N/A</v>
      </c>
      <c r="BT63" s="356" t="e">
        <f>IF(AND($BC63=0,$C63=Tab_sel!$P$7,$D63=Tab_sel!$O$24,$E63=Tab_sel!$N$31,$F63=Tab_sel!$N$40,$I63=Tab_sel!$B$65),1,"")</f>
        <v>#N/A</v>
      </c>
      <c r="BU63" s="856" t="e">
        <f>IF(AND($BC63=0,$C63=Tab_sel!$P$7,$D63=Tab_sel!$O$24,$E63=Tab_sel!$N$31,$F63=Tab_sel!$N$40,$I63=Tab_sel!$P$61,$H63=Tab_sel!$B$77),1,"")</f>
        <v>#N/A</v>
      </c>
      <c r="BV63" s="883" t="e">
        <f>IF(AND($BC63=0,$C63=Tab_sel!$P$7,$D63=Tab_sel!$O$24,$E63=Tab_sel!$N$31,$F63=Tab_sel!$N$40,$I63=Tab_sel!$P$61,$H63=Tab_sel!$B$78),1,"")</f>
        <v>#N/A</v>
      </c>
      <c r="BW63" s="883" t="e">
        <f>IF(AND($BC63=0,$C63=Tab_sel!$P$7,$D63=Tab_sel!$O$24,$E63=Tab_sel!$N$31,$F63=Tab_sel!$N$40,$I63=Tab_sel!$P$61,$H63=Tab_sel!$B$79),1,"")</f>
        <v>#N/A</v>
      </c>
      <c r="BX63" s="883" t="e">
        <f>IF(AND($BC63=0,$C63=Tab_sel!$P$7,$D63=Tab_sel!$O$24,$E63=Tab_sel!$N$31,$F63=Tab_sel!$N$40,$I63=Tab_sel!$P$61,$H63=Tab_sel!$B$80),1,"")</f>
        <v>#N/A</v>
      </c>
      <c r="BY63" s="883" t="e">
        <f>IF(AND($BC63=0,$C63=Tab_sel!$P$7,$D63=Tab_sel!$O$24,$E63=Tab_sel!$N$31,$F63=Tab_sel!$N$40,$I63=Tab_sel!$P$61,$H63=Tab_sel!$B$81),1,"")</f>
        <v>#N/A</v>
      </c>
      <c r="BZ63" s="857" t="e">
        <f>IF(AND($BC63=0,$C63=Tab_sel!$P$7,$D63=Tab_sel!$O$24,$E63=Tab_sel!$N$31,$F63=Tab_sel!$N$40,$I63=Tab_sel!$P$61,$H63=Tab_sel!$B$82),1,"")</f>
        <v>#N/A</v>
      </c>
      <c r="CA63" s="359"/>
      <c r="CC63">
        <f t="shared" si="30"/>
        <v>0</v>
      </c>
      <c r="CD63" s="882">
        <f t="shared" si="31"/>
        <v>0</v>
      </c>
      <c r="CE63" s="882">
        <f t="shared" si="32"/>
        <v>0</v>
      </c>
      <c r="CJ63" t="s">
        <v>2611</v>
      </c>
    </row>
    <row r="64" spans="2:88" ht="39.6" x14ac:dyDescent="0.25">
      <c r="B64" s="791" t="s">
        <v>1979</v>
      </c>
      <c r="C64" s="771" t="s">
        <v>38</v>
      </c>
      <c r="D64" s="772" t="s">
        <v>76</v>
      </c>
      <c r="E64" s="771" t="str">
        <f>Det</f>
        <v>Données en transit</v>
      </c>
      <c r="F64" s="771" t="str">
        <f>Disp</f>
        <v>Disparition</v>
      </c>
      <c r="G64" s="768" t="s">
        <v>1980</v>
      </c>
      <c r="H64" s="768"/>
      <c r="I64" s="771" t="s">
        <v>1171</v>
      </c>
      <c r="J64" s="769"/>
      <c r="K64" s="769" t="s">
        <v>1348</v>
      </c>
      <c r="L64" s="779"/>
      <c r="M64" s="793"/>
      <c r="N64" s="767"/>
      <c r="O64" s="767"/>
      <c r="P64" s="772"/>
      <c r="Q64" s="803"/>
      <c r="R64" s="803"/>
      <c r="S64" s="804"/>
      <c r="T64" s="772"/>
      <c r="U64" s="772"/>
      <c r="V64" s="805"/>
      <c r="W64" s="767"/>
      <c r="X64" s="767"/>
      <c r="Y64" s="772"/>
      <c r="Z64" s="772"/>
      <c r="AA64" s="772"/>
      <c r="AB64" s="805"/>
      <c r="AC64" s="806"/>
      <c r="AD64" s="806"/>
      <c r="AE64" s="806"/>
      <c r="AF64" s="806"/>
      <c r="AG64" s="806"/>
      <c r="AH64" s="805"/>
      <c r="AI64" s="807" t="str">
        <f t="shared" si="2"/>
        <v/>
      </c>
      <c r="AJ64" s="805"/>
      <c r="AK64" s="359"/>
      <c r="AM64" t="str">
        <f t="shared" si="9"/>
        <v/>
      </c>
      <c r="AN64">
        <f t="shared" si="10"/>
        <v>0</v>
      </c>
      <c r="AW64" s="882">
        <f t="shared" si="29"/>
        <v>0</v>
      </c>
      <c r="AX64" s="882">
        <f t="shared" si="25"/>
        <v>1</v>
      </c>
      <c r="AY64" s="882">
        <f t="shared" si="26"/>
        <v>1</v>
      </c>
      <c r="AZ64" s="927">
        <f t="shared" si="27"/>
        <v>1</v>
      </c>
      <c r="BA64" s="882">
        <v>1</v>
      </c>
      <c r="BB64" s="925">
        <f t="shared" si="12"/>
        <v>0</v>
      </c>
      <c r="BC64" s="882">
        <f t="shared" si="28"/>
        <v>1</v>
      </c>
      <c r="BD64" s="342" t="e">
        <f>IF(AND($BC64=0,C64=Tab_sel!$P$7,$D64=Tab_sel!$O$24,$E64=Tab_sel!$B$31),1,"")</f>
        <v>#N/A</v>
      </c>
      <c r="BE64" s="322" t="e">
        <f>IF(AND($BC64=0,C64=Tab_sel!$P$7,$D64=Tab_sel!$O$24,$E64=Tab_sel!$B$32),1,"")</f>
        <v>#N/A</v>
      </c>
      <c r="BF64" s="322" t="e">
        <f>IF(AND($BC64=0,C64=Tab_sel!$P$7,$D64=Tab_sel!$O$24,$E64=Tab_sel!$B$33),1,"")</f>
        <v>#N/A</v>
      </c>
      <c r="BG64" s="322" t="e">
        <f>IF(AND($BC64=0,C64=Tab_sel!$P$7,$D64=Tab_sel!$O$24,$E64=Tab_sel!$B$34),1,"")</f>
        <v>#N/A</v>
      </c>
      <c r="BH64" s="322" t="e">
        <f>IF(AND($BC64=0,C64=Tab_sel!$P$7,$D64=Tab_sel!$O$24,$E64=Tab_sel!$B$35),1,"")</f>
        <v>#N/A</v>
      </c>
      <c r="BI64" s="343" t="e">
        <f>IF(AND($BC64=0,C64=Tab_sel!$P$7,$D64=Tab_sel!$O$24,$E64=Tab_sel!$B$36),1,"")</f>
        <v>#N/A</v>
      </c>
      <c r="BJ64" s="342" t="e">
        <f>IF(AND($BC64=0,$C64=Tab_sel!$P$7,$D64=Tab_sel!$O$24,$E64=Tab_sel!$N$31,$F64=Tab_sel!$B$40),1,"")</f>
        <v>#N/A</v>
      </c>
      <c r="BK64" s="322" t="e">
        <f>IF(AND($BC64=0,$C64=Tab_sel!$P$7,$D64=Tab_sel!$O$24,$E64=Tab_sel!$N$31,$F64=Tab_sel!$B$41),1,"")</f>
        <v>#N/A</v>
      </c>
      <c r="BL64" s="322" t="e">
        <f>IF(AND($BC64=0,$C64=Tab_sel!$P$7,$D64=Tab_sel!$O$24,$E64=Tab_sel!$N$31,$F64=Tab_sel!$B$42),1,"")</f>
        <v>#N/A</v>
      </c>
      <c r="BM64" s="322" t="e">
        <f>IF(AND($BC64=0,$C64=Tab_sel!$P$7,$D64=Tab_sel!$O$24,$E64=Tab_sel!$N$31,$F64=Tab_sel!$B$43),1,"")</f>
        <v>#N/A</v>
      </c>
      <c r="BN64" s="322" t="e">
        <f>IF(AND($BC64=0,$C64=Tab_sel!$P$7,$D64=Tab_sel!$O$24,$E64=Tab_sel!$N$31,$F64=Tab_sel!$B$44),1,"")</f>
        <v>#N/A</v>
      </c>
      <c r="BO64" s="343" t="e">
        <f>IF(AND($BC64=0,$C64=Tab_sel!$P$7,$D64=Tab_sel!$O$24,$E64=Tab_sel!$N$31,$F64=Tab_sel!$B$45),1,"")</f>
        <v>#N/A</v>
      </c>
      <c r="BP64" s="354" t="e">
        <f>IF(AND($BC64=0,$C64=Tab_sel!$P$7,$D64=Tab_sel!$O$24,$E64=Tab_sel!$N$31,$F64=Tab_sel!$N$40,$I64=Tab_sel!$B$61),1,"")</f>
        <v>#N/A</v>
      </c>
      <c r="BQ64" s="355" t="e">
        <f>IF(AND($BC64=0,$C64=Tab_sel!$P$7,$D64=Tab_sel!$O$24,$E64=Tab_sel!$N$31,$F64=Tab_sel!$N$40,$I64=Tab_sel!$B$62),1,"")</f>
        <v>#N/A</v>
      </c>
      <c r="BR64" s="355" t="e">
        <f>IF(AND($BC64=0,$C64=Tab_sel!$P$7,$D64=Tab_sel!$O$24,$E64=Tab_sel!$N$31,$F64=Tab_sel!$N$40,$I64=Tab_sel!$B$63),1,"")</f>
        <v>#N/A</v>
      </c>
      <c r="BS64" s="355" t="e">
        <f>IF(AND($BC64=0,$C64=Tab_sel!$P$7,$D64=Tab_sel!$O$24,$E64=Tab_sel!$N$31,$F64=Tab_sel!$N$40,$I64=Tab_sel!$B$64),1,"")</f>
        <v>#N/A</v>
      </c>
      <c r="BT64" s="356" t="e">
        <f>IF(AND($BC64=0,$C64=Tab_sel!$P$7,$D64=Tab_sel!$O$24,$E64=Tab_sel!$N$31,$F64=Tab_sel!$N$40,$I64=Tab_sel!$B$65),1,"")</f>
        <v>#N/A</v>
      </c>
      <c r="BU64" s="856" t="e">
        <f>IF(AND($BC64=0,$C64=Tab_sel!$P$7,$D64=Tab_sel!$O$24,$E64=Tab_sel!$N$31,$F64=Tab_sel!$N$40,$I64=Tab_sel!$P$61,$H64=Tab_sel!$B$77),1,"")</f>
        <v>#N/A</v>
      </c>
      <c r="BV64" s="883" t="e">
        <f>IF(AND($BC64=0,$C64=Tab_sel!$P$7,$D64=Tab_sel!$O$24,$E64=Tab_sel!$N$31,$F64=Tab_sel!$N$40,$I64=Tab_sel!$P$61,$H64=Tab_sel!$B$78),1,"")</f>
        <v>#N/A</v>
      </c>
      <c r="BW64" s="883" t="e">
        <f>IF(AND($BC64=0,$C64=Tab_sel!$P$7,$D64=Tab_sel!$O$24,$E64=Tab_sel!$N$31,$F64=Tab_sel!$N$40,$I64=Tab_sel!$P$61,$H64=Tab_sel!$B$79),1,"")</f>
        <v>#N/A</v>
      </c>
      <c r="BX64" s="883" t="e">
        <f>IF(AND($BC64=0,$C64=Tab_sel!$P$7,$D64=Tab_sel!$O$24,$E64=Tab_sel!$N$31,$F64=Tab_sel!$N$40,$I64=Tab_sel!$P$61,$H64=Tab_sel!$B$80),1,"")</f>
        <v>#N/A</v>
      </c>
      <c r="BY64" s="883" t="e">
        <f>IF(AND($BC64=0,$C64=Tab_sel!$P$7,$D64=Tab_sel!$O$24,$E64=Tab_sel!$N$31,$F64=Tab_sel!$N$40,$I64=Tab_sel!$P$61,$H64=Tab_sel!$B$81),1,"")</f>
        <v>#N/A</v>
      </c>
      <c r="BZ64" s="857" t="e">
        <f>IF(AND($BC64=0,$C64=Tab_sel!$P$7,$D64=Tab_sel!$O$24,$E64=Tab_sel!$N$31,$F64=Tab_sel!$N$40,$I64=Tab_sel!$P$61,$H64=Tab_sel!$B$82),1,"")</f>
        <v>#N/A</v>
      </c>
      <c r="CA64" s="359"/>
      <c r="CC64">
        <f t="shared" si="30"/>
        <v>0</v>
      </c>
      <c r="CD64" s="882">
        <f t="shared" si="31"/>
        <v>0</v>
      </c>
      <c r="CE64" s="882">
        <f t="shared" si="32"/>
        <v>0</v>
      </c>
      <c r="CH64" t="s">
        <v>2617</v>
      </c>
    </row>
    <row r="65" spans="2:88" ht="39.6" x14ac:dyDescent="0.25">
      <c r="B65" s="791" t="s">
        <v>1981</v>
      </c>
      <c r="C65" s="771" t="s">
        <v>38</v>
      </c>
      <c r="D65" s="772" t="s">
        <v>76</v>
      </c>
      <c r="E65" s="771" t="str">
        <f t="shared" ref="E65:E73" si="33">Med</f>
        <v>Media support de données</v>
      </c>
      <c r="F65" s="768" t="str">
        <f>Inac</f>
        <v>Inaccessibilité</v>
      </c>
      <c r="G65" s="768" t="s">
        <v>1112</v>
      </c>
      <c r="H65" s="768"/>
      <c r="I65" s="771" t="s">
        <v>1197</v>
      </c>
      <c r="J65" s="769"/>
      <c r="K65" s="769" t="s">
        <v>2027</v>
      </c>
      <c r="L65" s="769"/>
      <c r="M65" s="788"/>
      <c r="N65" s="767"/>
      <c r="O65" s="767"/>
      <c r="P65" s="772"/>
      <c r="Q65" s="803"/>
      <c r="R65" s="803"/>
      <c r="S65" s="804"/>
      <c r="T65" s="772"/>
      <c r="U65" s="772"/>
      <c r="V65" s="805"/>
      <c r="W65" s="767"/>
      <c r="X65" s="767"/>
      <c r="Y65" s="772"/>
      <c r="Z65" s="772"/>
      <c r="AA65" s="772"/>
      <c r="AB65" s="805"/>
      <c r="AC65" s="806"/>
      <c r="AD65" s="806"/>
      <c r="AE65" s="806"/>
      <c r="AF65" s="806"/>
      <c r="AG65" s="806"/>
      <c r="AH65" s="805"/>
      <c r="AI65" s="807" t="str">
        <f t="shared" si="2"/>
        <v/>
      </c>
      <c r="AJ65" s="805"/>
      <c r="AK65" s="359"/>
      <c r="AM65" t="str">
        <f t="shared" si="9"/>
        <v/>
      </c>
      <c r="AN65">
        <f t="shared" si="10"/>
        <v>0</v>
      </c>
      <c r="AW65" s="882">
        <f t="shared" si="29"/>
        <v>0</v>
      </c>
      <c r="AX65" s="882">
        <f t="shared" si="25"/>
        <v>1</v>
      </c>
      <c r="AY65" s="882">
        <f t="shared" si="26"/>
        <v>1</v>
      </c>
      <c r="AZ65" s="927">
        <f t="shared" si="27"/>
        <v>1</v>
      </c>
      <c r="BA65" s="882">
        <v>1</v>
      </c>
      <c r="BB65" s="925">
        <f t="shared" si="12"/>
        <v>0</v>
      </c>
      <c r="BC65" s="882">
        <f t="shared" si="28"/>
        <v>1</v>
      </c>
      <c r="BD65" s="342" t="e">
        <f>IF(AND($BC65=0,C65=Tab_sel!$P$7,$D65=Tab_sel!$O$24,$E65=Tab_sel!$B$31),1,"")</f>
        <v>#N/A</v>
      </c>
      <c r="BE65" s="322" t="e">
        <f>IF(AND($BC65=0,C65=Tab_sel!$P$7,$D65=Tab_sel!$O$24,$E65=Tab_sel!$B$32),1,"")</f>
        <v>#N/A</v>
      </c>
      <c r="BF65" s="322" t="e">
        <f>IF(AND($BC65=0,C65=Tab_sel!$P$7,$D65=Tab_sel!$O$24,$E65=Tab_sel!$B$33),1,"")</f>
        <v>#N/A</v>
      </c>
      <c r="BG65" s="322" t="e">
        <f>IF(AND($BC65=0,C65=Tab_sel!$P$7,$D65=Tab_sel!$O$24,$E65=Tab_sel!$B$34),1,"")</f>
        <v>#N/A</v>
      </c>
      <c r="BH65" s="322" t="e">
        <f>IF(AND($BC65=0,C65=Tab_sel!$P$7,$D65=Tab_sel!$O$24,$E65=Tab_sel!$B$35),1,"")</f>
        <v>#N/A</v>
      </c>
      <c r="BI65" s="343" t="e">
        <f>IF(AND($BC65=0,C65=Tab_sel!$P$7,$D65=Tab_sel!$O$24,$E65=Tab_sel!$B$36),1,"")</f>
        <v>#N/A</v>
      </c>
      <c r="BJ65" s="342" t="e">
        <f>IF(AND($BC65=0,$C65=Tab_sel!$P$7,$D65=Tab_sel!$O$24,$E65=Tab_sel!$N$31,$F65=Tab_sel!$B$40),1,"")</f>
        <v>#N/A</v>
      </c>
      <c r="BK65" s="322" t="e">
        <f>IF(AND($BC65=0,$C65=Tab_sel!$P$7,$D65=Tab_sel!$O$24,$E65=Tab_sel!$N$31,$F65=Tab_sel!$B$41),1,"")</f>
        <v>#N/A</v>
      </c>
      <c r="BL65" s="322" t="e">
        <f>IF(AND($BC65=0,$C65=Tab_sel!$P$7,$D65=Tab_sel!$O$24,$E65=Tab_sel!$N$31,$F65=Tab_sel!$B$42),1,"")</f>
        <v>#N/A</v>
      </c>
      <c r="BM65" s="322" t="e">
        <f>IF(AND($BC65=0,$C65=Tab_sel!$P$7,$D65=Tab_sel!$O$24,$E65=Tab_sel!$N$31,$F65=Tab_sel!$B$43),1,"")</f>
        <v>#N/A</v>
      </c>
      <c r="BN65" s="322" t="e">
        <f>IF(AND($BC65=0,$C65=Tab_sel!$P$7,$D65=Tab_sel!$O$24,$E65=Tab_sel!$N$31,$F65=Tab_sel!$B$44),1,"")</f>
        <v>#N/A</v>
      </c>
      <c r="BO65" s="343" t="e">
        <f>IF(AND($BC65=0,$C65=Tab_sel!$P$7,$D65=Tab_sel!$O$24,$E65=Tab_sel!$N$31,$F65=Tab_sel!$B$45),1,"")</f>
        <v>#N/A</v>
      </c>
      <c r="BP65" s="354" t="e">
        <f>IF(AND($BC65=0,$C65=Tab_sel!$P$7,$D65=Tab_sel!$O$24,$E65=Tab_sel!$N$31,$F65=Tab_sel!$N$40,$I65=Tab_sel!$B$61),1,"")</f>
        <v>#N/A</v>
      </c>
      <c r="BQ65" s="355" t="e">
        <f>IF(AND($BC65=0,$C65=Tab_sel!$P$7,$D65=Tab_sel!$O$24,$E65=Tab_sel!$N$31,$F65=Tab_sel!$N$40,$I65=Tab_sel!$B$62),1,"")</f>
        <v>#N/A</v>
      </c>
      <c r="BR65" s="355" t="e">
        <f>IF(AND($BC65=0,$C65=Tab_sel!$P$7,$D65=Tab_sel!$O$24,$E65=Tab_sel!$N$31,$F65=Tab_sel!$N$40,$I65=Tab_sel!$B$63),1,"")</f>
        <v>#N/A</v>
      </c>
      <c r="BS65" s="355" t="e">
        <f>IF(AND($BC65=0,$C65=Tab_sel!$P$7,$D65=Tab_sel!$O$24,$E65=Tab_sel!$N$31,$F65=Tab_sel!$N$40,$I65=Tab_sel!$B$64),1,"")</f>
        <v>#N/A</v>
      </c>
      <c r="BT65" s="356" t="e">
        <f>IF(AND($BC65=0,$C65=Tab_sel!$P$7,$D65=Tab_sel!$O$24,$E65=Tab_sel!$N$31,$F65=Tab_sel!$N$40,$I65=Tab_sel!$B$65),1,"")</f>
        <v>#N/A</v>
      </c>
      <c r="BU65" s="856" t="e">
        <f>IF(AND($BC65=0,$C65=Tab_sel!$P$7,$D65=Tab_sel!$O$24,$E65=Tab_sel!$N$31,$F65=Tab_sel!$N$40,$I65=Tab_sel!$P$61,$H65=Tab_sel!$B$77),1,"")</f>
        <v>#N/A</v>
      </c>
      <c r="BV65" s="883" t="e">
        <f>IF(AND($BC65=0,$C65=Tab_sel!$P$7,$D65=Tab_sel!$O$24,$E65=Tab_sel!$N$31,$F65=Tab_sel!$N$40,$I65=Tab_sel!$P$61,$H65=Tab_sel!$B$78),1,"")</f>
        <v>#N/A</v>
      </c>
      <c r="BW65" s="883" t="e">
        <f>IF(AND($BC65=0,$C65=Tab_sel!$P$7,$D65=Tab_sel!$O$24,$E65=Tab_sel!$N$31,$F65=Tab_sel!$N$40,$I65=Tab_sel!$P$61,$H65=Tab_sel!$B$79),1,"")</f>
        <v>#N/A</v>
      </c>
      <c r="BX65" s="883" t="e">
        <f>IF(AND($BC65=0,$C65=Tab_sel!$P$7,$D65=Tab_sel!$O$24,$E65=Tab_sel!$N$31,$F65=Tab_sel!$N$40,$I65=Tab_sel!$P$61,$H65=Tab_sel!$B$80),1,"")</f>
        <v>#N/A</v>
      </c>
      <c r="BY65" s="883" t="e">
        <f>IF(AND($BC65=0,$C65=Tab_sel!$P$7,$D65=Tab_sel!$O$24,$E65=Tab_sel!$N$31,$F65=Tab_sel!$N$40,$I65=Tab_sel!$P$61,$H65=Tab_sel!$B$81),1,"")</f>
        <v>#N/A</v>
      </c>
      <c r="BZ65" s="857" t="e">
        <f>IF(AND($BC65=0,$C65=Tab_sel!$P$7,$D65=Tab_sel!$O$24,$E65=Tab_sel!$N$31,$F65=Tab_sel!$N$40,$I65=Tab_sel!$P$61,$H65=Tab_sel!$B$82),1,"")</f>
        <v>#N/A</v>
      </c>
      <c r="CA65" s="359"/>
      <c r="CC65">
        <f t="shared" si="30"/>
        <v>0</v>
      </c>
      <c r="CD65" s="882">
        <f t="shared" si="31"/>
        <v>0</v>
      </c>
      <c r="CE65" s="882">
        <f t="shared" si="32"/>
        <v>0</v>
      </c>
      <c r="CH65" t="s">
        <v>2612</v>
      </c>
    </row>
    <row r="66" spans="2:88" ht="39.6" x14ac:dyDescent="0.25">
      <c r="B66" s="791" t="s">
        <v>1982</v>
      </c>
      <c r="C66" s="771" t="s">
        <v>38</v>
      </c>
      <c r="D66" s="772" t="s">
        <v>76</v>
      </c>
      <c r="E66" s="771" t="str">
        <f t="shared" si="33"/>
        <v>Media support de données</v>
      </c>
      <c r="F66" s="783" t="str">
        <f>Disp</f>
        <v>Disparition</v>
      </c>
      <c r="G66" s="768" t="s">
        <v>1814</v>
      </c>
      <c r="H66" s="768"/>
      <c r="I66" s="771" t="s">
        <v>1169</v>
      </c>
      <c r="J66" s="774"/>
      <c r="K66" s="774"/>
      <c r="L66" s="774"/>
      <c r="M66" s="788" t="s">
        <v>1259</v>
      </c>
      <c r="N66" s="767"/>
      <c r="O66" s="767"/>
      <c r="P66" s="772"/>
      <c r="Q66" s="803"/>
      <c r="R66" s="803"/>
      <c r="S66" s="804"/>
      <c r="T66" s="772"/>
      <c r="U66" s="772"/>
      <c r="V66" s="805"/>
      <c r="W66" s="767"/>
      <c r="X66" s="767"/>
      <c r="Y66" s="772"/>
      <c r="Z66" s="772"/>
      <c r="AA66" s="772"/>
      <c r="AB66" s="805"/>
      <c r="AC66" s="806"/>
      <c r="AD66" s="806"/>
      <c r="AE66" s="806"/>
      <c r="AF66" s="806"/>
      <c r="AG66" s="806"/>
      <c r="AH66" s="805"/>
      <c r="AI66" s="807" t="str">
        <f t="shared" si="2"/>
        <v/>
      </c>
      <c r="AJ66" s="805"/>
      <c r="AK66" s="359"/>
      <c r="AM66" t="str">
        <f t="shared" si="9"/>
        <v/>
      </c>
      <c r="AN66">
        <f t="shared" si="10"/>
        <v>0</v>
      </c>
      <c r="AW66" s="882">
        <f t="shared" si="29"/>
        <v>0</v>
      </c>
      <c r="AX66" s="882">
        <f t="shared" si="25"/>
        <v>1</v>
      </c>
      <c r="AY66" s="882">
        <f t="shared" si="26"/>
        <v>1</v>
      </c>
      <c r="AZ66" s="927">
        <f t="shared" si="27"/>
        <v>1</v>
      </c>
      <c r="BA66" s="882">
        <v>1</v>
      </c>
      <c r="BB66" s="925">
        <f t="shared" si="12"/>
        <v>0</v>
      </c>
      <c r="BC66" s="882">
        <f t="shared" si="28"/>
        <v>1</v>
      </c>
      <c r="BD66" s="342" t="e">
        <f>IF(AND($BC66=0,C66=Tab_sel!$P$7,$D66=Tab_sel!$O$24,$E66=Tab_sel!$B$31),1,"")</f>
        <v>#N/A</v>
      </c>
      <c r="BE66" s="322" t="e">
        <f>IF(AND($BC66=0,C66=Tab_sel!$P$7,$D66=Tab_sel!$O$24,$E66=Tab_sel!$B$32),1,"")</f>
        <v>#N/A</v>
      </c>
      <c r="BF66" s="322" t="e">
        <f>IF(AND($BC66=0,C66=Tab_sel!$P$7,$D66=Tab_sel!$O$24,$E66=Tab_sel!$B$33),1,"")</f>
        <v>#N/A</v>
      </c>
      <c r="BG66" s="322" t="e">
        <f>IF(AND($BC66=0,C66=Tab_sel!$P$7,$D66=Tab_sel!$O$24,$E66=Tab_sel!$B$34),1,"")</f>
        <v>#N/A</v>
      </c>
      <c r="BH66" s="322" t="e">
        <f>IF(AND($BC66=0,C66=Tab_sel!$P$7,$D66=Tab_sel!$O$24,$E66=Tab_sel!$B$35),1,"")</f>
        <v>#N/A</v>
      </c>
      <c r="BI66" s="343" t="e">
        <f>IF(AND($BC66=0,C66=Tab_sel!$P$7,$D66=Tab_sel!$O$24,$E66=Tab_sel!$B$36),1,"")</f>
        <v>#N/A</v>
      </c>
      <c r="BJ66" s="342" t="e">
        <f>IF(AND($BC66=0,$C66=Tab_sel!$P$7,$D66=Tab_sel!$O$24,$E66=Tab_sel!$N$31,$F66=Tab_sel!$B$40),1,"")</f>
        <v>#N/A</v>
      </c>
      <c r="BK66" s="322" t="e">
        <f>IF(AND($BC66=0,$C66=Tab_sel!$P$7,$D66=Tab_sel!$O$24,$E66=Tab_sel!$N$31,$F66=Tab_sel!$B$41),1,"")</f>
        <v>#N/A</v>
      </c>
      <c r="BL66" s="322" t="e">
        <f>IF(AND($BC66=0,$C66=Tab_sel!$P$7,$D66=Tab_sel!$O$24,$E66=Tab_sel!$N$31,$F66=Tab_sel!$B$42),1,"")</f>
        <v>#N/A</v>
      </c>
      <c r="BM66" s="322" t="e">
        <f>IF(AND($BC66=0,$C66=Tab_sel!$P$7,$D66=Tab_sel!$O$24,$E66=Tab_sel!$N$31,$F66=Tab_sel!$B$43),1,"")</f>
        <v>#N/A</v>
      </c>
      <c r="BN66" s="322" t="e">
        <f>IF(AND($BC66=0,$C66=Tab_sel!$P$7,$D66=Tab_sel!$O$24,$E66=Tab_sel!$N$31,$F66=Tab_sel!$B$44),1,"")</f>
        <v>#N/A</v>
      </c>
      <c r="BO66" s="343" t="e">
        <f>IF(AND($BC66=0,$C66=Tab_sel!$P$7,$D66=Tab_sel!$O$24,$E66=Tab_sel!$N$31,$F66=Tab_sel!$B$45),1,"")</f>
        <v>#N/A</v>
      </c>
      <c r="BP66" s="354" t="e">
        <f>IF(AND($BC66=0,$C66=Tab_sel!$P$7,$D66=Tab_sel!$O$24,$E66=Tab_sel!$N$31,$F66=Tab_sel!$N$40,$I66=Tab_sel!$B$61),1,"")</f>
        <v>#N/A</v>
      </c>
      <c r="BQ66" s="355" t="e">
        <f>IF(AND($BC66=0,$C66=Tab_sel!$P$7,$D66=Tab_sel!$O$24,$E66=Tab_sel!$N$31,$F66=Tab_sel!$N$40,$I66=Tab_sel!$B$62),1,"")</f>
        <v>#N/A</v>
      </c>
      <c r="BR66" s="355" t="e">
        <f>IF(AND($BC66=0,$C66=Tab_sel!$P$7,$D66=Tab_sel!$O$24,$E66=Tab_sel!$N$31,$F66=Tab_sel!$N$40,$I66=Tab_sel!$B$63),1,"")</f>
        <v>#N/A</v>
      </c>
      <c r="BS66" s="355" t="e">
        <f>IF(AND($BC66=0,$C66=Tab_sel!$P$7,$D66=Tab_sel!$O$24,$E66=Tab_sel!$N$31,$F66=Tab_sel!$N$40,$I66=Tab_sel!$B$64),1,"")</f>
        <v>#N/A</v>
      </c>
      <c r="BT66" s="356" t="e">
        <f>IF(AND($BC66=0,$C66=Tab_sel!$P$7,$D66=Tab_sel!$O$24,$E66=Tab_sel!$N$31,$F66=Tab_sel!$N$40,$I66=Tab_sel!$B$65),1,"")</f>
        <v>#N/A</v>
      </c>
      <c r="BU66" s="856" t="e">
        <f>IF(AND($BC66=0,$C66=Tab_sel!$P$7,$D66=Tab_sel!$O$24,$E66=Tab_sel!$N$31,$F66=Tab_sel!$N$40,$I66=Tab_sel!$P$61,$H66=Tab_sel!$B$77),1,"")</f>
        <v>#N/A</v>
      </c>
      <c r="BV66" s="883" t="e">
        <f>IF(AND($BC66=0,$C66=Tab_sel!$P$7,$D66=Tab_sel!$O$24,$E66=Tab_sel!$N$31,$F66=Tab_sel!$N$40,$I66=Tab_sel!$P$61,$H66=Tab_sel!$B$78),1,"")</f>
        <v>#N/A</v>
      </c>
      <c r="BW66" s="883" t="e">
        <f>IF(AND($BC66=0,$C66=Tab_sel!$P$7,$D66=Tab_sel!$O$24,$E66=Tab_sel!$N$31,$F66=Tab_sel!$N$40,$I66=Tab_sel!$P$61,$H66=Tab_sel!$B$79),1,"")</f>
        <v>#N/A</v>
      </c>
      <c r="BX66" s="883" t="e">
        <f>IF(AND($BC66=0,$C66=Tab_sel!$P$7,$D66=Tab_sel!$O$24,$E66=Tab_sel!$N$31,$F66=Tab_sel!$N$40,$I66=Tab_sel!$P$61,$H66=Tab_sel!$B$80),1,"")</f>
        <v>#N/A</v>
      </c>
      <c r="BY66" s="883" t="e">
        <f>IF(AND($BC66=0,$C66=Tab_sel!$P$7,$D66=Tab_sel!$O$24,$E66=Tab_sel!$N$31,$F66=Tab_sel!$N$40,$I66=Tab_sel!$P$61,$H66=Tab_sel!$B$81),1,"")</f>
        <v>#N/A</v>
      </c>
      <c r="BZ66" s="857" t="e">
        <f>IF(AND($BC66=0,$C66=Tab_sel!$P$7,$D66=Tab_sel!$O$24,$E66=Tab_sel!$N$31,$F66=Tab_sel!$N$40,$I66=Tab_sel!$P$61,$H66=Tab_sel!$B$82),1,"")</f>
        <v>#N/A</v>
      </c>
      <c r="CA66" s="359"/>
      <c r="CC66">
        <f t="shared" si="30"/>
        <v>0</v>
      </c>
      <c r="CD66" s="882">
        <f t="shared" si="31"/>
        <v>0</v>
      </c>
      <c r="CE66" s="882">
        <f t="shared" si="32"/>
        <v>0</v>
      </c>
      <c r="CJ66" t="s">
        <v>2611</v>
      </c>
    </row>
    <row r="67" spans="2:88" ht="39.6" x14ac:dyDescent="0.25">
      <c r="B67" s="791" t="s">
        <v>1983</v>
      </c>
      <c r="C67" s="771" t="s">
        <v>38</v>
      </c>
      <c r="D67" s="772" t="s">
        <v>76</v>
      </c>
      <c r="E67" s="771" t="str">
        <f t="shared" si="33"/>
        <v>Media support de données</v>
      </c>
      <c r="F67" s="783" t="str">
        <f>Disp</f>
        <v>Disparition</v>
      </c>
      <c r="G67" s="768" t="s">
        <v>1815</v>
      </c>
      <c r="H67" s="768"/>
      <c r="I67" s="771" t="s">
        <v>1204</v>
      </c>
      <c r="J67" s="769" t="s">
        <v>2373</v>
      </c>
      <c r="K67" s="781" t="s">
        <v>2447</v>
      </c>
      <c r="L67" s="774"/>
      <c r="M67" s="788" t="s">
        <v>1259</v>
      </c>
      <c r="N67" s="767"/>
      <c r="O67" s="767"/>
      <c r="P67" s="772"/>
      <c r="Q67" s="803"/>
      <c r="R67" s="803"/>
      <c r="S67" s="804"/>
      <c r="T67" s="772"/>
      <c r="U67" s="772"/>
      <c r="V67" s="805"/>
      <c r="W67" s="767"/>
      <c r="X67" s="767"/>
      <c r="Y67" s="772"/>
      <c r="Z67" s="772"/>
      <c r="AA67" s="772"/>
      <c r="AB67" s="805"/>
      <c r="AC67" s="806"/>
      <c r="AD67" s="806"/>
      <c r="AE67" s="806"/>
      <c r="AF67" s="806"/>
      <c r="AG67" s="806"/>
      <c r="AH67" s="805"/>
      <c r="AI67" s="807" t="str">
        <f t="shared" si="2"/>
        <v/>
      </c>
      <c r="AJ67" s="805"/>
      <c r="AK67" s="359"/>
      <c r="AM67" t="str">
        <f t="shared" si="9"/>
        <v/>
      </c>
      <c r="AN67">
        <f t="shared" si="10"/>
        <v>0</v>
      </c>
      <c r="AW67" s="882">
        <f t="shared" si="29"/>
        <v>0</v>
      </c>
      <c r="AX67" s="882">
        <f t="shared" si="25"/>
        <v>1</v>
      </c>
      <c r="AY67" s="882">
        <f t="shared" si="26"/>
        <v>1</v>
      </c>
      <c r="AZ67" s="927">
        <f t="shared" si="27"/>
        <v>1</v>
      </c>
      <c r="BA67" s="882">
        <v>1</v>
      </c>
      <c r="BB67" s="925">
        <f t="shared" si="12"/>
        <v>0</v>
      </c>
      <c r="BC67" s="882">
        <f t="shared" si="28"/>
        <v>1</v>
      </c>
      <c r="BD67" s="342" t="e">
        <f>IF(AND($BC67=0,C67=Tab_sel!$P$7,$D67=Tab_sel!$O$24,$E67=Tab_sel!$B$31),1,"")</f>
        <v>#N/A</v>
      </c>
      <c r="BE67" s="322" t="e">
        <f>IF(AND($BC67=0,C67=Tab_sel!$P$7,$D67=Tab_sel!$O$24,$E67=Tab_sel!$B$32),1,"")</f>
        <v>#N/A</v>
      </c>
      <c r="BF67" s="322" t="e">
        <f>IF(AND($BC67=0,C67=Tab_sel!$P$7,$D67=Tab_sel!$O$24,$E67=Tab_sel!$B$33),1,"")</f>
        <v>#N/A</v>
      </c>
      <c r="BG67" s="322" t="e">
        <f>IF(AND($BC67=0,C67=Tab_sel!$P$7,$D67=Tab_sel!$O$24,$E67=Tab_sel!$B$34),1,"")</f>
        <v>#N/A</v>
      </c>
      <c r="BH67" s="322" t="e">
        <f>IF(AND($BC67=0,C67=Tab_sel!$P$7,$D67=Tab_sel!$O$24,$E67=Tab_sel!$B$35),1,"")</f>
        <v>#N/A</v>
      </c>
      <c r="BI67" s="343" t="e">
        <f>IF(AND($BC67=0,C67=Tab_sel!$P$7,$D67=Tab_sel!$O$24,$E67=Tab_sel!$B$36),1,"")</f>
        <v>#N/A</v>
      </c>
      <c r="BJ67" s="342" t="e">
        <f>IF(AND($BC67=0,$C67=Tab_sel!$P$7,$D67=Tab_sel!$O$24,$E67=Tab_sel!$N$31,$F67=Tab_sel!$B$40),1,"")</f>
        <v>#N/A</v>
      </c>
      <c r="BK67" s="322" t="e">
        <f>IF(AND($BC67=0,$C67=Tab_sel!$P$7,$D67=Tab_sel!$O$24,$E67=Tab_sel!$N$31,$F67=Tab_sel!$B$41),1,"")</f>
        <v>#N/A</v>
      </c>
      <c r="BL67" s="322" t="e">
        <f>IF(AND($BC67=0,$C67=Tab_sel!$P$7,$D67=Tab_sel!$O$24,$E67=Tab_sel!$N$31,$F67=Tab_sel!$B$42),1,"")</f>
        <v>#N/A</v>
      </c>
      <c r="BM67" s="322" t="e">
        <f>IF(AND($BC67=0,$C67=Tab_sel!$P$7,$D67=Tab_sel!$O$24,$E67=Tab_sel!$N$31,$F67=Tab_sel!$B$43),1,"")</f>
        <v>#N/A</v>
      </c>
      <c r="BN67" s="322" t="e">
        <f>IF(AND($BC67=0,$C67=Tab_sel!$P$7,$D67=Tab_sel!$O$24,$E67=Tab_sel!$N$31,$F67=Tab_sel!$B$44),1,"")</f>
        <v>#N/A</v>
      </c>
      <c r="BO67" s="343" t="e">
        <f>IF(AND($BC67=0,$C67=Tab_sel!$P$7,$D67=Tab_sel!$O$24,$E67=Tab_sel!$N$31,$F67=Tab_sel!$B$45),1,"")</f>
        <v>#N/A</v>
      </c>
      <c r="BP67" s="354" t="e">
        <f>IF(AND($BC67=0,$C67=Tab_sel!$P$7,$D67=Tab_sel!$O$24,$E67=Tab_sel!$N$31,$F67=Tab_sel!$N$40,$I67=Tab_sel!$B$61),1,"")</f>
        <v>#N/A</v>
      </c>
      <c r="BQ67" s="355" t="e">
        <f>IF(AND($BC67=0,$C67=Tab_sel!$P$7,$D67=Tab_sel!$O$24,$E67=Tab_sel!$N$31,$F67=Tab_sel!$N$40,$I67=Tab_sel!$B$62),1,"")</f>
        <v>#N/A</v>
      </c>
      <c r="BR67" s="355" t="e">
        <f>IF(AND($BC67=0,$C67=Tab_sel!$P$7,$D67=Tab_sel!$O$24,$E67=Tab_sel!$N$31,$F67=Tab_sel!$N$40,$I67=Tab_sel!$B$63),1,"")</f>
        <v>#N/A</v>
      </c>
      <c r="BS67" s="355" t="e">
        <f>IF(AND($BC67=0,$C67=Tab_sel!$P$7,$D67=Tab_sel!$O$24,$E67=Tab_sel!$N$31,$F67=Tab_sel!$N$40,$I67=Tab_sel!$B$64),1,"")</f>
        <v>#N/A</v>
      </c>
      <c r="BT67" s="356" t="e">
        <f>IF(AND($BC67=0,$C67=Tab_sel!$P$7,$D67=Tab_sel!$O$24,$E67=Tab_sel!$N$31,$F67=Tab_sel!$N$40,$I67=Tab_sel!$B$65),1,"")</f>
        <v>#N/A</v>
      </c>
      <c r="BU67" s="856" t="e">
        <f>IF(AND($BC67=0,$C67=Tab_sel!$P$7,$D67=Tab_sel!$O$24,$E67=Tab_sel!$N$31,$F67=Tab_sel!$N$40,$I67=Tab_sel!$P$61,$H67=Tab_sel!$B$77),1,"")</f>
        <v>#N/A</v>
      </c>
      <c r="BV67" s="883" t="e">
        <f>IF(AND($BC67=0,$C67=Tab_sel!$P$7,$D67=Tab_sel!$O$24,$E67=Tab_sel!$N$31,$F67=Tab_sel!$N$40,$I67=Tab_sel!$P$61,$H67=Tab_sel!$B$78),1,"")</f>
        <v>#N/A</v>
      </c>
      <c r="BW67" s="883" t="e">
        <f>IF(AND($BC67=0,$C67=Tab_sel!$P$7,$D67=Tab_sel!$O$24,$E67=Tab_sel!$N$31,$F67=Tab_sel!$N$40,$I67=Tab_sel!$P$61,$H67=Tab_sel!$B$79),1,"")</f>
        <v>#N/A</v>
      </c>
      <c r="BX67" s="883" t="e">
        <f>IF(AND($BC67=0,$C67=Tab_sel!$P$7,$D67=Tab_sel!$O$24,$E67=Tab_sel!$N$31,$F67=Tab_sel!$N$40,$I67=Tab_sel!$P$61,$H67=Tab_sel!$B$80),1,"")</f>
        <v>#N/A</v>
      </c>
      <c r="BY67" s="883" t="e">
        <f>IF(AND($BC67=0,$C67=Tab_sel!$P$7,$D67=Tab_sel!$O$24,$E67=Tab_sel!$N$31,$F67=Tab_sel!$N$40,$I67=Tab_sel!$P$61,$H67=Tab_sel!$B$81),1,"")</f>
        <v>#N/A</v>
      </c>
      <c r="BZ67" s="857" t="e">
        <f>IF(AND($BC67=0,$C67=Tab_sel!$P$7,$D67=Tab_sel!$O$24,$E67=Tab_sel!$N$31,$F67=Tab_sel!$N$40,$I67=Tab_sel!$P$61,$H67=Tab_sel!$B$82),1,"")</f>
        <v>#N/A</v>
      </c>
      <c r="CA67" s="359"/>
      <c r="CC67">
        <f t="shared" si="30"/>
        <v>0</v>
      </c>
      <c r="CD67" s="882">
        <f t="shared" si="31"/>
        <v>0</v>
      </c>
      <c r="CE67" s="882">
        <f t="shared" si="32"/>
        <v>0</v>
      </c>
      <c r="CG67" t="s">
        <v>2634</v>
      </c>
      <c r="CH67" t="s">
        <v>2637</v>
      </c>
      <c r="CJ67" t="s">
        <v>2611</v>
      </c>
    </row>
    <row r="68" spans="2:88" ht="39.6" x14ac:dyDescent="0.25">
      <c r="B68" s="791" t="s">
        <v>2376</v>
      </c>
      <c r="C68" s="874" t="s">
        <v>38</v>
      </c>
      <c r="D68" s="875" t="s">
        <v>76</v>
      </c>
      <c r="E68" s="771" t="str">
        <f t="shared" si="33"/>
        <v>Media support de données</v>
      </c>
      <c r="F68" s="783" t="str">
        <f>Disp</f>
        <v>Disparition</v>
      </c>
      <c r="G68" s="876" t="s">
        <v>1815</v>
      </c>
      <c r="H68" s="876" t="s">
        <v>2505</v>
      </c>
      <c r="I68" s="874" t="s">
        <v>1204</v>
      </c>
      <c r="J68" s="769" t="s">
        <v>2373</v>
      </c>
      <c r="K68" s="886" t="s">
        <v>2447</v>
      </c>
      <c r="L68" s="887"/>
      <c r="M68" s="788" t="s">
        <v>1259</v>
      </c>
      <c r="N68" s="851"/>
      <c r="O68" s="851"/>
      <c r="P68" s="875"/>
      <c r="Q68" s="803"/>
      <c r="R68" s="803"/>
      <c r="S68" s="804"/>
      <c r="T68" s="875"/>
      <c r="U68" s="875"/>
      <c r="V68" s="805"/>
      <c r="W68" s="851"/>
      <c r="X68" s="851"/>
      <c r="Y68" s="875"/>
      <c r="Z68" s="875"/>
      <c r="AA68" s="875"/>
      <c r="AB68" s="805"/>
      <c r="AC68" s="806"/>
      <c r="AD68" s="806"/>
      <c r="AE68" s="806"/>
      <c r="AF68" s="806"/>
      <c r="AG68" s="806"/>
      <c r="AH68" s="805"/>
      <c r="AI68" s="807" t="str">
        <f t="shared" si="2"/>
        <v/>
      </c>
      <c r="AJ68" s="805"/>
      <c r="AK68" s="359"/>
      <c r="AM68" t="str">
        <f t="shared" si="9"/>
        <v/>
      </c>
      <c r="AN68">
        <f t="shared" si="10"/>
        <v>0</v>
      </c>
      <c r="AV68" s="882"/>
      <c r="AW68" s="882">
        <f t="shared" si="29"/>
        <v>0</v>
      </c>
      <c r="AX68" s="882">
        <f t="shared" si="25"/>
        <v>1</v>
      </c>
      <c r="AY68" s="882">
        <f t="shared" si="26"/>
        <v>1</v>
      </c>
      <c r="AZ68" s="927">
        <f t="shared" si="27"/>
        <v>1</v>
      </c>
      <c r="BA68" s="882">
        <v>0</v>
      </c>
      <c r="BB68" s="925">
        <f t="shared" si="12"/>
        <v>0</v>
      </c>
      <c r="BC68" s="882">
        <f t="shared" si="28"/>
        <v>1</v>
      </c>
      <c r="BD68" s="342" t="e">
        <f>IF(AND($BC68=0,C68=Tab_sel!$P$7,$D68=Tab_sel!$O$24,$E68=Tab_sel!$B$31),1,"")</f>
        <v>#N/A</v>
      </c>
      <c r="BE68" s="322" t="e">
        <f>IF(AND($BC68=0,C68=Tab_sel!$P$7,$D68=Tab_sel!$O$24,$E68=Tab_sel!$B$32),1,"")</f>
        <v>#N/A</v>
      </c>
      <c r="BF68" s="322" t="e">
        <f>IF(AND($BC68=0,C68=Tab_sel!$P$7,$D68=Tab_sel!$O$24,$E68=Tab_sel!$B$33),1,"")</f>
        <v>#N/A</v>
      </c>
      <c r="BG68" s="322" t="e">
        <f>IF(AND($BC68=0,C68=Tab_sel!$P$7,$D68=Tab_sel!$O$24,$E68=Tab_sel!$B$34),1,"")</f>
        <v>#N/A</v>
      </c>
      <c r="BH68" s="322" t="e">
        <f>IF(AND($BC68=0,C68=Tab_sel!$P$7,$D68=Tab_sel!$O$24,$E68=Tab_sel!$B$35),1,"")</f>
        <v>#N/A</v>
      </c>
      <c r="BI68" s="343" t="e">
        <f>IF(AND($BC68=0,C68=Tab_sel!$P$7,$D68=Tab_sel!$O$24,$E68=Tab_sel!$B$36),1,"")</f>
        <v>#N/A</v>
      </c>
      <c r="BJ68" s="342" t="e">
        <f>IF(AND($BC68=0,$C68=Tab_sel!$P$7,$D68=Tab_sel!$O$24,$E68=Tab_sel!$N$31,$F68=Tab_sel!$B$40),1,"")</f>
        <v>#N/A</v>
      </c>
      <c r="BK68" s="322" t="e">
        <f>IF(AND($BC68=0,$C68=Tab_sel!$P$7,$D68=Tab_sel!$O$24,$E68=Tab_sel!$N$31,$F68=Tab_sel!$B$41),1,"")</f>
        <v>#N/A</v>
      </c>
      <c r="BL68" s="322" t="e">
        <f>IF(AND($BC68=0,$C68=Tab_sel!$P$7,$D68=Tab_sel!$O$24,$E68=Tab_sel!$N$31,$F68=Tab_sel!$B$42),1,"")</f>
        <v>#N/A</v>
      </c>
      <c r="BM68" s="322" t="e">
        <f>IF(AND($BC68=0,$C68=Tab_sel!$P$7,$D68=Tab_sel!$O$24,$E68=Tab_sel!$N$31,$F68=Tab_sel!$B$43),1,"")</f>
        <v>#N/A</v>
      </c>
      <c r="BN68" s="322" t="e">
        <f>IF(AND($BC68=0,$C68=Tab_sel!$P$7,$D68=Tab_sel!$O$24,$E68=Tab_sel!$N$31,$F68=Tab_sel!$B$44),1,"")</f>
        <v>#N/A</v>
      </c>
      <c r="BO68" s="343" t="e">
        <f>IF(AND($BC68=0,$C68=Tab_sel!$P$7,$D68=Tab_sel!$O$24,$E68=Tab_sel!$N$31,$F68=Tab_sel!$B$45),1,"")</f>
        <v>#N/A</v>
      </c>
      <c r="BP68" s="354" t="e">
        <f>IF(AND($BC68=0,$C68=Tab_sel!$P$7,$D68=Tab_sel!$O$24,$E68=Tab_sel!$N$31,$F68=Tab_sel!$N$40,$I68=Tab_sel!$B$61),1,"")</f>
        <v>#N/A</v>
      </c>
      <c r="BQ68" s="355" t="e">
        <f>IF(AND($BC68=0,$C68=Tab_sel!$P$7,$D68=Tab_sel!$O$24,$E68=Tab_sel!$N$31,$F68=Tab_sel!$N$40,$I68=Tab_sel!$B$62),1,"")</f>
        <v>#N/A</v>
      </c>
      <c r="BR68" s="355" t="e">
        <f>IF(AND($BC68=0,$C68=Tab_sel!$P$7,$D68=Tab_sel!$O$24,$E68=Tab_sel!$N$31,$F68=Tab_sel!$N$40,$I68=Tab_sel!$B$63),1,"")</f>
        <v>#N/A</v>
      </c>
      <c r="BS68" s="355" t="e">
        <f>IF(AND($BC68=0,$C68=Tab_sel!$P$7,$D68=Tab_sel!$O$24,$E68=Tab_sel!$N$31,$F68=Tab_sel!$N$40,$I68=Tab_sel!$B$64),1,"")</f>
        <v>#N/A</v>
      </c>
      <c r="BT68" s="356" t="e">
        <f>IF(AND($BC68=0,$C68=Tab_sel!$P$7,$D68=Tab_sel!$O$24,$E68=Tab_sel!$N$31,$F68=Tab_sel!$N$40,$I68=Tab_sel!$B$65),1,"")</f>
        <v>#N/A</v>
      </c>
      <c r="BU68" s="856" t="e">
        <f>IF(AND($BC68=0,$C68=Tab_sel!$P$7,$D68=Tab_sel!$O$24,$E68=Tab_sel!$N$31,$F68=Tab_sel!$N$40,$I68=Tab_sel!$P$61,$H68=Tab_sel!$B$77),1,"")</f>
        <v>#N/A</v>
      </c>
      <c r="BV68" s="883" t="e">
        <f>IF(AND($BC68=0,$C68=Tab_sel!$P$7,$D68=Tab_sel!$O$24,$E68=Tab_sel!$N$31,$F68=Tab_sel!$N$40,$I68=Tab_sel!$P$61,$H68=Tab_sel!$B$78),1,"")</f>
        <v>#N/A</v>
      </c>
      <c r="BW68" s="883" t="e">
        <f>IF(AND($BC68=0,$C68=Tab_sel!$P$7,$D68=Tab_sel!$O$24,$E68=Tab_sel!$N$31,$F68=Tab_sel!$N$40,$I68=Tab_sel!$P$61,$H68=Tab_sel!$B$79),1,"")</f>
        <v>#N/A</v>
      </c>
      <c r="BX68" s="883" t="e">
        <f>IF(AND($BC68=0,$C68=Tab_sel!$P$7,$D68=Tab_sel!$O$24,$E68=Tab_sel!$N$31,$F68=Tab_sel!$N$40,$I68=Tab_sel!$P$61,$H68=Tab_sel!$B$80),1,"")</f>
        <v>#N/A</v>
      </c>
      <c r="BY68" s="883" t="e">
        <f>IF(AND($BC68=0,$C68=Tab_sel!$P$7,$D68=Tab_sel!$O$24,$E68=Tab_sel!$N$31,$F68=Tab_sel!$N$40,$I68=Tab_sel!$P$61,$H68=Tab_sel!$B$81),1,"")</f>
        <v>#N/A</v>
      </c>
      <c r="BZ68" s="857" t="e">
        <f>IF(AND($BC68=0,$C68=Tab_sel!$P$7,$D68=Tab_sel!$O$24,$E68=Tab_sel!$N$31,$F68=Tab_sel!$N$40,$I68=Tab_sel!$P$61,$H68=Tab_sel!$B$82),1,"")</f>
        <v>#N/A</v>
      </c>
      <c r="CA68" s="359"/>
      <c r="CC68">
        <f t="shared" si="30"/>
        <v>0</v>
      </c>
      <c r="CD68" s="882">
        <f t="shared" si="31"/>
        <v>0</v>
      </c>
      <c r="CE68" s="882">
        <f t="shared" si="32"/>
        <v>0</v>
      </c>
      <c r="CG68" t="s">
        <v>2634</v>
      </c>
      <c r="CH68" t="s">
        <v>2637</v>
      </c>
      <c r="CJ68" t="s">
        <v>2611</v>
      </c>
    </row>
    <row r="69" spans="2:88" ht="39.6" x14ac:dyDescent="0.25">
      <c r="B69" s="791" t="s">
        <v>2377</v>
      </c>
      <c r="C69" s="874" t="s">
        <v>38</v>
      </c>
      <c r="D69" s="875" t="s">
        <v>76</v>
      </c>
      <c r="E69" s="771" t="str">
        <f t="shared" si="33"/>
        <v>Media support de données</v>
      </c>
      <c r="F69" s="783" t="str">
        <f>Disp</f>
        <v>Disparition</v>
      </c>
      <c r="G69" s="876" t="s">
        <v>1815</v>
      </c>
      <c r="H69" s="876" t="s">
        <v>2506</v>
      </c>
      <c r="I69" s="874" t="s">
        <v>1204</v>
      </c>
      <c r="J69" s="769" t="s">
        <v>2373</v>
      </c>
      <c r="K69" s="886" t="s">
        <v>1353</v>
      </c>
      <c r="L69" s="887"/>
      <c r="M69" s="788" t="s">
        <v>1259</v>
      </c>
      <c r="N69" s="851"/>
      <c r="O69" s="851"/>
      <c r="P69" s="875"/>
      <c r="Q69" s="803"/>
      <c r="R69" s="803"/>
      <c r="S69" s="804"/>
      <c r="T69" s="875"/>
      <c r="U69" s="875"/>
      <c r="V69" s="805"/>
      <c r="W69" s="851"/>
      <c r="X69" s="851"/>
      <c r="Y69" s="875"/>
      <c r="Z69" s="875"/>
      <c r="AA69" s="875"/>
      <c r="AB69" s="805"/>
      <c r="AC69" s="806"/>
      <c r="AD69" s="806"/>
      <c r="AE69" s="806"/>
      <c r="AF69" s="806"/>
      <c r="AG69" s="806"/>
      <c r="AH69" s="805"/>
      <c r="AI69" s="807" t="str">
        <f t="shared" si="2"/>
        <v/>
      </c>
      <c r="AJ69" s="805"/>
      <c r="AK69" s="359"/>
      <c r="AM69" t="str">
        <f t="shared" si="9"/>
        <v/>
      </c>
      <c r="AN69">
        <f t="shared" si="10"/>
        <v>0</v>
      </c>
      <c r="AV69" s="882"/>
      <c r="AW69" s="882">
        <f t="shared" si="29"/>
        <v>0</v>
      </c>
      <c r="AX69" s="882">
        <f t="shared" si="25"/>
        <v>1</v>
      </c>
      <c r="AY69" s="882">
        <f t="shared" si="26"/>
        <v>1</v>
      </c>
      <c r="AZ69" s="927">
        <f t="shared" si="27"/>
        <v>1</v>
      </c>
      <c r="BA69" s="882">
        <v>0</v>
      </c>
      <c r="BB69" s="925">
        <f t="shared" si="12"/>
        <v>0</v>
      </c>
      <c r="BC69" s="882">
        <f t="shared" si="28"/>
        <v>1</v>
      </c>
      <c r="BD69" s="342" t="e">
        <f>IF(AND($BC69=0,C69=Tab_sel!$P$7,$D69=Tab_sel!$O$24,$E69=Tab_sel!$B$31),1,"")</f>
        <v>#N/A</v>
      </c>
      <c r="BE69" s="322" t="e">
        <f>IF(AND($BC69=0,C69=Tab_sel!$P$7,$D69=Tab_sel!$O$24,$E69=Tab_sel!$B$32),1,"")</f>
        <v>#N/A</v>
      </c>
      <c r="BF69" s="322" t="e">
        <f>IF(AND($BC69=0,C69=Tab_sel!$P$7,$D69=Tab_sel!$O$24,$E69=Tab_sel!$B$33),1,"")</f>
        <v>#N/A</v>
      </c>
      <c r="BG69" s="322" t="e">
        <f>IF(AND($BC69=0,C69=Tab_sel!$P$7,$D69=Tab_sel!$O$24,$E69=Tab_sel!$B$34),1,"")</f>
        <v>#N/A</v>
      </c>
      <c r="BH69" s="322" t="e">
        <f>IF(AND($BC69=0,C69=Tab_sel!$P$7,$D69=Tab_sel!$O$24,$E69=Tab_sel!$B$35),1,"")</f>
        <v>#N/A</v>
      </c>
      <c r="BI69" s="343" t="e">
        <f>IF(AND($BC69=0,C69=Tab_sel!$P$7,$D69=Tab_sel!$O$24,$E69=Tab_sel!$B$36),1,"")</f>
        <v>#N/A</v>
      </c>
      <c r="BJ69" s="342" t="e">
        <f>IF(AND($BC69=0,$C69=Tab_sel!$P$7,$D69=Tab_sel!$O$24,$E69=Tab_sel!$N$31,$F69=Tab_sel!$B$40),1,"")</f>
        <v>#N/A</v>
      </c>
      <c r="BK69" s="322" t="e">
        <f>IF(AND($BC69=0,$C69=Tab_sel!$P$7,$D69=Tab_sel!$O$24,$E69=Tab_sel!$N$31,$F69=Tab_sel!$B$41),1,"")</f>
        <v>#N/A</v>
      </c>
      <c r="BL69" s="322" t="e">
        <f>IF(AND($BC69=0,$C69=Tab_sel!$P$7,$D69=Tab_sel!$O$24,$E69=Tab_sel!$N$31,$F69=Tab_sel!$B$42),1,"")</f>
        <v>#N/A</v>
      </c>
      <c r="BM69" s="322" t="e">
        <f>IF(AND($BC69=0,$C69=Tab_sel!$P$7,$D69=Tab_sel!$O$24,$E69=Tab_sel!$N$31,$F69=Tab_sel!$B$43),1,"")</f>
        <v>#N/A</v>
      </c>
      <c r="BN69" s="322" t="e">
        <f>IF(AND($BC69=0,$C69=Tab_sel!$P$7,$D69=Tab_sel!$O$24,$E69=Tab_sel!$N$31,$F69=Tab_sel!$B$44),1,"")</f>
        <v>#N/A</v>
      </c>
      <c r="BO69" s="343" t="e">
        <f>IF(AND($BC69=0,$C69=Tab_sel!$P$7,$D69=Tab_sel!$O$24,$E69=Tab_sel!$N$31,$F69=Tab_sel!$B$45),1,"")</f>
        <v>#N/A</v>
      </c>
      <c r="BP69" s="354" t="e">
        <f>IF(AND($BC69=0,$C69=Tab_sel!$P$7,$D69=Tab_sel!$O$24,$E69=Tab_sel!$N$31,$F69=Tab_sel!$N$40,$I69=Tab_sel!$B$61),1,"")</f>
        <v>#N/A</v>
      </c>
      <c r="BQ69" s="355" t="e">
        <f>IF(AND($BC69=0,$C69=Tab_sel!$P$7,$D69=Tab_sel!$O$24,$E69=Tab_sel!$N$31,$F69=Tab_sel!$N$40,$I69=Tab_sel!$B$62),1,"")</f>
        <v>#N/A</v>
      </c>
      <c r="BR69" s="355" t="e">
        <f>IF(AND($BC69=0,$C69=Tab_sel!$P$7,$D69=Tab_sel!$O$24,$E69=Tab_sel!$N$31,$F69=Tab_sel!$N$40,$I69=Tab_sel!$B$63),1,"")</f>
        <v>#N/A</v>
      </c>
      <c r="BS69" s="355" t="e">
        <f>IF(AND($BC69=0,$C69=Tab_sel!$P$7,$D69=Tab_sel!$O$24,$E69=Tab_sel!$N$31,$F69=Tab_sel!$N$40,$I69=Tab_sel!$B$64),1,"")</f>
        <v>#N/A</v>
      </c>
      <c r="BT69" s="356" t="e">
        <f>IF(AND($BC69=0,$C69=Tab_sel!$P$7,$D69=Tab_sel!$O$24,$E69=Tab_sel!$N$31,$F69=Tab_sel!$N$40,$I69=Tab_sel!$B$65),1,"")</f>
        <v>#N/A</v>
      </c>
      <c r="BU69" s="856" t="e">
        <f>IF(AND($BC69=0,$C69=Tab_sel!$P$7,$D69=Tab_sel!$O$24,$E69=Tab_sel!$N$31,$F69=Tab_sel!$N$40,$I69=Tab_sel!$P$61,$H69=Tab_sel!$B$77),1,"")</f>
        <v>#N/A</v>
      </c>
      <c r="BV69" s="883" t="e">
        <f>IF(AND($BC69=0,$C69=Tab_sel!$P$7,$D69=Tab_sel!$O$24,$E69=Tab_sel!$N$31,$F69=Tab_sel!$N$40,$I69=Tab_sel!$P$61,$H69=Tab_sel!$B$78),1,"")</f>
        <v>#N/A</v>
      </c>
      <c r="BW69" s="883" t="e">
        <f>IF(AND($BC69=0,$C69=Tab_sel!$P$7,$D69=Tab_sel!$O$24,$E69=Tab_sel!$N$31,$F69=Tab_sel!$N$40,$I69=Tab_sel!$P$61,$H69=Tab_sel!$B$79),1,"")</f>
        <v>#N/A</v>
      </c>
      <c r="BX69" s="883" t="e">
        <f>IF(AND($BC69=0,$C69=Tab_sel!$P$7,$D69=Tab_sel!$O$24,$E69=Tab_sel!$N$31,$F69=Tab_sel!$N$40,$I69=Tab_sel!$P$61,$H69=Tab_sel!$B$80),1,"")</f>
        <v>#N/A</v>
      </c>
      <c r="BY69" s="883" t="e">
        <f>IF(AND($BC69=0,$C69=Tab_sel!$P$7,$D69=Tab_sel!$O$24,$E69=Tab_sel!$N$31,$F69=Tab_sel!$N$40,$I69=Tab_sel!$P$61,$H69=Tab_sel!$B$81),1,"")</f>
        <v>#N/A</v>
      </c>
      <c r="BZ69" s="857" t="e">
        <f>IF(AND($BC69=0,$C69=Tab_sel!$P$7,$D69=Tab_sel!$O$24,$E69=Tab_sel!$N$31,$F69=Tab_sel!$N$40,$I69=Tab_sel!$P$61,$H69=Tab_sel!$B$82),1,"")</f>
        <v>#N/A</v>
      </c>
      <c r="CA69" s="359"/>
      <c r="CC69">
        <f t="shared" si="30"/>
        <v>0</v>
      </c>
      <c r="CD69" s="882">
        <f t="shared" si="31"/>
        <v>0</v>
      </c>
      <c r="CE69" s="882">
        <f t="shared" si="32"/>
        <v>0</v>
      </c>
      <c r="CG69" t="s">
        <v>2634</v>
      </c>
      <c r="CH69" t="s">
        <v>2638</v>
      </c>
      <c r="CJ69" t="s">
        <v>2611</v>
      </c>
    </row>
    <row r="70" spans="2:88" ht="39.6" x14ac:dyDescent="0.25">
      <c r="B70" s="791" t="s">
        <v>1984</v>
      </c>
      <c r="C70" s="771" t="s">
        <v>38</v>
      </c>
      <c r="D70" s="772" t="s">
        <v>76</v>
      </c>
      <c r="E70" s="771" t="str">
        <f t="shared" si="33"/>
        <v>Media support de données</v>
      </c>
      <c r="F70" s="783" t="str">
        <f>Endp</f>
        <v>Endommagement physique</v>
      </c>
      <c r="G70" s="780" t="s">
        <v>1811</v>
      </c>
      <c r="H70" s="780"/>
      <c r="I70" s="771" t="s">
        <v>1813</v>
      </c>
      <c r="J70" s="775"/>
      <c r="K70" s="886" t="s">
        <v>1353</v>
      </c>
      <c r="L70" s="775" t="s">
        <v>1257</v>
      </c>
      <c r="M70" s="788" t="s">
        <v>1259</v>
      </c>
      <c r="N70" s="767"/>
      <c r="O70" s="767"/>
      <c r="P70" s="772"/>
      <c r="Q70" s="803"/>
      <c r="R70" s="803"/>
      <c r="S70" s="804"/>
      <c r="T70" s="772"/>
      <c r="U70" s="772"/>
      <c r="V70" s="805"/>
      <c r="W70" s="767"/>
      <c r="X70" s="767"/>
      <c r="Y70" s="772"/>
      <c r="Z70" s="772"/>
      <c r="AA70" s="772"/>
      <c r="AB70" s="805"/>
      <c r="AC70" s="806"/>
      <c r="AD70" s="806"/>
      <c r="AE70" s="806"/>
      <c r="AF70" s="806"/>
      <c r="AG70" s="806"/>
      <c r="AH70" s="805"/>
      <c r="AI70" s="807" t="str">
        <f t="shared" si="2"/>
        <v/>
      </c>
      <c r="AJ70" s="805"/>
      <c r="AK70" s="359"/>
      <c r="AM70" t="str">
        <f t="shared" si="9"/>
        <v/>
      </c>
      <c r="AN70">
        <f t="shared" si="10"/>
        <v>0</v>
      </c>
      <c r="AW70" s="882">
        <f t="shared" si="29"/>
        <v>0</v>
      </c>
      <c r="AX70" s="882">
        <f t="shared" si="25"/>
        <v>1</v>
      </c>
      <c r="AY70" s="882">
        <f t="shared" si="26"/>
        <v>1</v>
      </c>
      <c r="AZ70" s="927">
        <f t="shared" si="27"/>
        <v>1</v>
      </c>
      <c r="BA70" s="882">
        <v>1</v>
      </c>
      <c r="BB70" s="925">
        <f t="shared" si="12"/>
        <v>0</v>
      </c>
      <c r="BC70" s="882">
        <f t="shared" si="28"/>
        <v>1</v>
      </c>
      <c r="BD70" s="342" t="e">
        <f>IF(AND($BC70=0,C70=Tab_sel!$P$7,$D70=Tab_sel!$O$24,$E70=Tab_sel!$B$31),1,"")</f>
        <v>#N/A</v>
      </c>
      <c r="BE70" s="322" t="e">
        <f>IF(AND($BC70=0,C70=Tab_sel!$P$7,$D70=Tab_sel!$O$24,$E70=Tab_sel!$B$32),1,"")</f>
        <v>#N/A</v>
      </c>
      <c r="BF70" s="322" t="e">
        <f>IF(AND($BC70=0,C70=Tab_sel!$P$7,$D70=Tab_sel!$O$24,$E70=Tab_sel!$B$33),1,"")</f>
        <v>#N/A</v>
      </c>
      <c r="BG70" s="322" t="e">
        <f>IF(AND($BC70=0,C70=Tab_sel!$P$7,$D70=Tab_sel!$O$24,$E70=Tab_sel!$B$34),1,"")</f>
        <v>#N/A</v>
      </c>
      <c r="BH70" s="322" t="e">
        <f>IF(AND($BC70=0,C70=Tab_sel!$P$7,$D70=Tab_sel!$O$24,$E70=Tab_sel!$B$35),1,"")</f>
        <v>#N/A</v>
      </c>
      <c r="BI70" s="343" t="e">
        <f>IF(AND($BC70=0,C70=Tab_sel!$P$7,$D70=Tab_sel!$O$24,$E70=Tab_sel!$B$36),1,"")</f>
        <v>#N/A</v>
      </c>
      <c r="BJ70" s="342" t="e">
        <f>IF(AND($BC70=0,$C70=Tab_sel!$P$7,$D70=Tab_sel!$O$24,$E70=Tab_sel!$N$31,$F70=Tab_sel!$B$40),1,"")</f>
        <v>#N/A</v>
      </c>
      <c r="BK70" s="322" t="e">
        <f>IF(AND($BC70=0,$C70=Tab_sel!$P$7,$D70=Tab_sel!$O$24,$E70=Tab_sel!$N$31,$F70=Tab_sel!$B$41),1,"")</f>
        <v>#N/A</v>
      </c>
      <c r="BL70" s="322" t="e">
        <f>IF(AND($BC70=0,$C70=Tab_sel!$P$7,$D70=Tab_sel!$O$24,$E70=Tab_sel!$N$31,$F70=Tab_sel!$B$42),1,"")</f>
        <v>#N/A</v>
      </c>
      <c r="BM70" s="322" t="e">
        <f>IF(AND($BC70=0,$C70=Tab_sel!$P$7,$D70=Tab_sel!$O$24,$E70=Tab_sel!$N$31,$F70=Tab_sel!$B$43),1,"")</f>
        <v>#N/A</v>
      </c>
      <c r="BN70" s="322" t="e">
        <f>IF(AND($BC70=0,$C70=Tab_sel!$P$7,$D70=Tab_sel!$O$24,$E70=Tab_sel!$N$31,$F70=Tab_sel!$B$44),1,"")</f>
        <v>#N/A</v>
      </c>
      <c r="BO70" s="343" t="e">
        <f>IF(AND($BC70=0,$C70=Tab_sel!$P$7,$D70=Tab_sel!$O$24,$E70=Tab_sel!$N$31,$F70=Tab_sel!$B$45),1,"")</f>
        <v>#N/A</v>
      </c>
      <c r="BP70" s="354" t="e">
        <f>IF(AND($BC70=0,$C70=Tab_sel!$P$7,$D70=Tab_sel!$O$24,$E70=Tab_sel!$N$31,$F70=Tab_sel!$N$40,$I70=Tab_sel!$B$61),1,"")</f>
        <v>#N/A</v>
      </c>
      <c r="BQ70" s="355" t="e">
        <f>IF(AND($BC70=0,$C70=Tab_sel!$P$7,$D70=Tab_sel!$O$24,$E70=Tab_sel!$N$31,$F70=Tab_sel!$N$40,$I70=Tab_sel!$B$62),1,"")</f>
        <v>#N/A</v>
      </c>
      <c r="BR70" s="355" t="e">
        <f>IF(AND($BC70=0,$C70=Tab_sel!$P$7,$D70=Tab_sel!$O$24,$E70=Tab_sel!$N$31,$F70=Tab_sel!$N$40,$I70=Tab_sel!$B$63),1,"")</f>
        <v>#N/A</v>
      </c>
      <c r="BS70" s="355" t="e">
        <f>IF(AND($BC70=0,$C70=Tab_sel!$P$7,$D70=Tab_sel!$O$24,$E70=Tab_sel!$N$31,$F70=Tab_sel!$N$40,$I70=Tab_sel!$B$64),1,"")</f>
        <v>#N/A</v>
      </c>
      <c r="BT70" s="356" t="e">
        <f>IF(AND($BC70=0,$C70=Tab_sel!$P$7,$D70=Tab_sel!$O$24,$E70=Tab_sel!$N$31,$F70=Tab_sel!$N$40,$I70=Tab_sel!$B$65),1,"")</f>
        <v>#N/A</v>
      </c>
      <c r="BU70" s="856" t="e">
        <f>IF(AND($BC70=0,$C70=Tab_sel!$P$7,$D70=Tab_sel!$O$24,$E70=Tab_sel!$N$31,$F70=Tab_sel!$N$40,$I70=Tab_sel!$P$61,$H70=Tab_sel!$B$77),1,"")</f>
        <v>#N/A</v>
      </c>
      <c r="BV70" s="883" t="e">
        <f>IF(AND($BC70=0,$C70=Tab_sel!$P$7,$D70=Tab_sel!$O$24,$E70=Tab_sel!$N$31,$F70=Tab_sel!$N$40,$I70=Tab_sel!$P$61,$H70=Tab_sel!$B$78),1,"")</f>
        <v>#N/A</v>
      </c>
      <c r="BW70" s="883" t="e">
        <f>IF(AND($BC70=0,$C70=Tab_sel!$P$7,$D70=Tab_sel!$O$24,$E70=Tab_sel!$N$31,$F70=Tab_sel!$N$40,$I70=Tab_sel!$P$61,$H70=Tab_sel!$B$79),1,"")</f>
        <v>#N/A</v>
      </c>
      <c r="BX70" s="883" t="e">
        <f>IF(AND($BC70=0,$C70=Tab_sel!$P$7,$D70=Tab_sel!$O$24,$E70=Tab_sel!$N$31,$F70=Tab_sel!$N$40,$I70=Tab_sel!$P$61,$H70=Tab_sel!$B$80),1,"")</f>
        <v>#N/A</v>
      </c>
      <c r="BY70" s="883" t="e">
        <f>IF(AND($BC70=0,$C70=Tab_sel!$P$7,$D70=Tab_sel!$O$24,$E70=Tab_sel!$N$31,$F70=Tab_sel!$N$40,$I70=Tab_sel!$P$61,$H70=Tab_sel!$B$81),1,"")</f>
        <v>#N/A</v>
      </c>
      <c r="BZ70" s="857" t="e">
        <f>IF(AND($BC70=0,$C70=Tab_sel!$P$7,$D70=Tab_sel!$O$24,$E70=Tab_sel!$N$31,$F70=Tab_sel!$N$40,$I70=Tab_sel!$P$61,$H70=Tab_sel!$B$82),1,"")</f>
        <v>#N/A</v>
      </c>
      <c r="CA70" s="359"/>
      <c r="CC70">
        <f t="shared" si="30"/>
        <v>0</v>
      </c>
      <c r="CD70" s="882">
        <f t="shared" si="31"/>
        <v>0</v>
      </c>
      <c r="CE70" s="882">
        <f t="shared" si="32"/>
        <v>0</v>
      </c>
      <c r="CH70" t="s">
        <v>2638</v>
      </c>
      <c r="CI70" t="s">
        <v>2686</v>
      </c>
      <c r="CJ70" t="s">
        <v>2611</v>
      </c>
    </row>
    <row r="71" spans="2:88" ht="39.6" x14ac:dyDescent="0.25">
      <c r="B71" s="791" t="s">
        <v>1985</v>
      </c>
      <c r="C71" s="771" t="s">
        <v>38</v>
      </c>
      <c r="D71" s="772" t="s">
        <v>76</v>
      </c>
      <c r="E71" s="771" t="str">
        <f t="shared" si="33"/>
        <v>Media support de données</v>
      </c>
      <c r="F71" s="783" t="str">
        <f>Endp</f>
        <v>Endommagement physique</v>
      </c>
      <c r="G71" s="780" t="s">
        <v>1111</v>
      </c>
      <c r="H71" s="780"/>
      <c r="I71" s="771" t="s">
        <v>1206</v>
      </c>
      <c r="J71" s="775"/>
      <c r="K71" s="886" t="s">
        <v>1353</v>
      </c>
      <c r="L71" s="775"/>
      <c r="M71" s="788" t="s">
        <v>1259</v>
      </c>
      <c r="N71" s="767"/>
      <c r="O71" s="767"/>
      <c r="P71" s="772"/>
      <c r="Q71" s="803"/>
      <c r="R71" s="803"/>
      <c r="S71" s="804"/>
      <c r="T71" s="772"/>
      <c r="U71" s="772"/>
      <c r="V71" s="805"/>
      <c r="W71" s="767"/>
      <c r="X71" s="767"/>
      <c r="Y71" s="772"/>
      <c r="Z71" s="772"/>
      <c r="AA71" s="772"/>
      <c r="AB71" s="805"/>
      <c r="AC71" s="806"/>
      <c r="AD71" s="806"/>
      <c r="AE71" s="806"/>
      <c r="AF71" s="806"/>
      <c r="AG71" s="806"/>
      <c r="AH71" s="805"/>
      <c r="AI71" s="807" t="str">
        <f t="shared" si="2"/>
        <v/>
      </c>
      <c r="AJ71" s="805"/>
      <c r="AK71" s="359"/>
      <c r="AM71" t="str">
        <f t="shared" si="9"/>
        <v/>
      </c>
      <c r="AN71">
        <f t="shared" si="10"/>
        <v>0</v>
      </c>
      <c r="AW71" s="882">
        <f t="shared" si="29"/>
        <v>0</v>
      </c>
      <c r="AX71" s="882">
        <f t="shared" si="25"/>
        <v>1</v>
      </c>
      <c r="AY71" s="882">
        <f t="shared" si="26"/>
        <v>1</v>
      </c>
      <c r="AZ71" s="927">
        <f t="shared" si="27"/>
        <v>1</v>
      </c>
      <c r="BA71" s="882">
        <v>1</v>
      </c>
      <c r="BB71" s="925">
        <f t="shared" si="12"/>
        <v>0</v>
      </c>
      <c r="BC71" s="882">
        <f t="shared" si="28"/>
        <v>1</v>
      </c>
      <c r="BD71" s="342" t="e">
        <f>IF(AND($BC71=0,C71=Tab_sel!$P$7,$D71=Tab_sel!$O$24,$E71=Tab_sel!$B$31),1,"")</f>
        <v>#N/A</v>
      </c>
      <c r="BE71" s="322" t="e">
        <f>IF(AND($BC71=0,C71=Tab_sel!$P$7,$D71=Tab_sel!$O$24,$E71=Tab_sel!$B$32),1,"")</f>
        <v>#N/A</v>
      </c>
      <c r="BF71" s="322" t="e">
        <f>IF(AND($BC71=0,C71=Tab_sel!$P$7,$D71=Tab_sel!$O$24,$E71=Tab_sel!$B$33),1,"")</f>
        <v>#N/A</v>
      </c>
      <c r="BG71" s="322" t="e">
        <f>IF(AND($BC71=0,C71=Tab_sel!$P$7,$D71=Tab_sel!$O$24,$E71=Tab_sel!$B$34),1,"")</f>
        <v>#N/A</v>
      </c>
      <c r="BH71" s="322" t="e">
        <f>IF(AND($BC71=0,C71=Tab_sel!$P$7,$D71=Tab_sel!$O$24,$E71=Tab_sel!$B$35),1,"")</f>
        <v>#N/A</v>
      </c>
      <c r="BI71" s="343" t="e">
        <f>IF(AND($BC71=0,C71=Tab_sel!$P$7,$D71=Tab_sel!$O$24,$E71=Tab_sel!$B$36),1,"")</f>
        <v>#N/A</v>
      </c>
      <c r="BJ71" s="342" t="e">
        <f>IF(AND($BC71=0,$C71=Tab_sel!$P$7,$D71=Tab_sel!$O$24,$E71=Tab_sel!$N$31,$F71=Tab_sel!$B$40),1,"")</f>
        <v>#N/A</v>
      </c>
      <c r="BK71" s="322" t="e">
        <f>IF(AND($BC71=0,$C71=Tab_sel!$P$7,$D71=Tab_sel!$O$24,$E71=Tab_sel!$N$31,$F71=Tab_sel!$B$41),1,"")</f>
        <v>#N/A</v>
      </c>
      <c r="BL71" s="322" t="e">
        <f>IF(AND($BC71=0,$C71=Tab_sel!$P$7,$D71=Tab_sel!$O$24,$E71=Tab_sel!$N$31,$F71=Tab_sel!$B$42),1,"")</f>
        <v>#N/A</v>
      </c>
      <c r="BM71" s="322" t="e">
        <f>IF(AND($BC71=0,$C71=Tab_sel!$P$7,$D71=Tab_sel!$O$24,$E71=Tab_sel!$N$31,$F71=Tab_sel!$B$43),1,"")</f>
        <v>#N/A</v>
      </c>
      <c r="BN71" s="322" t="e">
        <f>IF(AND($BC71=0,$C71=Tab_sel!$P$7,$D71=Tab_sel!$O$24,$E71=Tab_sel!$N$31,$F71=Tab_sel!$B$44),1,"")</f>
        <v>#N/A</v>
      </c>
      <c r="BO71" s="343" t="e">
        <f>IF(AND($BC71=0,$C71=Tab_sel!$P$7,$D71=Tab_sel!$O$24,$E71=Tab_sel!$N$31,$F71=Tab_sel!$B$45),1,"")</f>
        <v>#N/A</v>
      </c>
      <c r="BP71" s="354" t="e">
        <f>IF(AND($BC71=0,$C71=Tab_sel!$P$7,$D71=Tab_sel!$O$24,$E71=Tab_sel!$N$31,$F71=Tab_sel!$N$40,$I71=Tab_sel!$B$61),1,"")</f>
        <v>#N/A</v>
      </c>
      <c r="BQ71" s="355" t="e">
        <f>IF(AND($BC71=0,$C71=Tab_sel!$P$7,$D71=Tab_sel!$O$24,$E71=Tab_sel!$N$31,$F71=Tab_sel!$N$40,$I71=Tab_sel!$B$62),1,"")</f>
        <v>#N/A</v>
      </c>
      <c r="BR71" s="355" t="e">
        <f>IF(AND($BC71=0,$C71=Tab_sel!$P$7,$D71=Tab_sel!$O$24,$E71=Tab_sel!$N$31,$F71=Tab_sel!$N$40,$I71=Tab_sel!$B$63),1,"")</f>
        <v>#N/A</v>
      </c>
      <c r="BS71" s="355" t="e">
        <f>IF(AND($BC71=0,$C71=Tab_sel!$P$7,$D71=Tab_sel!$O$24,$E71=Tab_sel!$N$31,$F71=Tab_sel!$N$40,$I71=Tab_sel!$B$64),1,"")</f>
        <v>#N/A</v>
      </c>
      <c r="BT71" s="356" t="e">
        <f>IF(AND($BC71=0,$C71=Tab_sel!$P$7,$D71=Tab_sel!$O$24,$E71=Tab_sel!$N$31,$F71=Tab_sel!$N$40,$I71=Tab_sel!$B$65),1,"")</f>
        <v>#N/A</v>
      </c>
      <c r="BU71" s="856" t="e">
        <f>IF(AND($BC71=0,$C71=Tab_sel!$P$7,$D71=Tab_sel!$O$24,$E71=Tab_sel!$N$31,$F71=Tab_sel!$N$40,$I71=Tab_sel!$P$61,$H71=Tab_sel!$B$77),1,"")</f>
        <v>#N/A</v>
      </c>
      <c r="BV71" s="883" t="e">
        <f>IF(AND($BC71=0,$C71=Tab_sel!$P$7,$D71=Tab_sel!$O$24,$E71=Tab_sel!$N$31,$F71=Tab_sel!$N$40,$I71=Tab_sel!$P$61,$H71=Tab_sel!$B$78),1,"")</f>
        <v>#N/A</v>
      </c>
      <c r="BW71" s="883" t="e">
        <f>IF(AND($BC71=0,$C71=Tab_sel!$P$7,$D71=Tab_sel!$O$24,$E71=Tab_sel!$N$31,$F71=Tab_sel!$N$40,$I71=Tab_sel!$P$61,$H71=Tab_sel!$B$79),1,"")</f>
        <v>#N/A</v>
      </c>
      <c r="BX71" s="883" t="e">
        <f>IF(AND($BC71=0,$C71=Tab_sel!$P$7,$D71=Tab_sel!$O$24,$E71=Tab_sel!$N$31,$F71=Tab_sel!$N$40,$I71=Tab_sel!$P$61,$H71=Tab_sel!$B$80),1,"")</f>
        <v>#N/A</v>
      </c>
      <c r="BY71" s="883" t="e">
        <f>IF(AND($BC71=0,$C71=Tab_sel!$P$7,$D71=Tab_sel!$O$24,$E71=Tab_sel!$N$31,$F71=Tab_sel!$N$40,$I71=Tab_sel!$P$61,$H71=Tab_sel!$B$81),1,"")</f>
        <v>#N/A</v>
      </c>
      <c r="BZ71" s="857" t="e">
        <f>IF(AND($BC71=0,$C71=Tab_sel!$P$7,$D71=Tab_sel!$O$24,$E71=Tab_sel!$N$31,$F71=Tab_sel!$N$40,$I71=Tab_sel!$P$61,$H71=Tab_sel!$B$82),1,"")</f>
        <v>#N/A</v>
      </c>
      <c r="CA71" s="359"/>
      <c r="CC71">
        <f t="shared" si="30"/>
        <v>0</v>
      </c>
      <c r="CD71" s="882">
        <f t="shared" si="31"/>
        <v>0</v>
      </c>
      <c r="CE71" s="882">
        <f t="shared" si="32"/>
        <v>0</v>
      </c>
      <c r="CH71" t="s">
        <v>2638</v>
      </c>
      <c r="CJ71" t="s">
        <v>2611</v>
      </c>
    </row>
    <row r="72" spans="2:88" ht="39.6" x14ac:dyDescent="0.25">
      <c r="B72" s="791" t="s">
        <v>1986</v>
      </c>
      <c r="C72" s="771" t="s">
        <v>38</v>
      </c>
      <c r="D72" s="772" t="s">
        <v>76</v>
      </c>
      <c r="E72" s="771" t="str">
        <f t="shared" si="33"/>
        <v>Media support de données</v>
      </c>
      <c r="F72" s="773" t="str">
        <f>Inop</f>
        <v>Inopérabilité</v>
      </c>
      <c r="G72" s="776" t="s">
        <v>1208</v>
      </c>
      <c r="H72" s="776"/>
      <c r="I72" s="771" t="s">
        <v>1207</v>
      </c>
      <c r="J72" s="777"/>
      <c r="K72" s="769" t="s">
        <v>2027</v>
      </c>
      <c r="L72" s="777"/>
      <c r="M72" s="822"/>
      <c r="N72" s="767"/>
      <c r="O72" s="767"/>
      <c r="P72" s="772"/>
      <c r="Q72" s="803"/>
      <c r="R72" s="803"/>
      <c r="S72" s="804"/>
      <c r="T72" s="772"/>
      <c r="U72" s="772"/>
      <c r="V72" s="805"/>
      <c r="W72" s="767"/>
      <c r="X72" s="767"/>
      <c r="Y72" s="772"/>
      <c r="Z72" s="772"/>
      <c r="AA72" s="772"/>
      <c r="AB72" s="805"/>
      <c r="AC72" s="806"/>
      <c r="AD72" s="806"/>
      <c r="AE72" s="806"/>
      <c r="AF72" s="806"/>
      <c r="AG72" s="806"/>
      <c r="AH72" s="805"/>
      <c r="AI72" s="807" t="str">
        <f t="shared" si="2"/>
        <v/>
      </c>
      <c r="AJ72" s="805"/>
      <c r="AK72" s="359"/>
      <c r="AM72" t="str">
        <f t="shared" ref="AM72:AM135" si="34">IF(AN72=1,IF(Ig=0,10*P72+N72,10*Y72+W72),"")</f>
        <v/>
      </c>
      <c r="AN72">
        <f t="shared" ref="AN72:AN135" si="35">IF(OR(AND(AB72="A",Ia=1),AND(AB72="E",Ie=1),AND(AB72="R",Ir=1),AND(AB72="T",It=1),AND(AB72="I",Ii=1),AND(OR(AB72="-",AB72="0"),Isd=1)),1,0)</f>
        <v>0</v>
      </c>
      <c r="AW72" s="882">
        <f t="shared" si="29"/>
        <v>0</v>
      </c>
      <c r="AX72" s="882">
        <f t="shared" si="25"/>
        <v>1</v>
      </c>
      <c r="AY72" s="882">
        <f t="shared" si="26"/>
        <v>1</v>
      </c>
      <c r="AZ72" s="927">
        <f t="shared" si="27"/>
        <v>1</v>
      </c>
      <c r="BA72" s="882">
        <v>1</v>
      </c>
      <c r="BB72" s="925">
        <f t="shared" ref="BB72:BB135" si="36">AW72*AX72*AY72*AZ72*BA72</f>
        <v>0</v>
      </c>
      <c r="BC72" s="882">
        <f t="shared" si="28"/>
        <v>1</v>
      </c>
      <c r="BD72" s="342" t="e">
        <f>IF(AND($BC72=0,C72=Tab_sel!$P$7,$D72=Tab_sel!$O$24,$E72=Tab_sel!$B$31),1,"")</f>
        <v>#N/A</v>
      </c>
      <c r="BE72" s="322" t="e">
        <f>IF(AND($BC72=0,C72=Tab_sel!$P$7,$D72=Tab_sel!$O$24,$E72=Tab_sel!$B$32),1,"")</f>
        <v>#N/A</v>
      </c>
      <c r="BF72" s="322" t="e">
        <f>IF(AND($BC72=0,C72=Tab_sel!$P$7,$D72=Tab_sel!$O$24,$E72=Tab_sel!$B$33),1,"")</f>
        <v>#N/A</v>
      </c>
      <c r="BG72" s="322" t="e">
        <f>IF(AND($BC72=0,C72=Tab_sel!$P$7,$D72=Tab_sel!$O$24,$E72=Tab_sel!$B$34),1,"")</f>
        <v>#N/A</v>
      </c>
      <c r="BH72" s="322" t="e">
        <f>IF(AND($BC72=0,C72=Tab_sel!$P$7,$D72=Tab_sel!$O$24,$E72=Tab_sel!$B$35),1,"")</f>
        <v>#N/A</v>
      </c>
      <c r="BI72" s="343" t="e">
        <f>IF(AND($BC72=0,C72=Tab_sel!$P$7,$D72=Tab_sel!$O$24,$E72=Tab_sel!$B$36),1,"")</f>
        <v>#N/A</v>
      </c>
      <c r="BJ72" s="342" t="e">
        <f>IF(AND($BC72=0,$C72=Tab_sel!$P$7,$D72=Tab_sel!$O$24,$E72=Tab_sel!$N$31,$F72=Tab_sel!$B$40),1,"")</f>
        <v>#N/A</v>
      </c>
      <c r="BK72" s="322" t="e">
        <f>IF(AND($BC72=0,$C72=Tab_sel!$P$7,$D72=Tab_sel!$O$24,$E72=Tab_sel!$N$31,$F72=Tab_sel!$B$41),1,"")</f>
        <v>#N/A</v>
      </c>
      <c r="BL72" s="322" t="e">
        <f>IF(AND($BC72=0,$C72=Tab_sel!$P$7,$D72=Tab_sel!$O$24,$E72=Tab_sel!$N$31,$F72=Tab_sel!$B$42),1,"")</f>
        <v>#N/A</v>
      </c>
      <c r="BM72" s="322" t="e">
        <f>IF(AND($BC72=0,$C72=Tab_sel!$P$7,$D72=Tab_sel!$O$24,$E72=Tab_sel!$N$31,$F72=Tab_sel!$B$43),1,"")</f>
        <v>#N/A</v>
      </c>
      <c r="BN72" s="322" t="e">
        <f>IF(AND($BC72=0,$C72=Tab_sel!$P$7,$D72=Tab_sel!$O$24,$E72=Tab_sel!$N$31,$F72=Tab_sel!$B$44),1,"")</f>
        <v>#N/A</v>
      </c>
      <c r="BO72" s="343" t="e">
        <f>IF(AND($BC72=0,$C72=Tab_sel!$P$7,$D72=Tab_sel!$O$24,$E72=Tab_sel!$N$31,$F72=Tab_sel!$B$45),1,"")</f>
        <v>#N/A</v>
      </c>
      <c r="BP72" s="354" t="e">
        <f>IF(AND($BC72=0,$C72=Tab_sel!$P$7,$D72=Tab_sel!$O$24,$E72=Tab_sel!$N$31,$F72=Tab_sel!$N$40,$I72=Tab_sel!$B$61),1,"")</f>
        <v>#N/A</v>
      </c>
      <c r="BQ72" s="355" t="e">
        <f>IF(AND($BC72=0,$C72=Tab_sel!$P$7,$D72=Tab_sel!$O$24,$E72=Tab_sel!$N$31,$F72=Tab_sel!$N$40,$I72=Tab_sel!$B$62),1,"")</f>
        <v>#N/A</v>
      </c>
      <c r="BR72" s="355" t="e">
        <f>IF(AND($BC72=0,$C72=Tab_sel!$P$7,$D72=Tab_sel!$O$24,$E72=Tab_sel!$N$31,$F72=Tab_sel!$N$40,$I72=Tab_sel!$B$63),1,"")</f>
        <v>#N/A</v>
      </c>
      <c r="BS72" s="355" t="e">
        <f>IF(AND($BC72=0,$C72=Tab_sel!$P$7,$D72=Tab_sel!$O$24,$E72=Tab_sel!$N$31,$F72=Tab_sel!$N$40,$I72=Tab_sel!$B$64),1,"")</f>
        <v>#N/A</v>
      </c>
      <c r="BT72" s="356" t="e">
        <f>IF(AND($BC72=0,$C72=Tab_sel!$P$7,$D72=Tab_sel!$O$24,$E72=Tab_sel!$N$31,$F72=Tab_sel!$N$40,$I72=Tab_sel!$B$65),1,"")</f>
        <v>#N/A</v>
      </c>
      <c r="BU72" s="856" t="e">
        <f>IF(AND($BC72=0,$C72=Tab_sel!$P$7,$D72=Tab_sel!$O$24,$E72=Tab_sel!$N$31,$F72=Tab_sel!$N$40,$I72=Tab_sel!$P$61,$H72=Tab_sel!$B$77),1,"")</f>
        <v>#N/A</v>
      </c>
      <c r="BV72" s="883" t="e">
        <f>IF(AND($BC72=0,$C72=Tab_sel!$P$7,$D72=Tab_sel!$O$24,$E72=Tab_sel!$N$31,$F72=Tab_sel!$N$40,$I72=Tab_sel!$P$61,$H72=Tab_sel!$B$78),1,"")</f>
        <v>#N/A</v>
      </c>
      <c r="BW72" s="883" t="e">
        <f>IF(AND($BC72=0,$C72=Tab_sel!$P$7,$D72=Tab_sel!$O$24,$E72=Tab_sel!$N$31,$F72=Tab_sel!$N$40,$I72=Tab_sel!$P$61,$H72=Tab_sel!$B$79),1,"")</f>
        <v>#N/A</v>
      </c>
      <c r="BX72" s="883" t="e">
        <f>IF(AND($BC72=0,$C72=Tab_sel!$P$7,$D72=Tab_sel!$O$24,$E72=Tab_sel!$N$31,$F72=Tab_sel!$N$40,$I72=Tab_sel!$P$61,$H72=Tab_sel!$B$80),1,"")</f>
        <v>#N/A</v>
      </c>
      <c r="BY72" s="883" t="e">
        <f>IF(AND($BC72=0,$C72=Tab_sel!$P$7,$D72=Tab_sel!$O$24,$E72=Tab_sel!$N$31,$F72=Tab_sel!$N$40,$I72=Tab_sel!$P$61,$H72=Tab_sel!$B$81),1,"")</f>
        <v>#N/A</v>
      </c>
      <c r="BZ72" s="857" t="e">
        <f>IF(AND($BC72=0,$C72=Tab_sel!$P$7,$D72=Tab_sel!$O$24,$E72=Tab_sel!$N$31,$F72=Tab_sel!$N$40,$I72=Tab_sel!$P$61,$H72=Tab_sel!$B$82),1,"")</f>
        <v>#N/A</v>
      </c>
      <c r="CA72" s="359"/>
      <c r="CC72">
        <f t="shared" si="30"/>
        <v>0</v>
      </c>
      <c r="CD72" s="882">
        <f t="shared" si="31"/>
        <v>0</v>
      </c>
      <c r="CE72" s="882">
        <f t="shared" si="32"/>
        <v>0</v>
      </c>
      <c r="CH72" t="s">
        <v>2612</v>
      </c>
    </row>
    <row r="73" spans="2:88" ht="39.6" x14ac:dyDescent="0.25">
      <c r="B73" s="791" t="s">
        <v>1987</v>
      </c>
      <c r="C73" s="771" t="s">
        <v>38</v>
      </c>
      <c r="D73" s="772" t="s">
        <v>76</v>
      </c>
      <c r="E73" s="771" t="str">
        <f t="shared" si="33"/>
        <v>Media support de données</v>
      </c>
      <c r="F73" s="773" t="str">
        <f>Inex</f>
        <v>Inexploitabilité</v>
      </c>
      <c r="G73" s="776" t="s">
        <v>1113</v>
      </c>
      <c r="H73" s="776"/>
      <c r="I73" s="771" t="s">
        <v>1169</v>
      </c>
      <c r="J73" s="777"/>
      <c r="K73" s="769" t="s">
        <v>2027</v>
      </c>
      <c r="L73" s="777"/>
      <c r="M73" s="822"/>
      <c r="N73" s="767"/>
      <c r="O73" s="767"/>
      <c r="P73" s="772"/>
      <c r="Q73" s="803"/>
      <c r="R73" s="803"/>
      <c r="S73" s="804"/>
      <c r="T73" s="772"/>
      <c r="U73" s="772"/>
      <c r="V73" s="805"/>
      <c r="W73" s="767"/>
      <c r="X73" s="767"/>
      <c r="Y73" s="772"/>
      <c r="Z73" s="772"/>
      <c r="AA73" s="772"/>
      <c r="AB73" s="805"/>
      <c r="AC73" s="806"/>
      <c r="AD73" s="806"/>
      <c r="AE73" s="806"/>
      <c r="AF73" s="806"/>
      <c r="AG73" s="806"/>
      <c r="AH73" s="805"/>
      <c r="AI73" s="807" t="str">
        <f t="shared" si="2"/>
        <v/>
      </c>
      <c r="AJ73" s="805"/>
      <c r="AK73" s="359"/>
      <c r="AM73" t="str">
        <f t="shared" si="34"/>
        <v/>
      </c>
      <c r="AN73">
        <f t="shared" si="35"/>
        <v>0</v>
      </c>
      <c r="AW73" s="882">
        <f t="shared" si="29"/>
        <v>0</v>
      </c>
      <c r="AX73" s="882">
        <f t="shared" si="25"/>
        <v>1</v>
      </c>
      <c r="AY73" s="882">
        <f t="shared" si="26"/>
        <v>1</v>
      </c>
      <c r="AZ73" s="927">
        <f t="shared" si="27"/>
        <v>1</v>
      </c>
      <c r="BA73" s="882">
        <v>1</v>
      </c>
      <c r="BB73" s="925">
        <f t="shared" si="36"/>
        <v>0</v>
      </c>
      <c r="BC73" s="882">
        <f t="shared" si="28"/>
        <v>1</v>
      </c>
      <c r="BD73" s="342" t="e">
        <f>IF(AND($BC73=0,C73=Tab_sel!$P$7,$D73=Tab_sel!$O$24,$E73=Tab_sel!$B$31),1,"")</f>
        <v>#N/A</v>
      </c>
      <c r="BE73" s="322" t="e">
        <f>IF(AND($BC73=0,C73=Tab_sel!$P$7,$D73=Tab_sel!$O$24,$E73=Tab_sel!$B$32),1,"")</f>
        <v>#N/A</v>
      </c>
      <c r="BF73" s="322" t="e">
        <f>IF(AND($BC73=0,C73=Tab_sel!$P$7,$D73=Tab_sel!$O$24,$E73=Tab_sel!$B$33),1,"")</f>
        <v>#N/A</v>
      </c>
      <c r="BG73" s="322" t="e">
        <f>IF(AND($BC73=0,C73=Tab_sel!$P$7,$D73=Tab_sel!$O$24,$E73=Tab_sel!$B$34),1,"")</f>
        <v>#N/A</v>
      </c>
      <c r="BH73" s="322" t="e">
        <f>IF(AND($BC73=0,C73=Tab_sel!$P$7,$D73=Tab_sel!$O$24,$E73=Tab_sel!$B$35),1,"")</f>
        <v>#N/A</v>
      </c>
      <c r="BI73" s="343" t="e">
        <f>IF(AND($BC73=0,C73=Tab_sel!$P$7,$D73=Tab_sel!$O$24,$E73=Tab_sel!$B$36),1,"")</f>
        <v>#N/A</v>
      </c>
      <c r="BJ73" s="342" t="e">
        <f>IF(AND($BC73=0,$C73=Tab_sel!$P$7,$D73=Tab_sel!$O$24,$E73=Tab_sel!$N$31,$F73=Tab_sel!$B$40),1,"")</f>
        <v>#N/A</v>
      </c>
      <c r="BK73" s="322" t="e">
        <f>IF(AND($BC73=0,$C73=Tab_sel!$P$7,$D73=Tab_sel!$O$24,$E73=Tab_sel!$N$31,$F73=Tab_sel!$B$41),1,"")</f>
        <v>#N/A</v>
      </c>
      <c r="BL73" s="322" t="e">
        <f>IF(AND($BC73=0,$C73=Tab_sel!$P$7,$D73=Tab_sel!$O$24,$E73=Tab_sel!$N$31,$F73=Tab_sel!$B$42),1,"")</f>
        <v>#N/A</v>
      </c>
      <c r="BM73" s="322" t="e">
        <f>IF(AND($BC73=0,$C73=Tab_sel!$P$7,$D73=Tab_sel!$O$24,$E73=Tab_sel!$N$31,$F73=Tab_sel!$B$43),1,"")</f>
        <v>#N/A</v>
      </c>
      <c r="BN73" s="322" t="e">
        <f>IF(AND($BC73=0,$C73=Tab_sel!$P$7,$D73=Tab_sel!$O$24,$E73=Tab_sel!$N$31,$F73=Tab_sel!$B$44),1,"")</f>
        <v>#N/A</v>
      </c>
      <c r="BO73" s="343" t="e">
        <f>IF(AND($BC73=0,$C73=Tab_sel!$P$7,$D73=Tab_sel!$O$24,$E73=Tab_sel!$N$31,$F73=Tab_sel!$B$45),1,"")</f>
        <v>#N/A</v>
      </c>
      <c r="BP73" s="354" t="e">
        <f>IF(AND($BC73=0,$C73=Tab_sel!$P$7,$D73=Tab_sel!$O$24,$E73=Tab_sel!$N$31,$F73=Tab_sel!$N$40,$I73=Tab_sel!$B$61),1,"")</f>
        <v>#N/A</v>
      </c>
      <c r="BQ73" s="355" t="e">
        <f>IF(AND($BC73=0,$C73=Tab_sel!$P$7,$D73=Tab_sel!$O$24,$E73=Tab_sel!$N$31,$F73=Tab_sel!$N$40,$I73=Tab_sel!$B$62),1,"")</f>
        <v>#N/A</v>
      </c>
      <c r="BR73" s="355" t="e">
        <f>IF(AND($BC73=0,$C73=Tab_sel!$P$7,$D73=Tab_sel!$O$24,$E73=Tab_sel!$N$31,$F73=Tab_sel!$N$40,$I73=Tab_sel!$B$63),1,"")</f>
        <v>#N/A</v>
      </c>
      <c r="BS73" s="355" t="e">
        <f>IF(AND($BC73=0,$C73=Tab_sel!$P$7,$D73=Tab_sel!$O$24,$E73=Tab_sel!$N$31,$F73=Tab_sel!$N$40,$I73=Tab_sel!$B$64),1,"")</f>
        <v>#N/A</v>
      </c>
      <c r="BT73" s="356" t="e">
        <f>IF(AND($BC73=0,$C73=Tab_sel!$P$7,$D73=Tab_sel!$O$24,$E73=Tab_sel!$N$31,$F73=Tab_sel!$N$40,$I73=Tab_sel!$B$65),1,"")</f>
        <v>#N/A</v>
      </c>
      <c r="BU73" s="856" t="e">
        <f>IF(AND($BC73=0,$C73=Tab_sel!$P$7,$D73=Tab_sel!$O$24,$E73=Tab_sel!$N$31,$F73=Tab_sel!$N$40,$I73=Tab_sel!$P$61,$H73=Tab_sel!$B$77),1,"")</f>
        <v>#N/A</v>
      </c>
      <c r="BV73" s="883" t="e">
        <f>IF(AND($BC73=0,$C73=Tab_sel!$P$7,$D73=Tab_sel!$O$24,$E73=Tab_sel!$N$31,$F73=Tab_sel!$N$40,$I73=Tab_sel!$P$61,$H73=Tab_sel!$B$78),1,"")</f>
        <v>#N/A</v>
      </c>
      <c r="BW73" s="883" t="e">
        <f>IF(AND($BC73=0,$C73=Tab_sel!$P$7,$D73=Tab_sel!$O$24,$E73=Tab_sel!$N$31,$F73=Tab_sel!$N$40,$I73=Tab_sel!$P$61,$H73=Tab_sel!$B$79),1,"")</f>
        <v>#N/A</v>
      </c>
      <c r="BX73" s="883" t="e">
        <f>IF(AND($BC73=0,$C73=Tab_sel!$P$7,$D73=Tab_sel!$O$24,$E73=Tab_sel!$N$31,$F73=Tab_sel!$N$40,$I73=Tab_sel!$P$61,$H73=Tab_sel!$B$80),1,"")</f>
        <v>#N/A</v>
      </c>
      <c r="BY73" s="883" t="e">
        <f>IF(AND($BC73=0,$C73=Tab_sel!$P$7,$D73=Tab_sel!$O$24,$E73=Tab_sel!$N$31,$F73=Tab_sel!$N$40,$I73=Tab_sel!$P$61,$H73=Tab_sel!$B$81),1,"")</f>
        <v>#N/A</v>
      </c>
      <c r="BZ73" s="857" t="e">
        <f>IF(AND($BC73=0,$C73=Tab_sel!$P$7,$D73=Tab_sel!$O$24,$E73=Tab_sel!$N$31,$F73=Tab_sel!$N$40,$I73=Tab_sel!$P$61,$H73=Tab_sel!$B$82),1,"")</f>
        <v>#N/A</v>
      </c>
      <c r="CA73" s="359"/>
      <c r="CC73">
        <f t="shared" si="30"/>
        <v>0</v>
      </c>
      <c r="CD73" s="882">
        <f t="shared" si="31"/>
        <v>0</v>
      </c>
      <c r="CE73" s="882">
        <f t="shared" si="32"/>
        <v>0</v>
      </c>
      <c r="CH73" t="s">
        <v>2612</v>
      </c>
    </row>
    <row r="74" spans="2:88" ht="44.25" customHeight="1" x14ac:dyDescent="0.25">
      <c r="B74" s="791" t="s">
        <v>1988</v>
      </c>
      <c r="C74" s="771" t="s">
        <v>38</v>
      </c>
      <c r="D74" s="772" t="s">
        <v>23</v>
      </c>
      <c r="E74" s="771" t="str">
        <f>Fic</f>
        <v xml:space="preserve">Fichier ou base de données </v>
      </c>
      <c r="F74" s="768" t="str">
        <f t="shared" ref="F74:F81" si="37">Altd</f>
        <v>Altération (non détectée) de donnée</v>
      </c>
      <c r="G74" s="909" t="s">
        <v>2567</v>
      </c>
      <c r="H74" s="768"/>
      <c r="I74" s="771" t="s">
        <v>1198</v>
      </c>
      <c r="J74" s="769" t="s">
        <v>2540</v>
      </c>
      <c r="K74" s="769" t="s">
        <v>2455</v>
      </c>
      <c r="L74" s="769"/>
      <c r="M74" s="790"/>
      <c r="N74" s="767"/>
      <c r="O74" s="767"/>
      <c r="P74" s="772"/>
      <c r="Q74" s="803"/>
      <c r="R74" s="803"/>
      <c r="S74" s="804"/>
      <c r="T74" s="772"/>
      <c r="U74" s="772"/>
      <c r="V74" s="805"/>
      <c r="W74" s="767"/>
      <c r="X74" s="767"/>
      <c r="Y74" s="772"/>
      <c r="Z74" s="772"/>
      <c r="AA74" s="772"/>
      <c r="AB74" s="805"/>
      <c r="AC74" s="806"/>
      <c r="AD74" s="806"/>
      <c r="AE74" s="806"/>
      <c r="AF74" s="806"/>
      <c r="AG74" s="806"/>
      <c r="AH74" s="805"/>
      <c r="AI74" s="807" t="str">
        <f t="shared" si="2"/>
        <v/>
      </c>
      <c r="AJ74" s="805"/>
      <c r="AK74" s="359"/>
      <c r="AM74" t="str">
        <f t="shared" si="34"/>
        <v/>
      </c>
      <c r="AN74">
        <f t="shared" si="35"/>
        <v>0</v>
      </c>
      <c r="AW74" s="882">
        <f t="shared" si="29"/>
        <v>0</v>
      </c>
      <c r="AX74" s="882">
        <f t="shared" si="25"/>
        <v>1</v>
      </c>
      <c r="AY74" s="882">
        <f t="shared" si="26"/>
        <v>1</v>
      </c>
      <c r="AZ74" s="927">
        <f t="shared" si="27"/>
        <v>1</v>
      </c>
      <c r="BA74" s="882">
        <v>1</v>
      </c>
      <c r="BB74" s="925">
        <f t="shared" si="36"/>
        <v>0</v>
      </c>
      <c r="BC74" s="882">
        <f t="shared" si="28"/>
        <v>1</v>
      </c>
      <c r="BD74" s="342" t="e">
        <f>IF(AND($BC74=0,C74=Tab_sel!$P$7,$D74=Tab_sel!$O$24,$E74=Tab_sel!$B$31),1,"")</f>
        <v>#N/A</v>
      </c>
      <c r="BE74" s="322" t="e">
        <f>IF(AND($BC74=0,C74=Tab_sel!$P$7,$D74=Tab_sel!$O$24,$E74=Tab_sel!$B$32),1,"")</f>
        <v>#N/A</v>
      </c>
      <c r="BF74" s="322" t="e">
        <f>IF(AND($BC74=0,C74=Tab_sel!$P$7,$D74=Tab_sel!$O$24,$E74=Tab_sel!$B$33),1,"")</f>
        <v>#N/A</v>
      </c>
      <c r="BG74" s="322" t="e">
        <f>IF(AND($BC74=0,C74=Tab_sel!$P$7,$D74=Tab_sel!$O$24,$E74=Tab_sel!$B$34),1,"")</f>
        <v>#N/A</v>
      </c>
      <c r="BH74" s="322" t="e">
        <f>IF(AND($BC74=0,C74=Tab_sel!$P$7,$D74=Tab_sel!$O$24,$E74=Tab_sel!$B$35),1,"")</f>
        <v>#N/A</v>
      </c>
      <c r="BI74" s="343" t="e">
        <f>IF(AND($BC74=0,C74=Tab_sel!$P$7,$D74=Tab_sel!$O$24,$E74=Tab_sel!$B$36),1,"")</f>
        <v>#N/A</v>
      </c>
      <c r="BJ74" s="342" t="e">
        <f>IF(AND($BC74=0,$C74=Tab_sel!$P$7,$D74=Tab_sel!$O$24,$E74=Tab_sel!$N$31,$F74=Tab_sel!$B$40),1,"")</f>
        <v>#N/A</v>
      </c>
      <c r="BK74" s="322" t="e">
        <f>IF(AND($BC74=0,$C74=Tab_sel!$P$7,$D74=Tab_sel!$O$24,$E74=Tab_sel!$N$31,$F74=Tab_sel!$B$41),1,"")</f>
        <v>#N/A</v>
      </c>
      <c r="BL74" s="322" t="e">
        <f>IF(AND($BC74=0,$C74=Tab_sel!$P$7,$D74=Tab_sel!$O$24,$E74=Tab_sel!$N$31,$F74=Tab_sel!$B$42),1,"")</f>
        <v>#N/A</v>
      </c>
      <c r="BM74" s="322" t="e">
        <f>IF(AND($BC74=0,$C74=Tab_sel!$P$7,$D74=Tab_sel!$O$24,$E74=Tab_sel!$N$31,$F74=Tab_sel!$B$43),1,"")</f>
        <v>#N/A</v>
      </c>
      <c r="BN74" s="322" t="e">
        <f>IF(AND($BC74=0,$C74=Tab_sel!$P$7,$D74=Tab_sel!$O$24,$E74=Tab_sel!$N$31,$F74=Tab_sel!$B$44),1,"")</f>
        <v>#N/A</v>
      </c>
      <c r="BO74" s="343" t="e">
        <f>IF(AND($BC74=0,$C74=Tab_sel!$P$7,$D74=Tab_sel!$O$24,$E74=Tab_sel!$N$31,$F74=Tab_sel!$B$45),1,"")</f>
        <v>#N/A</v>
      </c>
      <c r="BP74" s="354" t="e">
        <f>IF(AND($BC74=0,$C74=Tab_sel!$P$7,$D74=Tab_sel!$O$24,$E74=Tab_sel!$N$31,$F74=Tab_sel!$N$40,$I74=Tab_sel!$B$61),1,"")</f>
        <v>#N/A</v>
      </c>
      <c r="BQ74" s="355" t="e">
        <f>IF(AND($BC74=0,$C74=Tab_sel!$P$7,$D74=Tab_sel!$O$24,$E74=Tab_sel!$N$31,$F74=Tab_sel!$N$40,$I74=Tab_sel!$B$62),1,"")</f>
        <v>#N/A</v>
      </c>
      <c r="BR74" s="355" t="e">
        <f>IF(AND($BC74=0,$C74=Tab_sel!$P$7,$D74=Tab_sel!$O$24,$E74=Tab_sel!$N$31,$F74=Tab_sel!$N$40,$I74=Tab_sel!$B$63),1,"")</f>
        <v>#N/A</v>
      </c>
      <c r="BS74" s="355" t="e">
        <f>IF(AND($BC74=0,$C74=Tab_sel!$P$7,$D74=Tab_sel!$O$24,$E74=Tab_sel!$N$31,$F74=Tab_sel!$N$40,$I74=Tab_sel!$B$64),1,"")</f>
        <v>#N/A</v>
      </c>
      <c r="BT74" s="356" t="e">
        <f>IF(AND($BC74=0,$C74=Tab_sel!$P$7,$D74=Tab_sel!$O$24,$E74=Tab_sel!$N$31,$F74=Tab_sel!$N$40,$I74=Tab_sel!$B$65),1,"")</f>
        <v>#N/A</v>
      </c>
      <c r="BU74" s="856" t="e">
        <f>IF(AND($BC74=0,$C74=Tab_sel!$P$7,$D74=Tab_sel!$O$24,$E74=Tab_sel!$N$31,$F74=Tab_sel!$N$40,$I74=Tab_sel!$P$61,$H74=Tab_sel!$B$77),1,"")</f>
        <v>#N/A</v>
      </c>
      <c r="BV74" s="883" t="e">
        <f>IF(AND($BC74=0,$C74=Tab_sel!$P$7,$D74=Tab_sel!$O$24,$E74=Tab_sel!$N$31,$F74=Tab_sel!$N$40,$I74=Tab_sel!$P$61,$H74=Tab_sel!$B$78),1,"")</f>
        <v>#N/A</v>
      </c>
      <c r="BW74" s="883" t="e">
        <f>IF(AND($BC74=0,$C74=Tab_sel!$P$7,$D74=Tab_sel!$O$24,$E74=Tab_sel!$N$31,$F74=Tab_sel!$N$40,$I74=Tab_sel!$P$61,$H74=Tab_sel!$B$79),1,"")</f>
        <v>#N/A</v>
      </c>
      <c r="BX74" s="883" t="e">
        <f>IF(AND($BC74=0,$C74=Tab_sel!$P$7,$D74=Tab_sel!$O$24,$E74=Tab_sel!$N$31,$F74=Tab_sel!$N$40,$I74=Tab_sel!$P$61,$H74=Tab_sel!$B$80),1,"")</f>
        <v>#N/A</v>
      </c>
      <c r="BY74" s="883" t="e">
        <f>IF(AND($BC74=0,$C74=Tab_sel!$P$7,$D74=Tab_sel!$O$24,$E74=Tab_sel!$N$31,$F74=Tab_sel!$N$40,$I74=Tab_sel!$P$61,$H74=Tab_sel!$B$81),1,"")</f>
        <v>#N/A</v>
      </c>
      <c r="BZ74" s="857" t="e">
        <f>IF(AND($BC74=0,$C74=Tab_sel!$P$7,$D74=Tab_sel!$O$24,$E74=Tab_sel!$N$31,$F74=Tab_sel!$N$40,$I74=Tab_sel!$P$61,$H74=Tab_sel!$B$82),1,"")</f>
        <v>#N/A</v>
      </c>
      <c r="CA74" s="359"/>
      <c r="CC74">
        <f t="shared" si="30"/>
        <v>0</v>
      </c>
      <c r="CD74" s="882">
        <f t="shared" si="31"/>
        <v>0</v>
      </c>
      <c r="CE74" s="882">
        <f t="shared" si="32"/>
        <v>0</v>
      </c>
      <c r="CG74" t="s">
        <v>2632</v>
      </c>
      <c r="CH74" t="s">
        <v>2639</v>
      </c>
    </row>
    <row r="75" spans="2:88" ht="44.25" customHeight="1" x14ac:dyDescent="0.25">
      <c r="B75" s="791" t="s">
        <v>2378</v>
      </c>
      <c r="C75" s="874" t="s">
        <v>38</v>
      </c>
      <c r="D75" s="875" t="s">
        <v>23</v>
      </c>
      <c r="E75" s="771" t="str">
        <f>Fic</f>
        <v xml:space="preserve">Fichier ou base de données </v>
      </c>
      <c r="F75" s="768" t="str">
        <f t="shared" si="37"/>
        <v>Altération (non détectée) de donnée</v>
      </c>
      <c r="G75" s="909" t="s">
        <v>2567</v>
      </c>
      <c r="H75" s="876" t="s">
        <v>2379</v>
      </c>
      <c r="I75" s="874" t="s">
        <v>1198</v>
      </c>
      <c r="J75" s="888"/>
      <c r="K75" s="877" t="s">
        <v>2448</v>
      </c>
      <c r="L75" s="877"/>
      <c r="M75" s="790"/>
      <c r="N75" s="851"/>
      <c r="O75" s="851"/>
      <c r="P75" s="875"/>
      <c r="Q75" s="803"/>
      <c r="R75" s="803"/>
      <c r="S75" s="804"/>
      <c r="T75" s="875"/>
      <c r="U75" s="875"/>
      <c r="V75" s="805"/>
      <c r="W75" s="851"/>
      <c r="X75" s="851"/>
      <c r="Y75" s="875"/>
      <c r="Z75" s="875"/>
      <c r="AA75" s="875"/>
      <c r="AB75" s="805"/>
      <c r="AC75" s="806"/>
      <c r="AD75" s="806"/>
      <c r="AE75" s="806"/>
      <c r="AF75" s="806"/>
      <c r="AG75" s="806"/>
      <c r="AH75" s="805"/>
      <c r="AI75" s="807" t="str">
        <f t="shared" si="2"/>
        <v/>
      </c>
      <c r="AJ75" s="805"/>
      <c r="AK75" s="359"/>
      <c r="AM75" t="str">
        <f t="shared" si="34"/>
        <v/>
      </c>
      <c r="AN75">
        <f t="shared" si="35"/>
        <v>0</v>
      </c>
      <c r="AV75" s="882"/>
      <c r="AW75" s="882">
        <f t="shared" si="29"/>
        <v>0</v>
      </c>
      <c r="AX75" s="882">
        <f t="shared" si="25"/>
        <v>1</v>
      </c>
      <c r="AY75" s="882">
        <f t="shared" si="26"/>
        <v>1</v>
      </c>
      <c r="AZ75" s="927">
        <f t="shared" si="27"/>
        <v>1</v>
      </c>
      <c r="BA75" s="882">
        <v>0</v>
      </c>
      <c r="BB75" s="925">
        <f t="shared" si="36"/>
        <v>0</v>
      </c>
      <c r="BC75" s="882">
        <f t="shared" si="28"/>
        <v>1</v>
      </c>
      <c r="BD75" s="342" t="e">
        <f>IF(AND($BC75=0,C75=Tab_sel!$P$7,$D75=Tab_sel!$O$24,$E75=Tab_sel!$B$31),1,"")</f>
        <v>#N/A</v>
      </c>
      <c r="BE75" s="322" t="e">
        <f>IF(AND($BC75=0,C75=Tab_sel!$P$7,$D75=Tab_sel!$O$24,$E75=Tab_sel!$B$32),1,"")</f>
        <v>#N/A</v>
      </c>
      <c r="BF75" s="322" t="e">
        <f>IF(AND($BC75=0,C75=Tab_sel!$P$7,$D75=Tab_sel!$O$24,$E75=Tab_sel!$B$33),1,"")</f>
        <v>#N/A</v>
      </c>
      <c r="BG75" s="322" t="e">
        <f>IF(AND($BC75=0,C75=Tab_sel!$P$7,$D75=Tab_sel!$O$24,$E75=Tab_sel!$B$34),1,"")</f>
        <v>#N/A</v>
      </c>
      <c r="BH75" s="322" t="e">
        <f>IF(AND($BC75=0,C75=Tab_sel!$P$7,$D75=Tab_sel!$O$24,$E75=Tab_sel!$B$35),1,"")</f>
        <v>#N/A</v>
      </c>
      <c r="BI75" s="343" t="e">
        <f>IF(AND($BC75=0,C75=Tab_sel!$P$7,$D75=Tab_sel!$O$24,$E75=Tab_sel!$B$36),1,"")</f>
        <v>#N/A</v>
      </c>
      <c r="BJ75" s="342" t="e">
        <f>IF(AND($BC75=0,$C75=Tab_sel!$P$7,$D75=Tab_sel!$O$24,$E75=Tab_sel!$N$31,$F75=Tab_sel!$B$40),1,"")</f>
        <v>#N/A</v>
      </c>
      <c r="BK75" s="322" t="e">
        <f>IF(AND($BC75=0,$C75=Tab_sel!$P$7,$D75=Tab_sel!$O$24,$E75=Tab_sel!$N$31,$F75=Tab_sel!$B$41),1,"")</f>
        <v>#N/A</v>
      </c>
      <c r="BL75" s="322" t="e">
        <f>IF(AND($BC75=0,$C75=Tab_sel!$P$7,$D75=Tab_sel!$O$24,$E75=Tab_sel!$N$31,$F75=Tab_sel!$B$42),1,"")</f>
        <v>#N/A</v>
      </c>
      <c r="BM75" s="322" t="e">
        <f>IF(AND($BC75=0,$C75=Tab_sel!$P$7,$D75=Tab_sel!$O$24,$E75=Tab_sel!$N$31,$F75=Tab_sel!$B$43),1,"")</f>
        <v>#N/A</v>
      </c>
      <c r="BN75" s="322" t="e">
        <f>IF(AND($BC75=0,$C75=Tab_sel!$P$7,$D75=Tab_sel!$O$24,$E75=Tab_sel!$N$31,$F75=Tab_sel!$B$44),1,"")</f>
        <v>#N/A</v>
      </c>
      <c r="BO75" s="343" t="e">
        <f>IF(AND($BC75=0,$C75=Tab_sel!$P$7,$D75=Tab_sel!$O$24,$E75=Tab_sel!$N$31,$F75=Tab_sel!$B$45),1,"")</f>
        <v>#N/A</v>
      </c>
      <c r="BP75" s="354" t="e">
        <f>IF(AND($BC75=0,$C75=Tab_sel!$P$7,$D75=Tab_sel!$O$24,$E75=Tab_sel!$N$31,$F75=Tab_sel!$N$40,$I75=Tab_sel!$B$61),1,"")</f>
        <v>#N/A</v>
      </c>
      <c r="BQ75" s="355" t="e">
        <f>IF(AND($BC75=0,$C75=Tab_sel!$P$7,$D75=Tab_sel!$O$24,$E75=Tab_sel!$N$31,$F75=Tab_sel!$N$40,$I75=Tab_sel!$B$62),1,"")</f>
        <v>#N/A</v>
      </c>
      <c r="BR75" s="355" t="e">
        <f>IF(AND($BC75=0,$C75=Tab_sel!$P$7,$D75=Tab_sel!$O$24,$E75=Tab_sel!$N$31,$F75=Tab_sel!$N$40,$I75=Tab_sel!$B$63),1,"")</f>
        <v>#N/A</v>
      </c>
      <c r="BS75" s="355" t="e">
        <f>IF(AND($BC75=0,$C75=Tab_sel!$P$7,$D75=Tab_sel!$O$24,$E75=Tab_sel!$N$31,$F75=Tab_sel!$N$40,$I75=Tab_sel!$B$64),1,"")</f>
        <v>#N/A</v>
      </c>
      <c r="BT75" s="356" t="e">
        <f>IF(AND($BC75=0,$C75=Tab_sel!$P$7,$D75=Tab_sel!$O$24,$E75=Tab_sel!$N$31,$F75=Tab_sel!$N$40,$I75=Tab_sel!$B$65),1,"")</f>
        <v>#N/A</v>
      </c>
      <c r="BU75" s="856" t="e">
        <f>IF(AND($BC75=0,$C75=Tab_sel!$P$7,$D75=Tab_sel!$O$24,$E75=Tab_sel!$N$31,$F75=Tab_sel!$N$40,$I75=Tab_sel!$P$61,$H75=Tab_sel!$B$77),1,"")</f>
        <v>#N/A</v>
      </c>
      <c r="BV75" s="883" t="e">
        <f>IF(AND($BC75=0,$C75=Tab_sel!$P$7,$D75=Tab_sel!$O$24,$E75=Tab_sel!$N$31,$F75=Tab_sel!$N$40,$I75=Tab_sel!$P$61,$H75=Tab_sel!$B$78),1,"")</f>
        <v>#N/A</v>
      </c>
      <c r="BW75" s="883" t="e">
        <f>IF(AND($BC75=0,$C75=Tab_sel!$P$7,$D75=Tab_sel!$O$24,$E75=Tab_sel!$N$31,$F75=Tab_sel!$N$40,$I75=Tab_sel!$P$61,$H75=Tab_sel!$B$79),1,"")</f>
        <v>#N/A</v>
      </c>
      <c r="BX75" s="883" t="e">
        <f>IF(AND($BC75=0,$C75=Tab_sel!$P$7,$D75=Tab_sel!$O$24,$E75=Tab_sel!$N$31,$F75=Tab_sel!$N$40,$I75=Tab_sel!$P$61,$H75=Tab_sel!$B$80),1,"")</f>
        <v>#N/A</v>
      </c>
      <c r="BY75" s="883" t="e">
        <f>IF(AND($BC75=0,$C75=Tab_sel!$P$7,$D75=Tab_sel!$O$24,$E75=Tab_sel!$N$31,$F75=Tab_sel!$N$40,$I75=Tab_sel!$P$61,$H75=Tab_sel!$B$81),1,"")</f>
        <v>#N/A</v>
      </c>
      <c r="BZ75" s="857" t="e">
        <f>IF(AND($BC75=0,$C75=Tab_sel!$P$7,$D75=Tab_sel!$O$24,$E75=Tab_sel!$N$31,$F75=Tab_sel!$N$40,$I75=Tab_sel!$P$61,$H75=Tab_sel!$B$82),1,"")</f>
        <v>#N/A</v>
      </c>
      <c r="CA75" s="359"/>
      <c r="CC75">
        <f t="shared" si="30"/>
        <v>0</v>
      </c>
      <c r="CD75" s="882">
        <f t="shared" si="31"/>
        <v>0</v>
      </c>
      <c r="CE75" s="882">
        <f t="shared" si="32"/>
        <v>0</v>
      </c>
      <c r="CH75" t="s">
        <v>2640</v>
      </c>
    </row>
    <row r="76" spans="2:88" ht="44.25" customHeight="1" x14ac:dyDescent="0.25">
      <c r="B76" s="791" t="s">
        <v>2380</v>
      </c>
      <c r="C76" s="874" t="s">
        <v>38</v>
      </c>
      <c r="D76" s="875" t="s">
        <v>23</v>
      </c>
      <c r="E76" s="771" t="str">
        <f>Fic</f>
        <v xml:space="preserve">Fichier ou base de données </v>
      </c>
      <c r="F76" s="768" t="str">
        <f t="shared" si="37"/>
        <v>Altération (non détectée) de donnée</v>
      </c>
      <c r="G76" s="909" t="s">
        <v>2567</v>
      </c>
      <c r="H76" s="876" t="s">
        <v>2507</v>
      </c>
      <c r="I76" s="874" t="s">
        <v>1198</v>
      </c>
      <c r="J76" s="877" t="s">
        <v>2537</v>
      </c>
      <c r="K76" s="877" t="s">
        <v>2449</v>
      </c>
      <c r="L76" s="877"/>
      <c r="M76" s="790"/>
      <c r="N76" s="851"/>
      <c r="O76" s="851"/>
      <c r="P76" s="875"/>
      <c r="Q76" s="803"/>
      <c r="R76" s="803"/>
      <c r="S76" s="804"/>
      <c r="T76" s="875"/>
      <c r="U76" s="875"/>
      <c r="V76" s="805"/>
      <c r="W76" s="851"/>
      <c r="X76" s="851"/>
      <c r="Y76" s="875"/>
      <c r="Z76" s="875"/>
      <c r="AA76" s="875"/>
      <c r="AB76" s="805"/>
      <c r="AC76" s="806"/>
      <c r="AD76" s="806"/>
      <c r="AE76" s="806"/>
      <c r="AF76" s="806"/>
      <c r="AG76" s="806"/>
      <c r="AH76" s="805"/>
      <c r="AI76" s="807" t="str">
        <f t="shared" si="2"/>
        <v/>
      </c>
      <c r="AJ76" s="805"/>
      <c r="AK76" s="359"/>
      <c r="AM76" t="str">
        <f t="shared" si="34"/>
        <v/>
      </c>
      <c r="AN76">
        <f t="shared" si="35"/>
        <v>0</v>
      </c>
      <c r="AV76" s="882"/>
      <c r="AW76" s="882">
        <f t="shared" si="29"/>
        <v>0</v>
      </c>
      <c r="AX76" s="882">
        <f t="shared" si="25"/>
        <v>1</v>
      </c>
      <c r="AY76" s="882">
        <f t="shared" si="26"/>
        <v>1</v>
      </c>
      <c r="AZ76" s="927">
        <f t="shared" si="27"/>
        <v>1</v>
      </c>
      <c r="BA76" s="882">
        <v>0</v>
      </c>
      <c r="BB76" s="925">
        <f t="shared" si="36"/>
        <v>0</v>
      </c>
      <c r="BC76" s="882">
        <f t="shared" si="28"/>
        <v>1</v>
      </c>
      <c r="BD76" s="342" t="e">
        <f>IF(AND($BC76=0,C76=Tab_sel!$P$7,$D76=Tab_sel!$O$24,$E76=Tab_sel!$B$31),1,"")</f>
        <v>#N/A</v>
      </c>
      <c r="BE76" s="322" t="e">
        <f>IF(AND($BC76=0,C76=Tab_sel!$P$7,$D76=Tab_sel!$O$24,$E76=Tab_sel!$B$32),1,"")</f>
        <v>#N/A</v>
      </c>
      <c r="BF76" s="322" t="e">
        <f>IF(AND($BC76=0,C76=Tab_sel!$P$7,$D76=Tab_sel!$O$24,$E76=Tab_sel!$B$33),1,"")</f>
        <v>#N/A</v>
      </c>
      <c r="BG76" s="322" t="e">
        <f>IF(AND($BC76=0,C76=Tab_sel!$P$7,$D76=Tab_sel!$O$24,$E76=Tab_sel!$B$34),1,"")</f>
        <v>#N/A</v>
      </c>
      <c r="BH76" s="322" t="e">
        <f>IF(AND($BC76=0,C76=Tab_sel!$P$7,$D76=Tab_sel!$O$24,$E76=Tab_sel!$B$35),1,"")</f>
        <v>#N/A</v>
      </c>
      <c r="BI76" s="343" t="e">
        <f>IF(AND($BC76=0,C76=Tab_sel!$P$7,$D76=Tab_sel!$O$24,$E76=Tab_sel!$B$36),1,"")</f>
        <v>#N/A</v>
      </c>
      <c r="BJ76" s="342" t="e">
        <f>IF(AND($BC76=0,$C76=Tab_sel!$P$7,$D76=Tab_sel!$O$24,$E76=Tab_sel!$N$31,$F76=Tab_sel!$B$40),1,"")</f>
        <v>#N/A</v>
      </c>
      <c r="BK76" s="322" t="e">
        <f>IF(AND($BC76=0,$C76=Tab_sel!$P$7,$D76=Tab_sel!$O$24,$E76=Tab_sel!$N$31,$F76=Tab_sel!$B$41),1,"")</f>
        <v>#N/A</v>
      </c>
      <c r="BL76" s="322" t="e">
        <f>IF(AND($BC76=0,$C76=Tab_sel!$P$7,$D76=Tab_sel!$O$24,$E76=Tab_sel!$N$31,$F76=Tab_sel!$B$42),1,"")</f>
        <v>#N/A</v>
      </c>
      <c r="BM76" s="322" t="e">
        <f>IF(AND($BC76=0,$C76=Tab_sel!$P$7,$D76=Tab_sel!$O$24,$E76=Tab_sel!$N$31,$F76=Tab_sel!$B$43),1,"")</f>
        <v>#N/A</v>
      </c>
      <c r="BN76" s="322" t="e">
        <f>IF(AND($BC76=0,$C76=Tab_sel!$P$7,$D76=Tab_sel!$O$24,$E76=Tab_sel!$N$31,$F76=Tab_sel!$B$44),1,"")</f>
        <v>#N/A</v>
      </c>
      <c r="BO76" s="343" t="e">
        <f>IF(AND($BC76=0,$C76=Tab_sel!$P$7,$D76=Tab_sel!$O$24,$E76=Tab_sel!$N$31,$F76=Tab_sel!$B$45),1,"")</f>
        <v>#N/A</v>
      </c>
      <c r="BP76" s="354" t="e">
        <f>IF(AND($BC76=0,$C76=Tab_sel!$P$7,$D76=Tab_sel!$O$24,$E76=Tab_sel!$N$31,$F76=Tab_sel!$N$40,$I76=Tab_sel!$B$61),1,"")</f>
        <v>#N/A</v>
      </c>
      <c r="BQ76" s="355" t="e">
        <f>IF(AND($BC76=0,$C76=Tab_sel!$P$7,$D76=Tab_sel!$O$24,$E76=Tab_sel!$N$31,$F76=Tab_sel!$N$40,$I76=Tab_sel!$B$62),1,"")</f>
        <v>#N/A</v>
      </c>
      <c r="BR76" s="355" t="e">
        <f>IF(AND($BC76=0,$C76=Tab_sel!$P$7,$D76=Tab_sel!$O$24,$E76=Tab_sel!$N$31,$F76=Tab_sel!$N$40,$I76=Tab_sel!$B$63),1,"")</f>
        <v>#N/A</v>
      </c>
      <c r="BS76" s="355" t="e">
        <f>IF(AND($BC76=0,$C76=Tab_sel!$P$7,$D76=Tab_sel!$O$24,$E76=Tab_sel!$N$31,$F76=Tab_sel!$N$40,$I76=Tab_sel!$B$64),1,"")</f>
        <v>#N/A</v>
      </c>
      <c r="BT76" s="356" t="e">
        <f>IF(AND($BC76=0,$C76=Tab_sel!$P$7,$D76=Tab_sel!$O$24,$E76=Tab_sel!$N$31,$F76=Tab_sel!$N$40,$I76=Tab_sel!$B$65),1,"")</f>
        <v>#N/A</v>
      </c>
      <c r="BU76" s="856" t="e">
        <f>IF(AND($BC76=0,$C76=Tab_sel!$P$7,$D76=Tab_sel!$O$24,$E76=Tab_sel!$N$31,$F76=Tab_sel!$N$40,$I76=Tab_sel!$P$61,$H76=Tab_sel!$B$77),1,"")</f>
        <v>#N/A</v>
      </c>
      <c r="BV76" s="883" t="e">
        <f>IF(AND($BC76=0,$C76=Tab_sel!$P$7,$D76=Tab_sel!$O$24,$E76=Tab_sel!$N$31,$F76=Tab_sel!$N$40,$I76=Tab_sel!$P$61,$H76=Tab_sel!$B$78),1,"")</f>
        <v>#N/A</v>
      </c>
      <c r="BW76" s="883" t="e">
        <f>IF(AND($BC76=0,$C76=Tab_sel!$P$7,$D76=Tab_sel!$O$24,$E76=Tab_sel!$N$31,$F76=Tab_sel!$N$40,$I76=Tab_sel!$P$61,$H76=Tab_sel!$B$79),1,"")</f>
        <v>#N/A</v>
      </c>
      <c r="BX76" s="883" t="e">
        <f>IF(AND($BC76=0,$C76=Tab_sel!$P$7,$D76=Tab_sel!$O$24,$E76=Tab_sel!$N$31,$F76=Tab_sel!$N$40,$I76=Tab_sel!$P$61,$H76=Tab_sel!$B$80),1,"")</f>
        <v>#N/A</v>
      </c>
      <c r="BY76" s="883" t="e">
        <f>IF(AND($BC76=0,$C76=Tab_sel!$P$7,$D76=Tab_sel!$O$24,$E76=Tab_sel!$N$31,$F76=Tab_sel!$N$40,$I76=Tab_sel!$P$61,$H76=Tab_sel!$B$81),1,"")</f>
        <v>#N/A</v>
      </c>
      <c r="BZ76" s="857" t="e">
        <f>IF(AND($BC76=0,$C76=Tab_sel!$P$7,$D76=Tab_sel!$O$24,$E76=Tab_sel!$N$31,$F76=Tab_sel!$N$40,$I76=Tab_sel!$P$61,$H76=Tab_sel!$B$82),1,"")</f>
        <v>#N/A</v>
      </c>
      <c r="CA76" s="359"/>
      <c r="CC76">
        <f t="shared" si="30"/>
        <v>0</v>
      </c>
      <c r="CD76" s="882">
        <f t="shared" si="31"/>
        <v>0</v>
      </c>
      <c r="CE76" s="882">
        <f t="shared" si="32"/>
        <v>0</v>
      </c>
      <c r="CG76" t="s">
        <v>2609</v>
      </c>
      <c r="CH76" t="s">
        <v>2641</v>
      </c>
    </row>
    <row r="77" spans="2:88" ht="44.25" customHeight="1" x14ac:dyDescent="0.25">
      <c r="B77" s="791" t="s">
        <v>2381</v>
      </c>
      <c r="C77" s="874" t="s">
        <v>38</v>
      </c>
      <c r="D77" s="875" t="s">
        <v>23</v>
      </c>
      <c r="E77" s="771" t="str">
        <f>Fic</f>
        <v xml:space="preserve">Fichier ou base de données </v>
      </c>
      <c r="F77" s="768" t="str">
        <f t="shared" si="37"/>
        <v>Altération (non détectée) de donnée</v>
      </c>
      <c r="G77" s="909" t="s">
        <v>2567</v>
      </c>
      <c r="H77" s="876" t="s">
        <v>2361</v>
      </c>
      <c r="I77" s="874" t="s">
        <v>1198</v>
      </c>
      <c r="J77" s="877" t="s">
        <v>2373</v>
      </c>
      <c r="K77" s="877" t="s">
        <v>2466</v>
      </c>
      <c r="L77" s="877"/>
      <c r="M77" s="790"/>
      <c r="N77" s="851"/>
      <c r="O77" s="851"/>
      <c r="P77" s="875"/>
      <c r="Q77" s="803"/>
      <c r="R77" s="803"/>
      <c r="S77" s="804"/>
      <c r="T77" s="875"/>
      <c r="U77" s="875"/>
      <c r="V77" s="805"/>
      <c r="W77" s="851"/>
      <c r="X77" s="851"/>
      <c r="Y77" s="875"/>
      <c r="Z77" s="875"/>
      <c r="AA77" s="875"/>
      <c r="AB77" s="805"/>
      <c r="AC77" s="806"/>
      <c r="AD77" s="806"/>
      <c r="AE77" s="806"/>
      <c r="AF77" s="806"/>
      <c r="AG77" s="806"/>
      <c r="AH77" s="805"/>
      <c r="AI77" s="807" t="str">
        <f t="shared" si="2"/>
        <v/>
      </c>
      <c r="AJ77" s="805"/>
      <c r="AK77" s="359"/>
      <c r="AM77" t="str">
        <f t="shared" si="34"/>
        <v/>
      </c>
      <c r="AN77">
        <f t="shared" si="35"/>
        <v>0</v>
      </c>
      <c r="AV77" s="882"/>
      <c r="AW77" s="882">
        <f t="shared" si="29"/>
        <v>0</v>
      </c>
      <c r="AX77" s="882">
        <f t="shared" si="25"/>
        <v>1</v>
      </c>
      <c r="AY77" s="882">
        <f t="shared" si="26"/>
        <v>1</v>
      </c>
      <c r="AZ77" s="927">
        <f t="shared" si="27"/>
        <v>1</v>
      </c>
      <c r="BA77" s="882">
        <v>0</v>
      </c>
      <c r="BB77" s="925">
        <f t="shared" si="36"/>
        <v>0</v>
      </c>
      <c r="BC77" s="882">
        <f t="shared" si="28"/>
        <v>1</v>
      </c>
      <c r="BD77" s="342" t="e">
        <f>IF(AND($BC77=0,C77=Tab_sel!$P$7,$D77=Tab_sel!$O$24,$E77=Tab_sel!$B$31),1,"")</f>
        <v>#N/A</v>
      </c>
      <c r="BE77" s="322" t="e">
        <f>IF(AND($BC77=0,C77=Tab_sel!$P$7,$D77=Tab_sel!$O$24,$E77=Tab_sel!$B$32),1,"")</f>
        <v>#N/A</v>
      </c>
      <c r="BF77" s="322" t="e">
        <f>IF(AND($BC77=0,C77=Tab_sel!$P$7,$D77=Tab_sel!$O$24,$E77=Tab_sel!$B$33),1,"")</f>
        <v>#N/A</v>
      </c>
      <c r="BG77" s="322" t="e">
        <f>IF(AND($BC77=0,C77=Tab_sel!$P$7,$D77=Tab_sel!$O$24,$E77=Tab_sel!$B$34),1,"")</f>
        <v>#N/A</v>
      </c>
      <c r="BH77" s="322" t="e">
        <f>IF(AND($BC77=0,C77=Tab_sel!$P$7,$D77=Tab_sel!$O$24,$E77=Tab_sel!$B$35),1,"")</f>
        <v>#N/A</v>
      </c>
      <c r="BI77" s="343" t="e">
        <f>IF(AND($BC77=0,C77=Tab_sel!$P$7,$D77=Tab_sel!$O$24,$E77=Tab_sel!$B$36),1,"")</f>
        <v>#N/A</v>
      </c>
      <c r="BJ77" s="342" t="e">
        <f>IF(AND($BC77=0,$C77=Tab_sel!$P$7,$D77=Tab_sel!$O$24,$E77=Tab_sel!$N$31,$F77=Tab_sel!$B$40),1,"")</f>
        <v>#N/A</v>
      </c>
      <c r="BK77" s="322" t="e">
        <f>IF(AND($BC77=0,$C77=Tab_sel!$P$7,$D77=Tab_sel!$O$24,$E77=Tab_sel!$N$31,$F77=Tab_sel!$B$41),1,"")</f>
        <v>#N/A</v>
      </c>
      <c r="BL77" s="322" t="e">
        <f>IF(AND($BC77=0,$C77=Tab_sel!$P$7,$D77=Tab_sel!$O$24,$E77=Tab_sel!$N$31,$F77=Tab_sel!$B$42),1,"")</f>
        <v>#N/A</v>
      </c>
      <c r="BM77" s="322" t="e">
        <f>IF(AND($BC77=0,$C77=Tab_sel!$P$7,$D77=Tab_sel!$O$24,$E77=Tab_sel!$N$31,$F77=Tab_sel!$B$43),1,"")</f>
        <v>#N/A</v>
      </c>
      <c r="BN77" s="322" t="e">
        <f>IF(AND($BC77=0,$C77=Tab_sel!$P$7,$D77=Tab_sel!$O$24,$E77=Tab_sel!$N$31,$F77=Tab_sel!$B$44),1,"")</f>
        <v>#N/A</v>
      </c>
      <c r="BO77" s="343" t="e">
        <f>IF(AND($BC77=0,$C77=Tab_sel!$P$7,$D77=Tab_sel!$O$24,$E77=Tab_sel!$N$31,$F77=Tab_sel!$B$45),1,"")</f>
        <v>#N/A</v>
      </c>
      <c r="BP77" s="354" t="e">
        <f>IF(AND($BC77=0,$C77=Tab_sel!$P$7,$D77=Tab_sel!$O$24,$E77=Tab_sel!$N$31,$F77=Tab_sel!$N$40,$I77=Tab_sel!$B$61),1,"")</f>
        <v>#N/A</v>
      </c>
      <c r="BQ77" s="355" t="e">
        <f>IF(AND($BC77=0,$C77=Tab_sel!$P$7,$D77=Tab_sel!$O$24,$E77=Tab_sel!$N$31,$F77=Tab_sel!$N$40,$I77=Tab_sel!$B$62),1,"")</f>
        <v>#N/A</v>
      </c>
      <c r="BR77" s="355" t="e">
        <f>IF(AND($BC77=0,$C77=Tab_sel!$P$7,$D77=Tab_sel!$O$24,$E77=Tab_sel!$N$31,$F77=Tab_sel!$N$40,$I77=Tab_sel!$B$63),1,"")</f>
        <v>#N/A</v>
      </c>
      <c r="BS77" s="355" t="e">
        <f>IF(AND($BC77=0,$C77=Tab_sel!$P$7,$D77=Tab_sel!$O$24,$E77=Tab_sel!$N$31,$F77=Tab_sel!$N$40,$I77=Tab_sel!$B$64),1,"")</f>
        <v>#N/A</v>
      </c>
      <c r="BT77" s="356" t="e">
        <f>IF(AND($BC77=0,$C77=Tab_sel!$P$7,$D77=Tab_sel!$O$24,$E77=Tab_sel!$N$31,$F77=Tab_sel!$N$40,$I77=Tab_sel!$B$65),1,"")</f>
        <v>#N/A</v>
      </c>
      <c r="BU77" s="856" t="e">
        <f>IF(AND($BC77=0,$C77=Tab_sel!$P$7,$D77=Tab_sel!$O$24,$E77=Tab_sel!$N$31,$F77=Tab_sel!$N$40,$I77=Tab_sel!$P$61,$H77=Tab_sel!$B$77),1,"")</f>
        <v>#N/A</v>
      </c>
      <c r="BV77" s="883" t="e">
        <f>IF(AND($BC77=0,$C77=Tab_sel!$P$7,$D77=Tab_sel!$O$24,$E77=Tab_sel!$N$31,$F77=Tab_sel!$N$40,$I77=Tab_sel!$P$61,$H77=Tab_sel!$B$78),1,"")</f>
        <v>#N/A</v>
      </c>
      <c r="BW77" s="883" t="e">
        <f>IF(AND($BC77=0,$C77=Tab_sel!$P$7,$D77=Tab_sel!$O$24,$E77=Tab_sel!$N$31,$F77=Tab_sel!$N$40,$I77=Tab_sel!$P$61,$H77=Tab_sel!$B$79),1,"")</f>
        <v>#N/A</v>
      </c>
      <c r="BX77" s="883" t="e">
        <f>IF(AND($BC77=0,$C77=Tab_sel!$P$7,$D77=Tab_sel!$O$24,$E77=Tab_sel!$N$31,$F77=Tab_sel!$N$40,$I77=Tab_sel!$P$61,$H77=Tab_sel!$B$80),1,"")</f>
        <v>#N/A</v>
      </c>
      <c r="BY77" s="883" t="e">
        <f>IF(AND($BC77=0,$C77=Tab_sel!$P$7,$D77=Tab_sel!$O$24,$E77=Tab_sel!$N$31,$F77=Tab_sel!$N$40,$I77=Tab_sel!$P$61,$H77=Tab_sel!$B$81),1,"")</f>
        <v>#N/A</v>
      </c>
      <c r="BZ77" s="857" t="e">
        <f>IF(AND($BC77=0,$C77=Tab_sel!$P$7,$D77=Tab_sel!$O$24,$E77=Tab_sel!$N$31,$F77=Tab_sel!$N$40,$I77=Tab_sel!$P$61,$H77=Tab_sel!$B$82),1,"")</f>
        <v>#N/A</v>
      </c>
      <c r="CA77" s="359"/>
      <c r="CC77">
        <f t="shared" si="30"/>
        <v>0</v>
      </c>
      <c r="CD77" s="882">
        <f t="shared" si="31"/>
        <v>0</v>
      </c>
      <c r="CE77" s="882">
        <f t="shared" si="32"/>
        <v>0</v>
      </c>
      <c r="CG77" t="s">
        <v>2634</v>
      </c>
      <c r="CH77" t="s">
        <v>2642</v>
      </c>
    </row>
    <row r="78" spans="2:88" ht="42.75" customHeight="1" x14ac:dyDescent="0.25">
      <c r="B78" s="791" t="s">
        <v>1989</v>
      </c>
      <c r="C78" s="771" t="s">
        <v>38</v>
      </c>
      <c r="D78" s="772" t="s">
        <v>23</v>
      </c>
      <c r="E78" s="771" t="str">
        <f>Fic</f>
        <v xml:space="preserve">Fichier ou base de données </v>
      </c>
      <c r="F78" s="768" t="str">
        <f t="shared" si="37"/>
        <v>Altération (non détectée) de donnée</v>
      </c>
      <c r="G78" s="909" t="s">
        <v>2568</v>
      </c>
      <c r="H78" s="768"/>
      <c r="I78" s="771" t="s">
        <v>1171</v>
      </c>
      <c r="J78" s="769"/>
      <c r="K78" s="769" t="s">
        <v>1331</v>
      </c>
      <c r="L78" s="770"/>
      <c r="M78" s="790"/>
      <c r="N78" s="767"/>
      <c r="O78" s="767"/>
      <c r="P78" s="772"/>
      <c r="Q78" s="803"/>
      <c r="R78" s="803"/>
      <c r="S78" s="804"/>
      <c r="T78" s="772"/>
      <c r="U78" s="772"/>
      <c r="V78" s="805"/>
      <c r="W78" s="767"/>
      <c r="X78" s="767"/>
      <c r="Y78" s="772"/>
      <c r="Z78" s="772"/>
      <c r="AA78" s="772"/>
      <c r="AB78" s="805"/>
      <c r="AC78" s="806"/>
      <c r="AD78" s="806"/>
      <c r="AE78" s="806"/>
      <c r="AF78" s="806"/>
      <c r="AG78" s="806"/>
      <c r="AH78" s="805"/>
      <c r="AI78" s="807" t="str">
        <f t="shared" si="2"/>
        <v/>
      </c>
      <c r="AJ78" s="805"/>
      <c r="AK78" s="359"/>
      <c r="AM78" t="str">
        <f t="shared" si="34"/>
        <v/>
      </c>
      <c r="AN78">
        <f t="shared" si="35"/>
        <v>0</v>
      </c>
      <c r="AW78" s="882">
        <f t="shared" si="29"/>
        <v>0</v>
      </c>
      <c r="AX78" s="882">
        <f t="shared" si="25"/>
        <v>1</v>
      </c>
      <c r="AY78" s="882">
        <f t="shared" si="26"/>
        <v>1</v>
      </c>
      <c r="AZ78" s="927">
        <f t="shared" si="27"/>
        <v>1</v>
      </c>
      <c r="BA78" s="882">
        <v>1</v>
      </c>
      <c r="BB78" s="925">
        <f t="shared" si="36"/>
        <v>0</v>
      </c>
      <c r="BC78" s="882">
        <f t="shared" si="28"/>
        <v>1</v>
      </c>
      <c r="BD78" s="342" t="e">
        <f>IF(AND($BC78=0,C78=Tab_sel!$P$7,$D78=Tab_sel!$O$24,$E78=Tab_sel!$B$31),1,"")</f>
        <v>#N/A</v>
      </c>
      <c r="BE78" s="322" t="e">
        <f>IF(AND($BC78=0,C78=Tab_sel!$P$7,$D78=Tab_sel!$O$24,$E78=Tab_sel!$B$32),1,"")</f>
        <v>#N/A</v>
      </c>
      <c r="BF78" s="322" t="e">
        <f>IF(AND($BC78=0,C78=Tab_sel!$P$7,$D78=Tab_sel!$O$24,$E78=Tab_sel!$B$33),1,"")</f>
        <v>#N/A</v>
      </c>
      <c r="BG78" s="322" t="e">
        <f>IF(AND($BC78=0,C78=Tab_sel!$P$7,$D78=Tab_sel!$O$24,$E78=Tab_sel!$B$34),1,"")</f>
        <v>#N/A</v>
      </c>
      <c r="BH78" s="322" t="e">
        <f>IF(AND($BC78=0,C78=Tab_sel!$P$7,$D78=Tab_sel!$O$24,$E78=Tab_sel!$B$35),1,"")</f>
        <v>#N/A</v>
      </c>
      <c r="BI78" s="343" t="e">
        <f>IF(AND($BC78=0,C78=Tab_sel!$P$7,$D78=Tab_sel!$O$24,$E78=Tab_sel!$B$36),1,"")</f>
        <v>#N/A</v>
      </c>
      <c r="BJ78" s="342" t="e">
        <f>IF(AND($BC78=0,$C78=Tab_sel!$P$7,$D78=Tab_sel!$O$24,$E78=Tab_sel!$N$31,$F78=Tab_sel!$B$40),1,"")</f>
        <v>#N/A</v>
      </c>
      <c r="BK78" s="322" t="e">
        <f>IF(AND($BC78=0,$C78=Tab_sel!$P$7,$D78=Tab_sel!$O$24,$E78=Tab_sel!$N$31,$F78=Tab_sel!$B$41),1,"")</f>
        <v>#N/A</v>
      </c>
      <c r="BL78" s="322" t="e">
        <f>IF(AND($BC78=0,$C78=Tab_sel!$P$7,$D78=Tab_sel!$O$24,$E78=Tab_sel!$N$31,$F78=Tab_sel!$B$42),1,"")</f>
        <v>#N/A</v>
      </c>
      <c r="BM78" s="322" t="e">
        <f>IF(AND($BC78=0,$C78=Tab_sel!$P$7,$D78=Tab_sel!$O$24,$E78=Tab_sel!$N$31,$F78=Tab_sel!$B$43),1,"")</f>
        <v>#N/A</v>
      </c>
      <c r="BN78" s="322" t="e">
        <f>IF(AND($BC78=0,$C78=Tab_sel!$P$7,$D78=Tab_sel!$O$24,$E78=Tab_sel!$N$31,$F78=Tab_sel!$B$44),1,"")</f>
        <v>#N/A</v>
      </c>
      <c r="BO78" s="343" t="e">
        <f>IF(AND($BC78=0,$C78=Tab_sel!$P$7,$D78=Tab_sel!$O$24,$E78=Tab_sel!$N$31,$F78=Tab_sel!$B$45),1,"")</f>
        <v>#N/A</v>
      </c>
      <c r="BP78" s="354" t="e">
        <f>IF(AND($BC78=0,$C78=Tab_sel!$P$7,$D78=Tab_sel!$O$24,$E78=Tab_sel!$N$31,$F78=Tab_sel!$N$40,$I78=Tab_sel!$B$61),1,"")</f>
        <v>#N/A</v>
      </c>
      <c r="BQ78" s="355" t="e">
        <f>IF(AND($BC78=0,$C78=Tab_sel!$P$7,$D78=Tab_sel!$O$24,$E78=Tab_sel!$N$31,$F78=Tab_sel!$N$40,$I78=Tab_sel!$B$62),1,"")</f>
        <v>#N/A</v>
      </c>
      <c r="BR78" s="355" t="e">
        <f>IF(AND($BC78=0,$C78=Tab_sel!$P$7,$D78=Tab_sel!$O$24,$E78=Tab_sel!$N$31,$F78=Tab_sel!$N$40,$I78=Tab_sel!$B$63),1,"")</f>
        <v>#N/A</v>
      </c>
      <c r="BS78" s="355" t="e">
        <f>IF(AND($BC78=0,$C78=Tab_sel!$P$7,$D78=Tab_sel!$O$24,$E78=Tab_sel!$N$31,$F78=Tab_sel!$N$40,$I78=Tab_sel!$B$64),1,"")</f>
        <v>#N/A</v>
      </c>
      <c r="BT78" s="356" t="e">
        <f>IF(AND($BC78=0,$C78=Tab_sel!$P$7,$D78=Tab_sel!$O$24,$E78=Tab_sel!$N$31,$F78=Tab_sel!$N$40,$I78=Tab_sel!$B$65),1,"")</f>
        <v>#N/A</v>
      </c>
      <c r="BU78" s="856" t="e">
        <f>IF(AND($BC78=0,$C78=Tab_sel!$P$7,$D78=Tab_sel!$O$24,$E78=Tab_sel!$N$31,$F78=Tab_sel!$N$40,$I78=Tab_sel!$P$61,$H78=Tab_sel!$B$77),1,"")</f>
        <v>#N/A</v>
      </c>
      <c r="BV78" s="883" t="e">
        <f>IF(AND($BC78=0,$C78=Tab_sel!$P$7,$D78=Tab_sel!$O$24,$E78=Tab_sel!$N$31,$F78=Tab_sel!$N$40,$I78=Tab_sel!$P$61,$H78=Tab_sel!$B$78),1,"")</f>
        <v>#N/A</v>
      </c>
      <c r="BW78" s="883" t="e">
        <f>IF(AND($BC78=0,$C78=Tab_sel!$P$7,$D78=Tab_sel!$O$24,$E78=Tab_sel!$N$31,$F78=Tab_sel!$N$40,$I78=Tab_sel!$P$61,$H78=Tab_sel!$B$79),1,"")</f>
        <v>#N/A</v>
      </c>
      <c r="BX78" s="883" t="e">
        <f>IF(AND($BC78=0,$C78=Tab_sel!$P$7,$D78=Tab_sel!$O$24,$E78=Tab_sel!$N$31,$F78=Tab_sel!$N$40,$I78=Tab_sel!$P$61,$H78=Tab_sel!$B$80),1,"")</f>
        <v>#N/A</v>
      </c>
      <c r="BY78" s="883" t="e">
        <f>IF(AND($BC78=0,$C78=Tab_sel!$P$7,$D78=Tab_sel!$O$24,$E78=Tab_sel!$N$31,$F78=Tab_sel!$N$40,$I78=Tab_sel!$P$61,$H78=Tab_sel!$B$81),1,"")</f>
        <v>#N/A</v>
      </c>
      <c r="BZ78" s="857" t="e">
        <f>IF(AND($BC78=0,$C78=Tab_sel!$P$7,$D78=Tab_sel!$O$24,$E78=Tab_sel!$N$31,$F78=Tab_sel!$N$40,$I78=Tab_sel!$P$61,$H78=Tab_sel!$B$82),1,"")</f>
        <v>#N/A</v>
      </c>
      <c r="CA78" s="359"/>
      <c r="CC78">
        <f t="shared" si="30"/>
        <v>0</v>
      </c>
      <c r="CD78" s="882">
        <f t="shared" si="31"/>
        <v>0</v>
      </c>
      <c r="CE78" s="882">
        <f t="shared" si="32"/>
        <v>0</v>
      </c>
      <c r="CH78" t="s">
        <v>2643</v>
      </c>
    </row>
    <row r="79" spans="2:88" ht="42.75" customHeight="1" x14ac:dyDescent="0.25">
      <c r="B79" s="791" t="s">
        <v>1990</v>
      </c>
      <c r="C79" s="771" t="s">
        <v>38</v>
      </c>
      <c r="D79" s="772" t="s">
        <v>23</v>
      </c>
      <c r="E79" s="771" t="str">
        <f>Det</f>
        <v>Données en transit</v>
      </c>
      <c r="F79" s="768" t="str">
        <f t="shared" si="37"/>
        <v>Altération (non détectée) de donnée</v>
      </c>
      <c r="G79" s="768" t="s">
        <v>1991</v>
      </c>
      <c r="H79" s="768"/>
      <c r="I79" s="771" t="s">
        <v>1198</v>
      </c>
      <c r="J79" s="769" t="s">
        <v>2537</v>
      </c>
      <c r="K79" s="769" t="s">
        <v>2467</v>
      </c>
      <c r="L79" s="769"/>
      <c r="M79" s="790" t="s">
        <v>1348</v>
      </c>
      <c r="N79" s="767"/>
      <c r="O79" s="767"/>
      <c r="P79" s="772"/>
      <c r="Q79" s="803"/>
      <c r="R79" s="803"/>
      <c r="S79" s="804"/>
      <c r="T79" s="772"/>
      <c r="U79" s="772"/>
      <c r="V79" s="805"/>
      <c r="W79" s="767"/>
      <c r="X79" s="767"/>
      <c r="Y79" s="772"/>
      <c r="Z79" s="772"/>
      <c r="AA79" s="772"/>
      <c r="AB79" s="805"/>
      <c r="AC79" s="806"/>
      <c r="AD79" s="806"/>
      <c r="AE79" s="806"/>
      <c r="AF79" s="806"/>
      <c r="AG79" s="806"/>
      <c r="AH79" s="805"/>
      <c r="AI79" s="807" t="str">
        <f t="shared" si="2"/>
        <v/>
      </c>
      <c r="AJ79" s="805"/>
      <c r="AK79" s="359"/>
      <c r="AM79" t="str">
        <f t="shared" si="34"/>
        <v/>
      </c>
      <c r="AN79">
        <f t="shared" si="35"/>
        <v>0</v>
      </c>
      <c r="AW79" s="882">
        <f t="shared" si="29"/>
        <v>0</v>
      </c>
      <c r="AX79" s="882">
        <f t="shared" si="25"/>
        <v>1</v>
      </c>
      <c r="AY79" s="882">
        <f t="shared" si="26"/>
        <v>1</v>
      </c>
      <c r="AZ79" s="927">
        <f t="shared" si="27"/>
        <v>1</v>
      </c>
      <c r="BA79" s="882">
        <v>1</v>
      </c>
      <c r="BB79" s="925">
        <f t="shared" si="36"/>
        <v>0</v>
      </c>
      <c r="BC79" s="882">
        <f t="shared" si="28"/>
        <v>1</v>
      </c>
      <c r="BD79" s="342" t="e">
        <f>IF(AND($BC79=0,C79=Tab_sel!$P$7,$D79=Tab_sel!$O$24,$E79=Tab_sel!$B$31),1,"")</f>
        <v>#N/A</v>
      </c>
      <c r="BE79" s="322" t="e">
        <f>IF(AND($BC79=0,C79=Tab_sel!$P$7,$D79=Tab_sel!$O$24,$E79=Tab_sel!$B$32),1,"")</f>
        <v>#N/A</v>
      </c>
      <c r="BF79" s="322" t="e">
        <f>IF(AND($BC79=0,C79=Tab_sel!$P$7,$D79=Tab_sel!$O$24,$E79=Tab_sel!$B$33),1,"")</f>
        <v>#N/A</v>
      </c>
      <c r="BG79" s="322" t="e">
        <f>IF(AND($BC79=0,C79=Tab_sel!$P$7,$D79=Tab_sel!$O$24,$E79=Tab_sel!$B$34),1,"")</f>
        <v>#N/A</v>
      </c>
      <c r="BH79" s="322" t="e">
        <f>IF(AND($BC79=0,C79=Tab_sel!$P$7,$D79=Tab_sel!$O$24,$E79=Tab_sel!$B$35),1,"")</f>
        <v>#N/A</v>
      </c>
      <c r="BI79" s="343" t="e">
        <f>IF(AND($BC79=0,C79=Tab_sel!$P$7,$D79=Tab_sel!$O$24,$E79=Tab_sel!$B$36),1,"")</f>
        <v>#N/A</v>
      </c>
      <c r="BJ79" s="342" t="e">
        <f>IF(AND($BC79=0,$C79=Tab_sel!$P$7,$D79=Tab_sel!$O$24,$E79=Tab_sel!$N$31,$F79=Tab_sel!$B$40),1,"")</f>
        <v>#N/A</v>
      </c>
      <c r="BK79" s="322" t="e">
        <f>IF(AND($BC79=0,$C79=Tab_sel!$P$7,$D79=Tab_sel!$O$24,$E79=Tab_sel!$N$31,$F79=Tab_sel!$B$41),1,"")</f>
        <v>#N/A</v>
      </c>
      <c r="BL79" s="322" t="e">
        <f>IF(AND($BC79=0,$C79=Tab_sel!$P$7,$D79=Tab_sel!$O$24,$E79=Tab_sel!$N$31,$F79=Tab_sel!$B$42),1,"")</f>
        <v>#N/A</v>
      </c>
      <c r="BM79" s="322" t="e">
        <f>IF(AND($BC79=0,$C79=Tab_sel!$P$7,$D79=Tab_sel!$O$24,$E79=Tab_sel!$N$31,$F79=Tab_sel!$B$43),1,"")</f>
        <v>#N/A</v>
      </c>
      <c r="BN79" s="322" t="e">
        <f>IF(AND($BC79=0,$C79=Tab_sel!$P$7,$D79=Tab_sel!$O$24,$E79=Tab_sel!$N$31,$F79=Tab_sel!$B$44),1,"")</f>
        <v>#N/A</v>
      </c>
      <c r="BO79" s="343" t="e">
        <f>IF(AND($BC79=0,$C79=Tab_sel!$P$7,$D79=Tab_sel!$O$24,$E79=Tab_sel!$N$31,$F79=Tab_sel!$B$45),1,"")</f>
        <v>#N/A</v>
      </c>
      <c r="BP79" s="354" t="e">
        <f>IF(AND($BC79=0,$C79=Tab_sel!$P$7,$D79=Tab_sel!$O$24,$E79=Tab_sel!$N$31,$F79=Tab_sel!$N$40,$I79=Tab_sel!$B$61),1,"")</f>
        <v>#N/A</v>
      </c>
      <c r="BQ79" s="355" t="e">
        <f>IF(AND($BC79=0,$C79=Tab_sel!$P$7,$D79=Tab_sel!$O$24,$E79=Tab_sel!$N$31,$F79=Tab_sel!$N$40,$I79=Tab_sel!$B$62),1,"")</f>
        <v>#N/A</v>
      </c>
      <c r="BR79" s="355" t="e">
        <f>IF(AND($BC79=0,$C79=Tab_sel!$P$7,$D79=Tab_sel!$O$24,$E79=Tab_sel!$N$31,$F79=Tab_sel!$N$40,$I79=Tab_sel!$B$63),1,"")</f>
        <v>#N/A</v>
      </c>
      <c r="BS79" s="355" t="e">
        <f>IF(AND($BC79=0,$C79=Tab_sel!$P$7,$D79=Tab_sel!$O$24,$E79=Tab_sel!$N$31,$F79=Tab_sel!$N$40,$I79=Tab_sel!$B$64),1,"")</f>
        <v>#N/A</v>
      </c>
      <c r="BT79" s="356" t="e">
        <f>IF(AND($BC79=0,$C79=Tab_sel!$P$7,$D79=Tab_sel!$O$24,$E79=Tab_sel!$N$31,$F79=Tab_sel!$N$40,$I79=Tab_sel!$B$65),1,"")</f>
        <v>#N/A</v>
      </c>
      <c r="BU79" s="856" t="e">
        <f>IF(AND($BC79=0,$C79=Tab_sel!$P$7,$D79=Tab_sel!$O$24,$E79=Tab_sel!$N$31,$F79=Tab_sel!$N$40,$I79=Tab_sel!$P$61,$H79=Tab_sel!$B$77),1,"")</f>
        <v>#N/A</v>
      </c>
      <c r="BV79" s="883" t="e">
        <f>IF(AND($BC79=0,$C79=Tab_sel!$P$7,$D79=Tab_sel!$O$24,$E79=Tab_sel!$N$31,$F79=Tab_sel!$N$40,$I79=Tab_sel!$P$61,$H79=Tab_sel!$B$78),1,"")</f>
        <v>#N/A</v>
      </c>
      <c r="BW79" s="883" t="e">
        <f>IF(AND($BC79=0,$C79=Tab_sel!$P$7,$D79=Tab_sel!$O$24,$E79=Tab_sel!$N$31,$F79=Tab_sel!$N$40,$I79=Tab_sel!$P$61,$H79=Tab_sel!$B$79),1,"")</f>
        <v>#N/A</v>
      </c>
      <c r="BX79" s="883" t="e">
        <f>IF(AND($BC79=0,$C79=Tab_sel!$P$7,$D79=Tab_sel!$O$24,$E79=Tab_sel!$N$31,$F79=Tab_sel!$N$40,$I79=Tab_sel!$P$61,$H79=Tab_sel!$B$80),1,"")</f>
        <v>#N/A</v>
      </c>
      <c r="BY79" s="883" t="e">
        <f>IF(AND($BC79=0,$C79=Tab_sel!$P$7,$D79=Tab_sel!$O$24,$E79=Tab_sel!$N$31,$F79=Tab_sel!$N$40,$I79=Tab_sel!$P$61,$H79=Tab_sel!$B$81),1,"")</f>
        <v>#N/A</v>
      </c>
      <c r="BZ79" s="857" t="e">
        <f>IF(AND($BC79=0,$C79=Tab_sel!$P$7,$D79=Tab_sel!$O$24,$E79=Tab_sel!$N$31,$F79=Tab_sel!$N$40,$I79=Tab_sel!$P$61,$H79=Tab_sel!$B$82),1,"")</f>
        <v>#N/A</v>
      </c>
      <c r="CA79" s="359"/>
      <c r="CC79">
        <f t="shared" si="30"/>
        <v>0</v>
      </c>
      <c r="CD79" s="882">
        <f t="shared" si="31"/>
        <v>0</v>
      </c>
      <c r="CE79" s="882">
        <f t="shared" si="32"/>
        <v>0</v>
      </c>
      <c r="CG79" t="s">
        <v>2609</v>
      </c>
      <c r="CH79" t="s">
        <v>2624</v>
      </c>
      <c r="CJ79" t="s">
        <v>2617</v>
      </c>
    </row>
    <row r="80" spans="2:88" ht="42.75" customHeight="1" x14ac:dyDescent="0.25">
      <c r="B80" s="791" t="s">
        <v>2382</v>
      </c>
      <c r="C80" s="874" t="s">
        <v>38</v>
      </c>
      <c r="D80" s="875" t="s">
        <v>23</v>
      </c>
      <c r="E80" s="771" t="str">
        <f>Det</f>
        <v>Données en transit</v>
      </c>
      <c r="F80" s="768" t="str">
        <f t="shared" si="37"/>
        <v>Altération (non détectée) de donnée</v>
      </c>
      <c r="G80" s="876" t="s">
        <v>1991</v>
      </c>
      <c r="H80" s="876" t="s">
        <v>2383</v>
      </c>
      <c r="I80" s="874" t="s">
        <v>1198</v>
      </c>
      <c r="J80" s="877" t="s">
        <v>2350</v>
      </c>
      <c r="K80" s="877" t="s">
        <v>2467</v>
      </c>
      <c r="L80" s="877" t="s">
        <v>2350</v>
      </c>
      <c r="M80" s="790" t="s">
        <v>1348</v>
      </c>
      <c r="N80" s="851"/>
      <c r="O80" s="851"/>
      <c r="P80" s="875"/>
      <c r="Q80" s="803"/>
      <c r="R80" s="803"/>
      <c r="S80" s="804"/>
      <c r="T80" s="875"/>
      <c r="U80" s="875"/>
      <c r="V80" s="805"/>
      <c r="W80" s="851"/>
      <c r="X80" s="851"/>
      <c r="Y80" s="875"/>
      <c r="Z80" s="875"/>
      <c r="AA80" s="875"/>
      <c r="AB80" s="805"/>
      <c r="AC80" s="806"/>
      <c r="AD80" s="806"/>
      <c r="AE80" s="806"/>
      <c r="AF80" s="806"/>
      <c r="AG80" s="806"/>
      <c r="AH80" s="805"/>
      <c r="AI80" s="807" t="str">
        <f t="shared" si="2"/>
        <v/>
      </c>
      <c r="AJ80" s="805"/>
      <c r="AK80" s="359"/>
      <c r="AM80" t="str">
        <f t="shared" si="34"/>
        <v/>
      </c>
      <c r="AN80">
        <f t="shared" si="35"/>
        <v>0</v>
      </c>
      <c r="AV80" s="882"/>
      <c r="AW80" s="882">
        <f t="shared" si="29"/>
        <v>0</v>
      </c>
      <c r="AX80" s="882">
        <f t="shared" ref="AX80:AX100" si="38">VLOOKUP(E80,Tab_ActS,2,FALSE)</f>
        <v>1</v>
      </c>
      <c r="AY80" s="882">
        <f t="shared" ref="AY80:AY100" si="39">VLOOKUP(F80,Tab_SDom,3,FALSE)</f>
        <v>1</v>
      </c>
      <c r="AZ80" s="927">
        <f t="shared" si="27"/>
        <v>1</v>
      </c>
      <c r="BA80" s="882">
        <v>0</v>
      </c>
      <c r="BB80" s="925">
        <f t="shared" si="36"/>
        <v>0</v>
      </c>
      <c r="BC80" s="882">
        <f t="shared" ref="BC80:BC100" si="40">IF(IndS=FALSE,IF(BB80=1,0,1),IF(BB80=0,1,AV80))</f>
        <v>1</v>
      </c>
      <c r="BD80" s="342" t="e">
        <f>IF(AND($BC80=0,C80=Tab_sel!$P$7,$D80=Tab_sel!$O$24,$E80=Tab_sel!$B$31),1,"")</f>
        <v>#N/A</v>
      </c>
      <c r="BE80" s="322" t="e">
        <f>IF(AND($BC80=0,C80=Tab_sel!$P$7,$D80=Tab_sel!$O$24,$E80=Tab_sel!$B$32),1,"")</f>
        <v>#N/A</v>
      </c>
      <c r="BF80" s="322" t="e">
        <f>IF(AND($BC80=0,C80=Tab_sel!$P$7,$D80=Tab_sel!$O$24,$E80=Tab_sel!$B$33),1,"")</f>
        <v>#N/A</v>
      </c>
      <c r="BG80" s="322" t="e">
        <f>IF(AND($BC80=0,C80=Tab_sel!$P$7,$D80=Tab_sel!$O$24,$E80=Tab_sel!$B$34),1,"")</f>
        <v>#N/A</v>
      </c>
      <c r="BH80" s="322" t="e">
        <f>IF(AND($BC80=0,C80=Tab_sel!$P$7,$D80=Tab_sel!$O$24,$E80=Tab_sel!$B$35),1,"")</f>
        <v>#N/A</v>
      </c>
      <c r="BI80" s="343" t="e">
        <f>IF(AND($BC80=0,C80=Tab_sel!$P$7,$D80=Tab_sel!$O$24,$E80=Tab_sel!$B$36),1,"")</f>
        <v>#N/A</v>
      </c>
      <c r="BJ80" s="342" t="e">
        <f>IF(AND($BC80=0,$C80=Tab_sel!$P$7,$D80=Tab_sel!$O$24,$E80=Tab_sel!$N$31,$F80=Tab_sel!$B$40),1,"")</f>
        <v>#N/A</v>
      </c>
      <c r="BK80" s="322" t="e">
        <f>IF(AND($BC80=0,$C80=Tab_sel!$P$7,$D80=Tab_sel!$O$24,$E80=Tab_sel!$N$31,$F80=Tab_sel!$B$41),1,"")</f>
        <v>#N/A</v>
      </c>
      <c r="BL80" s="322" t="e">
        <f>IF(AND($BC80=0,$C80=Tab_sel!$P$7,$D80=Tab_sel!$O$24,$E80=Tab_sel!$N$31,$F80=Tab_sel!$B$42),1,"")</f>
        <v>#N/A</v>
      </c>
      <c r="BM80" s="322" t="e">
        <f>IF(AND($BC80=0,$C80=Tab_sel!$P$7,$D80=Tab_sel!$O$24,$E80=Tab_sel!$N$31,$F80=Tab_sel!$B$43),1,"")</f>
        <v>#N/A</v>
      </c>
      <c r="BN80" s="322" t="e">
        <f>IF(AND($BC80=0,$C80=Tab_sel!$P$7,$D80=Tab_sel!$O$24,$E80=Tab_sel!$N$31,$F80=Tab_sel!$B$44),1,"")</f>
        <v>#N/A</v>
      </c>
      <c r="BO80" s="343" t="e">
        <f>IF(AND($BC80=0,$C80=Tab_sel!$P$7,$D80=Tab_sel!$O$24,$E80=Tab_sel!$N$31,$F80=Tab_sel!$B$45),1,"")</f>
        <v>#N/A</v>
      </c>
      <c r="BP80" s="354" t="e">
        <f>IF(AND($BC80=0,$C80=Tab_sel!$P$7,$D80=Tab_sel!$O$24,$E80=Tab_sel!$N$31,$F80=Tab_sel!$N$40,$I80=Tab_sel!$B$61),1,"")</f>
        <v>#N/A</v>
      </c>
      <c r="BQ80" s="355" t="e">
        <f>IF(AND($BC80=0,$C80=Tab_sel!$P$7,$D80=Tab_sel!$O$24,$E80=Tab_sel!$N$31,$F80=Tab_sel!$N$40,$I80=Tab_sel!$B$62),1,"")</f>
        <v>#N/A</v>
      </c>
      <c r="BR80" s="355" t="e">
        <f>IF(AND($BC80=0,$C80=Tab_sel!$P$7,$D80=Tab_sel!$O$24,$E80=Tab_sel!$N$31,$F80=Tab_sel!$N$40,$I80=Tab_sel!$B$63),1,"")</f>
        <v>#N/A</v>
      </c>
      <c r="BS80" s="355" t="e">
        <f>IF(AND($BC80=0,$C80=Tab_sel!$P$7,$D80=Tab_sel!$O$24,$E80=Tab_sel!$N$31,$F80=Tab_sel!$N$40,$I80=Tab_sel!$B$64),1,"")</f>
        <v>#N/A</v>
      </c>
      <c r="BT80" s="356" t="e">
        <f>IF(AND($BC80=0,$C80=Tab_sel!$P$7,$D80=Tab_sel!$O$24,$E80=Tab_sel!$N$31,$F80=Tab_sel!$N$40,$I80=Tab_sel!$B$65),1,"")</f>
        <v>#N/A</v>
      </c>
      <c r="BU80" s="856" t="e">
        <f>IF(AND($BC80=0,$C80=Tab_sel!$P$7,$D80=Tab_sel!$O$24,$E80=Tab_sel!$N$31,$F80=Tab_sel!$N$40,$I80=Tab_sel!$P$61,$H80=Tab_sel!$B$77),1,"")</f>
        <v>#N/A</v>
      </c>
      <c r="BV80" s="883" t="e">
        <f>IF(AND($BC80=0,$C80=Tab_sel!$P$7,$D80=Tab_sel!$O$24,$E80=Tab_sel!$N$31,$F80=Tab_sel!$N$40,$I80=Tab_sel!$P$61,$H80=Tab_sel!$B$78),1,"")</f>
        <v>#N/A</v>
      </c>
      <c r="BW80" s="883" t="e">
        <f>IF(AND($BC80=0,$C80=Tab_sel!$P$7,$D80=Tab_sel!$O$24,$E80=Tab_sel!$N$31,$F80=Tab_sel!$N$40,$I80=Tab_sel!$P$61,$H80=Tab_sel!$B$79),1,"")</f>
        <v>#N/A</v>
      </c>
      <c r="BX80" s="883" t="e">
        <f>IF(AND($BC80=0,$C80=Tab_sel!$P$7,$D80=Tab_sel!$O$24,$E80=Tab_sel!$N$31,$F80=Tab_sel!$N$40,$I80=Tab_sel!$P$61,$H80=Tab_sel!$B$80),1,"")</f>
        <v>#N/A</v>
      </c>
      <c r="BY80" s="883" t="e">
        <f>IF(AND($BC80=0,$C80=Tab_sel!$P$7,$D80=Tab_sel!$O$24,$E80=Tab_sel!$N$31,$F80=Tab_sel!$N$40,$I80=Tab_sel!$P$61,$H80=Tab_sel!$B$81),1,"")</f>
        <v>#N/A</v>
      </c>
      <c r="BZ80" s="857" t="e">
        <f>IF(AND($BC80=0,$C80=Tab_sel!$P$7,$D80=Tab_sel!$O$24,$E80=Tab_sel!$N$31,$F80=Tab_sel!$N$40,$I80=Tab_sel!$P$61,$H80=Tab_sel!$B$82),1,"")</f>
        <v>#N/A</v>
      </c>
      <c r="CA80" s="359"/>
      <c r="CC80">
        <f t="shared" si="30"/>
        <v>0</v>
      </c>
      <c r="CD80" s="882">
        <f t="shared" si="31"/>
        <v>0</v>
      </c>
      <c r="CE80" s="882">
        <f t="shared" si="32"/>
        <v>0</v>
      </c>
      <c r="CH80" t="s">
        <v>2624</v>
      </c>
      <c r="CJ80" t="s">
        <v>2617</v>
      </c>
    </row>
    <row r="81" spans="2:88" ht="42.75" customHeight="1" x14ac:dyDescent="0.25">
      <c r="B81" s="791" t="s">
        <v>2384</v>
      </c>
      <c r="C81" s="874" t="s">
        <v>38</v>
      </c>
      <c r="D81" s="875" t="s">
        <v>23</v>
      </c>
      <c r="E81" s="771" t="str">
        <f>Det</f>
        <v>Données en transit</v>
      </c>
      <c r="F81" s="768" t="str">
        <f t="shared" si="37"/>
        <v>Altération (non détectée) de donnée</v>
      </c>
      <c r="G81" s="876" t="s">
        <v>1991</v>
      </c>
      <c r="H81" s="876" t="s">
        <v>2385</v>
      </c>
      <c r="I81" s="874" t="s">
        <v>1198</v>
      </c>
      <c r="J81" s="877" t="s">
        <v>2537</v>
      </c>
      <c r="K81" s="877" t="s">
        <v>2467</v>
      </c>
      <c r="L81" s="877" t="s">
        <v>2350</v>
      </c>
      <c r="M81" s="790" t="s">
        <v>1348</v>
      </c>
      <c r="N81" s="851"/>
      <c r="O81" s="851"/>
      <c r="P81" s="875"/>
      <c r="Q81" s="803"/>
      <c r="R81" s="803"/>
      <c r="S81" s="804"/>
      <c r="T81" s="875"/>
      <c r="U81" s="875"/>
      <c r="V81" s="805"/>
      <c r="W81" s="851"/>
      <c r="X81" s="851"/>
      <c r="Y81" s="875"/>
      <c r="Z81" s="875"/>
      <c r="AA81" s="875"/>
      <c r="AB81" s="805"/>
      <c r="AC81" s="806"/>
      <c r="AD81" s="806"/>
      <c r="AE81" s="806"/>
      <c r="AF81" s="806"/>
      <c r="AG81" s="806"/>
      <c r="AH81" s="805"/>
      <c r="AI81" s="807" t="str">
        <f t="shared" si="2"/>
        <v/>
      </c>
      <c r="AJ81" s="805"/>
      <c r="AK81" s="359"/>
      <c r="AM81" t="str">
        <f t="shared" si="34"/>
        <v/>
      </c>
      <c r="AN81">
        <f t="shared" si="35"/>
        <v>0</v>
      </c>
      <c r="AV81" s="882"/>
      <c r="AW81" s="882">
        <f t="shared" si="29"/>
        <v>0</v>
      </c>
      <c r="AX81" s="882">
        <f t="shared" si="38"/>
        <v>1</v>
      </c>
      <c r="AY81" s="882">
        <f t="shared" si="39"/>
        <v>1</v>
      </c>
      <c r="AZ81" s="927">
        <f t="shared" si="27"/>
        <v>1</v>
      </c>
      <c r="BA81" s="882">
        <v>0</v>
      </c>
      <c r="BB81" s="925">
        <f t="shared" si="36"/>
        <v>0</v>
      </c>
      <c r="BC81" s="882">
        <f t="shared" si="40"/>
        <v>1</v>
      </c>
      <c r="BD81" s="342" t="e">
        <f>IF(AND($BC81=0,C81=Tab_sel!$P$7,$D81=Tab_sel!$O$24,$E81=Tab_sel!$B$31),1,"")</f>
        <v>#N/A</v>
      </c>
      <c r="BE81" s="322" t="e">
        <f>IF(AND($BC81=0,C81=Tab_sel!$P$7,$D81=Tab_sel!$O$24,$E81=Tab_sel!$B$32),1,"")</f>
        <v>#N/A</v>
      </c>
      <c r="BF81" s="322" t="e">
        <f>IF(AND($BC81=0,C81=Tab_sel!$P$7,$D81=Tab_sel!$O$24,$E81=Tab_sel!$B$33),1,"")</f>
        <v>#N/A</v>
      </c>
      <c r="BG81" s="322" t="e">
        <f>IF(AND($BC81=0,C81=Tab_sel!$P$7,$D81=Tab_sel!$O$24,$E81=Tab_sel!$B$34),1,"")</f>
        <v>#N/A</v>
      </c>
      <c r="BH81" s="322" t="e">
        <f>IF(AND($BC81=0,C81=Tab_sel!$P$7,$D81=Tab_sel!$O$24,$E81=Tab_sel!$B$35),1,"")</f>
        <v>#N/A</v>
      </c>
      <c r="BI81" s="343" t="e">
        <f>IF(AND($BC81=0,C81=Tab_sel!$P$7,$D81=Tab_sel!$O$24,$E81=Tab_sel!$B$36),1,"")</f>
        <v>#N/A</v>
      </c>
      <c r="BJ81" s="342" t="e">
        <f>IF(AND($BC81=0,$C81=Tab_sel!$P$7,$D81=Tab_sel!$O$24,$E81=Tab_sel!$N$31,$F81=Tab_sel!$B$40),1,"")</f>
        <v>#N/A</v>
      </c>
      <c r="BK81" s="322" t="e">
        <f>IF(AND($BC81=0,$C81=Tab_sel!$P$7,$D81=Tab_sel!$O$24,$E81=Tab_sel!$N$31,$F81=Tab_sel!$B$41),1,"")</f>
        <v>#N/A</v>
      </c>
      <c r="BL81" s="322" t="e">
        <f>IF(AND($BC81=0,$C81=Tab_sel!$P$7,$D81=Tab_sel!$O$24,$E81=Tab_sel!$N$31,$F81=Tab_sel!$B$42),1,"")</f>
        <v>#N/A</v>
      </c>
      <c r="BM81" s="322" t="e">
        <f>IF(AND($BC81=0,$C81=Tab_sel!$P$7,$D81=Tab_sel!$O$24,$E81=Tab_sel!$N$31,$F81=Tab_sel!$B$43),1,"")</f>
        <v>#N/A</v>
      </c>
      <c r="BN81" s="322" t="e">
        <f>IF(AND($BC81=0,$C81=Tab_sel!$P$7,$D81=Tab_sel!$O$24,$E81=Tab_sel!$N$31,$F81=Tab_sel!$B$44),1,"")</f>
        <v>#N/A</v>
      </c>
      <c r="BO81" s="343" t="e">
        <f>IF(AND($BC81=0,$C81=Tab_sel!$P$7,$D81=Tab_sel!$O$24,$E81=Tab_sel!$N$31,$F81=Tab_sel!$B$45),1,"")</f>
        <v>#N/A</v>
      </c>
      <c r="BP81" s="354" t="e">
        <f>IF(AND($BC81=0,$C81=Tab_sel!$P$7,$D81=Tab_sel!$O$24,$E81=Tab_sel!$N$31,$F81=Tab_sel!$N$40,$I81=Tab_sel!$B$61),1,"")</f>
        <v>#N/A</v>
      </c>
      <c r="BQ81" s="355" t="e">
        <f>IF(AND($BC81=0,$C81=Tab_sel!$P$7,$D81=Tab_sel!$O$24,$E81=Tab_sel!$N$31,$F81=Tab_sel!$N$40,$I81=Tab_sel!$B$62),1,"")</f>
        <v>#N/A</v>
      </c>
      <c r="BR81" s="355" t="e">
        <f>IF(AND($BC81=0,$C81=Tab_sel!$P$7,$D81=Tab_sel!$O$24,$E81=Tab_sel!$N$31,$F81=Tab_sel!$N$40,$I81=Tab_sel!$B$63),1,"")</f>
        <v>#N/A</v>
      </c>
      <c r="BS81" s="355" t="e">
        <f>IF(AND($BC81=0,$C81=Tab_sel!$P$7,$D81=Tab_sel!$O$24,$E81=Tab_sel!$N$31,$F81=Tab_sel!$N$40,$I81=Tab_sel!$B$64),1,"")</f>
        <v>#N/A</v>
      </c>
      <c r="BT81" s="356" t="e">
        <f>IF(AND($BC81=0,$C81=Tab_sel!$P$7,$D81=Tab_sel!$O$24,$E81=Tab_sel!$N$31,$F81=Tab_sel!$N$40,$I81=Tab_sel!$B$65),1,"")</f>
        <v>#N/A</v>
      </c>
      <c r="BU81" s="856" t="e">
        <f>IF(AND($BC81=0,$C81=Tab_sel!$P$7,$D81=Tab_sel!$O$24,$E81=Tab_sel!$N$31,$F81=Tab_sel!$N$40,$I81=Tab_sel!$P$61,$H81=Tab_sel!$B$77),1,"")</f>
        <v>#N/A</v>
      </c>
      <c r="BV81" s="883" t="e">
        <f>IF(AND($BC81=0,$C81=Tab_sel!$P$7,$D81=Tab_sel!$O$24,$E81=Tab_sel!$N$31,$F81=Tab_sel!$N$40,$I81=Tab_sel!$P$61,$H81=Tab_sel!$B$78),1,"")</f>
        <v>#N/A</v>
      </c>
      <c r="BW81" s="883" t="e">
        <f>IF(AND($BC81=0,$C81=Tab_sel!$P$7,$D81=Tab_sel!$O$24,$E81=Tab_sel!$N$31,$F81=Tab_sel!$N$40,$I81=Tab_sel!$P$61,$H81=Tab_sel!$B$79),1,"")</f>
        <v>#N/A</v>
      </c>
      <c r="BX81" s="883" t="e">
        <f>IF(AND($BC81=0,$C81=Tab_sel!$P$7,$D81=Tab_sel!$O$24,$E81=Tab_sel!$N$31,$F81=Tab_sel!$N$40,$I81=Tab_sel!$P$61,$H81=Tab_sel!$B$80),1,"")</f>
        <v>#N/A</v>
      </c>
      <c r="BY81" s="883" t="e">
        <f>IF(AND($BC81=0,$C81=Tab_sel!$P$7,$D81=Tab_sel!$O$24,$E81=Tab_sel!$N$31,$F81=Tab_sel!$N$40,$I81=Tab_sel!$P$61,$H81=Tab_sel!$B$81),1,"")</f>
        <v>#N/A</v>
      </c>
      <c r="BZ81" s="857" t="e">
        <f>IF(AND($BC81=0,$C81=Tab_sel!$P$7,$D81=Tab_sel!$O$24,$E81=Tab_sel!$N$31,$F81=Tab_sel!$N$40,$I81=Tab_sel!$P$61,$H81=Tab_sel!$B$82),1,"")</f>
        <v>#N/A</v>
      </c>
      <c r="CA81" s="359"/>
      <c r="CC81">
        <f t="shared" si="30"/>
        <v>0</v>
      </c>
      <c r="CD81" s="882">
        <f t="shared" si="31"/>
        <v>0</v>
      </c>
      <c r="CE81" s="882">
        <f t="shared" si="32"/>
        <v>0</v>
      </c>
      <c r="CG81" t="s">
        <v>2609</v>
      </c>
      <c r="CH81" t="s">
        <v>2624</v>
      </c>
      <c r="CJ81" t="s">
        <v>2617</v>
      </c>
    </row>
    <row r="82" spans="2:88" ht="42.75" customHeight="1" x14ac:dyDescent="0.25">
      <c r="B82" s="791" t="s">
        <v>1992</v>
      </c>
      <c r="C82" s="771" t="s">
        <v>38</v>
      </c>
      <c r="D82" s="772" t="s">
        <v>23</v>
      </c>
      <c r="E82" s="771" t="str">
        <f>Med</f>
        <v>Media support de données</v>
      </c>
      <c r="F82" s="773" t="str">
        <f>Crfx</f>
        <v>Création de faux</v>
      </c>
      <c r="G82" s="768" t="s">
        <v>1079</v>
      </c>
      <c r="H82" s="768"/>
      <c r="I82" s="771" t="s">
        <v>1204</v>
      </c>
      <c r="J82" s="769"/>
      <c r="K82" s="877" t="s">
        <v>2449</v>
      </c>
      <c r="L82" s="769"/>
      <c r="M82" s="823"/>
      <c r="N82" s="767"/>
      <c r="O82" s="767"/>
      <c r="P82" s="772"/>
      <c r="Q82" s="803"/>
      <c r="R82" s="803"/>
      <c r="S82" s="804"/>
      <c r="T82" s="772"/>
      <c r="U82" s="772"/>
      <c r="V82" s="805"/>
      <c r="W82" s="767"/>
      <c r="X82" s="767"/>
      <c r="Y82" s="772"/>
      <c r="Z82" s="772"/>
      <c r="AA82" s="772"/>
      <c r="AB82" s="805"/>
      <c r="AC82" s="806"/>
      <c r="AD82" s="806"/>
      <c r="AE82" s="806"/>
      <c r="AF82" s="806"/>
      <c r="AG82" s="806"/>
      <c r="AH82" s="805"/>
      <c r="AI82" s="807" t="str">
        <f t="shared" si="2"/>
        <v/>
      </c>
      <c r="AJ82" s="805"/>
      <c r="AK82" s="359"/>
      <c r="AM82" t="str">
        <f t="shared" si="34"/>
        <v/>
      </c>
      <c r="AN82">
        <f t="shared" si="35"/>
        <v>0</v>
      </c>
      <c r="AW82" s="882">
        <f t="shared" si="29"/>
        <v>0</v>
      </c>
      <c r="AX82" s="882">
        <f t="shared" si="38"/>
        <v>1</v>
      </c>
      <c r="AY82" s="882">
        <f t="shared" si="39"/>
        <v>1</v>
      </c>
      <c r="AZ82" s="927">
        <f t="shared" si="27"/>
        <v>1</v>
      </c>
      <c r="BA82" s="882">
        <v>1</v>
      </c>
      <c r="BB82" s="925">
        <f t="shared" si="36"/>
        <v>0</v>
      </c>
      <c r="BC82" s="882">
        <f t="shared" si="40"/>
        <v>1</v>
      </c>
      <c r="BD82" s="342" t="e">
        <f>IF(AND($BC82=0,C82=Tab_sel!$P$7,$D82=Tab_sel!$O$24,$E82=Tab_sel!$B$31),1,"")</f>
        <v>#N/A</v>
      </c>
      <c r="BE82" s="322" t="e">
        <f>IF(AND($BC82=0,C82=Tab_sel!$P$7,$D82=Tab_sel!$O$24,$E82=Tab_sel!$B$32),1,"")</f>
        <v>#N/A</v>
      </c>
      <c r="BF82" s="322" t="e">
        <f>IF(AND($BC82=0,C82=Tab_sel!$P$7,$D82=Tab_sel!$O$24,$E82=Tab_sel!$B$33),1,"")</f>
        <v>#N/A</v>
      </c>
      <c r="BG82" s="322" t="e">
        <f>IF(AND($BC82=0,C82=Tab_sel!$P$7,$D82=Tab_sel!$O$24,$E82=Tab_sel!$B$34),1,"")</f>
        <v>#N/A</v>
      </c>
      <c r="BH82" s="322" t="e">
        <f>IF(AND($BC82=0,C82=Tab_sel!$P$7,$D82=Tab_sel!$O$24,$E82=Tab_sel!$B$35),1,"")</f>
        <v>#N/A</v>
      </c>
      <c r="BI82" s="343" t="e">
        <f>IF(AND($BC82=0,C82=Tab_sel!$P$7,$D82=Tab_sel!$O$24,$E82=Tab_sel!$B$36),1,"")</f>
        <v>#N/A</v>
      </c>
      <c r="BJ82" s="342" t="e">
        <f>IF(AND($BC82=0,$C82=Tab_sel!$P$7,$D82=Tab_sel!$O$24,$E82=Tab_sel!$N$31,$F82=Tab_sel!$B$40),1,"")</f>
        <v>#N/A</v>
      </c>
      <c r="BK82" s="322" t="e">
        <f>IF(AND($BC82=0,$C82=Tab_sel!$P$7,$D82=Tab_sel!$O$24,$E82=Tab_sel!$N$31,$F82=Tab_sel!$B$41),1,"")</f>
        <v>#N/A</v>
      </c>
      <c r="BL82" s="322" t="e">
        <f>IF(AND($BC82=0,$C82=Tab_sel!$P$7,$D82=Tab_sel!$O$24,$E82=Tab_sel!$N$31,$F82=Tab_sel!$B$42),1,"")</f>
        <v>#N/A</v>
      </c>
      <c r="BM82" s="322" t="e">
        <f>IF(AND($BC82=0,$C82=Tab_sel!$P$7,$D82=Tab_sel!$O$24,$E82=Tab_sel!$N$31,$F82=Tab_sel!$B$43),1,"")</f>
        <v>#N/A</v>
      </c>
      <c r="BN82" s="322" t="e">
        <f>IF(AND($BC82=0,$C82=Tab_sel!$P$7,$D82=Tab_sel!$O$24,$E82=Tab_sel!$N$31,$F82=Tab_sel!$B$44),1,"")</f>
        <v>#N/A</v>
      </c>
      <c r="BO82" s="343" t="e">
        <f>IF(AND($BC82=0,$C82=Tab_sel!$P$7,$D82=Tab_sel!$O$24,$E82=Tab_sel!$N$31,$F82=Tab_sel!$B$45),1,"")</f>
        <v>#N/A</v>
      </c>
      <c r="BP82" s="354" t="e">
        <f>IF(AND($BC82=0,$C82=Tab_sel!$P$7,$D82=Tab_sel!$O$24,$E82=Tab_sel!$N$31,$F82=Tab_sel!$N$40,$I82=Tab_sel!$B$61),1,"")</f>
        <v>#N/A</v>
      </c>
      <c r="BQ82" s="355" t="e">
        <f>IF(AND($BC82=0,$C82=Tab_sel!$P$7,$D82=Tab_sel!$O$24,$E82=Tab_sel!$N$31,$F82=Tab_sel!$N$40,$I82=Tab_sel!$B$62),1,"")</f>
        <v>#N/A</v>
      </c>
      <c r="BR82" s="355" t="e">
        <f>IF(AND($BC82=0,$C82=Tab_sel!$P$7,$D82=Tab_sel!$O$24,$E82=Tab_sel!$N$31,$F82=Tab_sel!$N$40,$I82=Tab_sel!$B$63),1,"")</f>
        <v>#N/A</v>
      </c>
      <c r="BS82" s="355" t="e">
        <f>IF(AND($BC82=0,$C82=Tab_sel!$P$7,$D82=Tab_sel!$O$24,$E82=Tab_sel!$N$31,$F82=Tab_sel!$N$40,$I82=Tab_sel!$B$64),1,"")</f>
        <v>#N/A</v>
      </c>
      <c r="BT82" s="356" t="e">
        <f>IF(AND($BC82=0,$C82=Tab_sel!$P$7,$D82=Tab_sel!$O$24,$E82=Tab_sel!$N$31,$F82=Tab_sel!$N$40,$I82=Tab_sel!$B$65),1,"")</f>
        <v>#N/A</v>
      </c>
      <c r="BU82" s="856" t="e">
        <f>IF(AND($BC82=0,$C82=Tab_sel!$P$7,$D82=Tab_sel!$O$24,$E82=Tab_sel!$N$31,$F82=Tab_sel!$N$40,$I82=Tab_sel!$P$61,$H82=Tab_sel!$B$77),1,"")</f>
        <v>#N/A</v>
      </c>
      <c r="BV82" s="883" t="e">
        <f>IF(AND($BC82=0,$C82=Tab_sel!$P$7,$D82=Tab_sel!$O$24,$E82=Tab_sel!$N$31,$F82=Tab_sel!$N$40,$I82=Tab_sel!$P$61,$H82=Tab_sel!$B$78),1,"")</f>
        <v>#N/A</v>
      </c>
      <c r="BW82" s="883" t="e">
        <f>IF(AND($BC82=0,$C82=Tab_sel!$P$7,$D82=Tab_sel!$O$24,$E82=Tab_sel!$N$31,$F82=Tab_sel!$N$40,$I82=Tab_sel!$P$61,$H82=Tab_sel!$B$79),1,"")</f>
        <v>#N/A</v>
      </c>
      <c r="BX82" s="883" t="e">
        <f>IF(AND($BC82=0,$C82=Tab_sel!$P$7,$D82=Tab_sel!$O$24,$E82=Tab_sel!$N$31,$F82=Tab_sel!$N$40,$I82=Tab_sel!$P$61,$H82=Tab_sel!$B$80),1,"")</f>
        <v>#N/A</v>
      </c>
      <c r="BY82" s="883" t="e">
        <f>IF(AND($BC82=0,$C82=Tab_sel!$P$7,$D82=Tab_sel!$O$24,$E82=Tab_sel!$N$31,$F82=Tab_sel!$N$40,$I82=Tab_sel!$P$61,$H82=Tab_sel!$B$81),1,"")</f>
        <v>#N/A</v>
      </c>
      <c r="BZ82" s="857" t="e">
        <f>IF(AND($BC82=0,$C82=Tab_sel!$P$7,$D82=Tab_sel!$O$24,$E82=Tab_sel!$N$31,$F82=Tab_sel!$N$40,$I82=Tab_sel!$P$61,$H82=Tab_sel!$B$82),1,"")</f>
        <v>#N/A</v>
      </c>
      <c r="CA82" s="359"/>
      <c r="CC82">
        <f t="shared" si="30"/>
        <v>0</v>
      </c>
      <c r="CD82" s="882">
        <f t="shared" si="31"/>
        <v>0</v>
      </c>
      <c r="CE82" s="882">
        <f t="shared" si="32"/>
        <v>0</v>
      </c>
      <c r="CH82" t="s">
        <v>2641</v>
      </c>
    </row>
    <row r="83" spans="2:88" ht="35.25" customHeight="1" x14ac:dyDescent="0.25">
      <c r="B83" s="791" t="s">
        <v>1993</v>
      </c>
      <c r="C83" s="771" t="s">
        <v>38</v>
      </c>
      <c r="D83" s="772" t="s">
        <v>34</v>
      </c>
      <c r="E83" s="771" t="str">
        <f t="shared" ref="E83:E91" si="41">Fic</f>
        <v xml:space="preserve">Fichier ou base de données </v>
      </c>
      <c r="F83" s="768" t="str">
        <f t="shared" ref="F83:F100" si="42">Dive</f>
        <v>Divulgation de données</v>
      </c>
      <c r="G83" s="778" t="s">
        <v>2262</v>
      </c>
      <c r="H83" s="778"/>
      <c r="I83" s="771" t="s">
        <v>1202</v>
      </c>
      <c r="J83" s="769" t="s">
        <v>2540</v>
      </c>
      <c r="K83" s="769" t="s">
        <v>2456</v>
      </c>
      <c r="L83" s="778"/>
      <c r="M83" s="824"/>
      <c r="N83" s="767"/>
      <c r="O83" s="767"/>
      <c r="P83" s="772"/>
      <c r="Q83" s="803"/>
      <c r="R83" s="803"/>
      <c r="S83" s="804"/>
      <c r="T83" s="772"/>
      <c r="U83" s="772"/>
      <c r="V83" s="805"/>
      <c r="W83" s="767"/>
      <c r="X83" s="767"/>
      <c r="Y83" s="772"/>
      <c r="Z83" s="772"/>
      <c r="AA83" s="772"/>
      <c r="AB83" s="805"/>
      <c r="AC83" s="806"/>
      <c r="AD83" s="806"/>
      <c r="AE83" s="806"/>
      <c r="AF83" s="806"/>
      <c r="AG83" s="806"/>
      <c r="AH83" s="805"/>
      <c r="AI83" s="807" t="str">
        <f t="shared" si="2"/>
        <v/>
      </c>
      <c r="AJ83" s="805"/>
      <c r="AK83" s="359"/>
      <c r="AM83" t="str">
        <f t="shared" si="34"/>
        <v/>
      </c>
      <c r="AN83">
        <f t="shared" si="35"/>
        <v>0</v>
      </c>
      <c r="AW83" s="882">
        <f t="shared" si="29"/>
        <v>0</v>
      </c>
      <c r="AX83" s="882">
        <f t="shared" si="38"/>
        <v>1</v>
      </c>
      <c r="AY83" s="882">
        <f t="shared" si="39"/>
        <v>1</v>
      </c>
      <c r="AZ83" s="927">
        <f t="shared" si="27"/>
        <v>1</v>
      </c>
      <c r="BA83" s="882">
        <v>1</v>
      </c>
      <c r="BB83" s="925">
        <f t="shared" si="36"/>
        <v>0</v>
      </c>
      <c r="BC83" s="882">
        <f t="shared" si="40"/>
        <v>1</v>
      </c>
      <c r="BD83" s="342" t="e">
        <f>IF(AND($BC83=0,C83=Tab_sel!$P$7,$D83=Tab_sel!$O$24,$E83=Tab_sel!$B$31),1,"")</f>
        <v>#N/A</v>
      </c>
      <c r="BE83" s="322" t="e">
        <f>IF(AND($BC83=0,C83=Tab_sel!$P$7,$D83=Tab_sel!$O$24,$E83=Tab_sel!$B$32),1,"")</f>
        <v>#N/A</v>
      </c>
      <c r="BF83" s="322" t="e">
        <f>IF(AND($BC83=0,C83=Tab_sel!$P$7,$D83=Tab_sel!$O$24,$E83=Tab_sel!$B$33),1,"")</f>
        <v>#N/A</v>
      </c>
      <c r="BG83" s="322" t="e">
        <f>IF(AND($BC83=0,C83=Tab_sel!$P$7,$D83=Tab_sel!$O$24,$E83=Tab_sel!$B$34),1,"")</f>
        <v>#N/A</v>
      </c>
      <c r="BH83" s="322" t="e">
        <f>IF(AND($BC83=0,C83=Tab_sel!$P$7,$D83=Tab_sel!$O$24,$E83=Tab_sel!$B$35),1,"")</f>
        <v>#N/A</v>
      </c>
      <c r="BI83" s="343" t="e">
        <f>IF(AND($BC83=0,C83=Tab_sel!$P$7,$D83=Tab_sel!$O$24,$E83=Tab_sel!$B$36),1,"")</f>
        <v>#N/A</v>
      </c>
      <c r="BJ83" s="342" t="e">
        <f>IF(AND($BC83=0,$C83=Tab_sel!$P$7,$D83=Tab_sel!$O$24,$E83=Tab_sel!$N$31,$F83=Tab_sel!$B$40),1,"")</f>
        <v>#N/A</v>
      </c>
      <c r="BK83" s="322" t="e">
        <f>IF(AND($BC83=0,$C83=Tab_sel!$P$7,$D83=Tab_sel!$O$24,$E83=Tab_sel!$N$31,$F83=Tab_sel!$B$41),1,"")</f>
        <v>#N/A</v>
      </c>
      <c r="BL83" s="322" t="e">
        <f>IF(AND($BC83=0,$C83=Tab_sel!$P$7,$D83=Tab_sel!$O$24,$E83=Tab_sel!$N$31,$F83=Tab_sel!$B$42),1,"")</f>
        <v>#N/A</v>
      </c>
      <c r="BM83" s="322" t="e">
        <f>IF(AND($BC83=0,$C83=Tab_sel!$P$7,$D83=Tab_sel!$O$24,$E83=Tab_sel!$N$31,$F83=Tab_sel!$B$43),1,"")</f>
        <v>#N/A</v>
      </c>
      <c r="BN83" s="322" t="e">
        <f>IF(AND($BC83=0,$C83=Tab_sel!$P$7,$D83=Tab_sel!$O$24,$E83=Tab_sel!$N$31,$F83=Tab_sel!$B$44),1,"")</f>
        <v>#N/A</v>
      </c>
      <c r="BO83" s="343" t="e">
        <f>IF(AND($BC83=0,$C83=Tab_sel!$P$7,$D83=Tab_sel!$O$24,$E83=Tab_sel!$N$31,$F83=Tab_sel!$B$45),1,"")</f>
        <v>#N/A</v>
      </c>
      <c r="BP83" s="354" t="e">
        <f>IF(AND($BC83=0,$C83=Tab_sel!$P$7,$D83=Tab_sel!$O$24,$E83=Tab_sel!$N$31,$F83=Tab_sel!$N$40,$I83=Tab_sel!$B$61),1,"")</f>
        <v>#N/A</v>
      </c>
      <c r="BQ83" s="355" t="e">
        <f>IF(AND($BC83=0,$C83=Tab_sel!$P$7,$D83=Tab_sel!$O$24,$E83=Tab_sel!$N$31,$F83=Tab_sel!$N$40,$I83=Tab_sel!$B$62),1,"")</f>
        <v>#N/A</v>
      </c>
      <c r="BR83" s="355" t="e">
        <f>IF(AND($BC83=0,$C83=Tab_sel!$P$7,$D83=Tab_sel!$O$24,$E83=Tab_sel!$N$31,$F83=Tab_sel!$N$40,$I83=Tab_sel!$B$63),1,"")</f>
        <v>#N/A</v>
      </c>
      <c r="BS83" s="355" t="e">
        <f>IF(AND($BC83=0,$C83=Tab_sel!$P$7,$D83=Tab_sel!$O$24,$E83=Tab_sel!$N$31,$F83=Tab_sel!$N$40,$I83=Tab_sel!$B$64),1,"")</f>
        <v>#N/A</v>
      </c>
      <c r="BT83" s="356" t="e">
        <f>IF(AND($BC83=0,$C83=Tab_sel!$P$7,$D83=Tab_sel!$O$24,$E83=Tab_sel!$N$31,$F83=Tab_sel!$N$40,$I83=Tab_sel!$B$65),1,"")</f>
        <v>#N/A</v>
      </c>
      <c r="BU83" s="856" t="e">
        <f>IF(AND($BC83=0,$C83=Tab_sel!$P$7,$D83=Tab_sel!$O$24,$E83=Tab_sel!$N$31,$F83=Tab_sel!$N$40,$I83=Tab_sel!$P$61,$H83=Tab_sel!$B$77),1,"")</f>
        <v>#N/A</v>
      </c>
      <c r="BV83" s="883" t="e">
        <f>IF(AND($BC83=0,$C83=Tab_sel!$P$7,$D83=Tab_sel!$O$24,$E83=Tab_sel!$N$31,$F83=Tab_sel!$N$40,$I83=Tab_sel!$P$61,$H83=Tab_sel!$B$78),1,"")</f>
        <v>#N/A</v>
      </c>
      <c r="BW83" s="883" t="e">
        <f>IF(AND($BC83=0,$C83=Tab_sel!$P$7,$D83=Tab_sel!$O$24,$E83=Tab_sel!$N$31,$F83=Tab_sel!$N$40,$I83=Tab_sel!$P$61,$H83=Tab_sel!$B$79),1,"")</f>
        <v>#N/A</v>
      </c>
      <c r="BX83" s="883" t="e">
        <f>IF(AND($BC83=0,$C83=Tab_sel!$P$7,$D83=Tab_sel!$O$24,$E83=Tab_sel!$N$31,$F83=Tab_sel!$N$40,$I83=Tab_sel!$P$61,$H83=Tab_sel!$B$80),1,"")</f>
        <v>#N/A</v>
      </c>
      <c r="BY83" s="883" t="e">
        <f>IF(AND($BC83=0,$C83=Tab_sel!$P$7,$D83=Tab_sel!$O$24,$E83=Tab_sel!$N$31,$F83=Tab_sel!$N$40,$I83=Tab_sel!$P$61,$H83=Tab_sel!$B$81),1,"")</f>
        <v>#N/A</v>
      </c>
      <c r="BZ83" s="857" t="e">
        <f>IF(AND($BC83=0,$C83=Tab_sel!$P$7,$D83=Tab_sel!$O$24,$E83=Tab_sel!$N$31,$F83=Tab_sel!$N$40,$I83=Tab_sel!$P$61,$H83=Tab_sel!$B$82),1,"")</f>
        <v>#N/A</v>
      </c>
      <c r="CA83" s="359"/>
      <c r="CC83">
        <f t="shared" si="30"/>
        <v>0</v>
      </c>
      <c r="CD83" s="882">
        <f t="shared" si="31"/>
        <v>0</v>
      </c>
      <c r="CE83" s="882">
        <f t="shared" si="32"/>
        <v>0</v>
      </c>
      <c r="CG83" t="s">
        <v>2632</v>
      </c>
      <c r="CH83" t="s">
        <v>2644</v>
      </c>
    </row>
    <row r="84" spans="2:88" ht="35.25" customHeight="1" x14ac:dyDescent="0.25">
      <c r="B84" s="791" t="s">
        <v>2386</v>
      </c>
      <c r="C84" s="874" t="s">
        <v>38</v>
      </c>
      <c r="D84" s="875" t="s">
        <v>34</v>
      </c>
      <c r="E84" s="771" t="str">
        <f t="shared" si="41"/>
        <v xml:space="preserve">Fichier ou base de données </v>
      </c>
      <c r="F84" s="768" t="str">
        <f t="shared" si="42"/>
        <v>Divulgation de données</v>
      </c>
      <c r="G84" s="864" t="s">
        <v>2262</v>
      </c>
      <c r="H84" s="864" t="s">
        <v>2508</v>
      </c>
      <c r="I84" s="874" t="s">
        <v>1202</v>
      </c>
      <c r="J84" s="877" t="s">
        <v>2537</v>
      </c>
      <c r="K84" s="864" t="s">
        <v>1318</v>
      </c>
      <c r="L84" s="864"/>
      <c r="M84" s="824"/>
      <c r="N84" s="851"/>
      <c r="O84" s="851"/>
      <c r="P84" s="875"/>
      <c r="Q84" s="803"/>
      <c r="R84" s="803"/>
      <c r="S84" s="804"/>
      <c r="T84" s="875"/>
      <c r="U84" s="875"/>
      <c r="V84" s="805"/>
      <c r="W84" s="851"/>
      <c r="X84" s="851"/>
      <c r="Y84" s="875"/>
      <c r="Z84" s="875"/>
      <c r="AA84" s="875"/>
      <c r="AB84" s="805"/>
      <c r="AC84" s="806"/>
      <c r="AD84" s="806"/>
      <c r="AE84" s="806"/>
      <c r="AF84" s="806"/>
      <c r="AG84" s="806"/>
      <c r="AH84" s="805"/>
      <c r="AI84" s="807" t="str">
        <f t="shared" si="2"/>
        <v/>
      </c>
      <c r="AJ84" s="805"/>
      <c r="AK84" s="359"/>
      <c r="AM84" t="str">
        <f t="shared" si="34"/>
        <v/>
      </c>
      <c r="AN84">
        <f t="shared" si="35"/>
        <v>0</v>
      </c>
      <c r="AV84" s="882"/>
      <c r="AW84" s="882">
        <f t="shared" si="29"/>
        <v>0</v>
      </c>
      <c r="AX84" s="882">
        <f t="shared" si="38"/>
        <v>1</v>
      </c>
      <c r="AY84" s="882">
        <f t="shared" si="39"/>
        <v>1</v>
      </c>
      <c r="AZ84" s="927">
        <f t="shared" si="27"/>
        <v>1</v>
      </c>
      <c r="BA84" s="882">
        <v>0</v>
      </c>
      <c r="BB84" s="925">
        <f t="shared" si="36"/>
        <v>0</v>
      </c>
      <c r="BC84" s="882">
        <f t="shared" si="40"/>
        <v>1</v>
      </c>
      <c r="BD84" s="342" t="e">
        <f>IF(AND($BC84=0,C84=Tab_sel!$P$7,$D84=Tab_sel!$O$24,$E84=Tab_sel!$B$31),1,"")</f>
        <v>#N/A</v>
      </c>
      <c r="BE84" s="322" t="e">
        <f>IF(AND($BC84=0,C84=Tab_sel!$P$7,$D84=Tab_sel!$O$24,$E84=Tab_sel!$B$32),1,"")</f>
        <v>#N/A</v>
      </c>
      <c r="BF84" s="322" t="e">
        <f>IF(AND($BC84=0,C84=Tab_sel!$P$7,$D84=Tab_sel!$O$24,$E84=Tab_sel!$B$33),1,"")</f>
        <v>#N/A</v>
      </c>
      <c r="BG84" s="322" t="e">
        <f>IF(AND($BC84=0,C84=Tab_sel!$P$7,$D84=Tab_sel!$O$24,$E84=Tab_sel!$B$34),1,"")</f>
        <v>#N/A</v>
      </c>
      <c r="BH84" s="322" t="e">
        <f>IF(AND($BC84=0,C84=Tab_sel!$P$7,$D84=Tab_sel!$O$24,$E84=Tab_sel!$B$35),1,"")</f>
        <v>#N/A</v>
      </c>
      <c r="BI84" s="343" t="e">
        <f>IF(AND($BC84=0,C84=Tab_sel!$P$7,$D84=Tab_sel!$O$24,$E84=Tab_sel!$B$36),1,"")</f>
        <v>#N/A</v>
      </c>
      <c r="BJ84" s="342" t="e">
        <f>IF(AND($BC84=0,$C84=Tab_sel!$P$7,$D84=Tab_sel!$O$24,$E84=Tab_sel!$N$31,$F84=Tab_sel!$B$40),1,"")</f>
        <v>#N/A</v>
      </c>
      <c r="BK84" s="322" t="e">
        <f>IF(AND($BC84=0,$C84=Tab_sel!$P$7,$D84=Tab_sel!$O$24,$E84=Tab_sel!$N$31,$F84=Tab_sel!$B$41),1,"")</f>
        <v>#N/A</v>
      </c>
      <c r="BL84" s="322" t="e">
        <f>IF(AND($BC84=0,$C84=Tab_sel!$P$7,$D84=Tab_sel!$O$24,$E84=Tab_sel!$N$31,$F84=Tab_sel!$B$42),1,"")</f>
        <v>#N/A</v>
      </c>
      <c r="BM84" s="322" t="e">
        <f>IF(AND($BC84=0,$C84=Tab_sel!$P$7,$D84=Tab_sel!$O$24,$E84=Tab_sel!$N$31,$F84=Tab_sel!$B$43),1,"")</f>
        <v>#N/A</v>
      </c>
      <c r="BN84" s="322" t="e">
        <f>IF(AND($BC84=0,$C84=Tab_sel!$P$7,$D84=Tab_sel!$O$24,$E84=Tab_sel!$N$31,$F84=Tab_sel!$B$44),1,"")</f>
        <v>#N/A</v>
      </c>
      <c r="BO84" s="343" t="e">
        <f>IF(AND($BC84=0,$C84=Tab_sel!$P$7,$D84=Tab_sel!$O$24,$E84=Tab_sel!$N$31,$F84=Tab_sel!$B$45),1,"")</f>
        <v>#N/A</v>
      </c>
      <c r="BP84" s="354" t="e">
        <f>IF(AND($BC84=0,$C84=Tab_sel!$P$7,$D84=Tab_sel!$O$24,$E84=Tab_sel!$N$31,$F84=Tab_sel!$N$40,$I84=Tab_sel!$B$61),1,"")</f>
        <v>#N/A</v>
      </c>
      <c r="BQ84" s="355" t="e">
        <f>IF(AND($BC84=0,$C84=Tab_sel!$P$7,$D84=Tab_sel!$O$24,$E84=Tab_sel!$N$31,$F84=Tab_sel!$N$40,$I84=Tab_sel!$B$62),1,"")</f>
        <v>#N/A</v>
      </c>
      <c r="BR84" s="355" t="e">
        <f>IF(AND($BC84=0,$C84=Tab_sel!$P$7,$D84=Tab_sel!$O$24,$E84=Tab_sel!$N$31,$F84=Tab_sel!$N$40,$I84=Tab_sel!$B$63),1,"")</f>
        <v>#N/A</v>
      </c>
      <c r="BS84" s="355" t="e">
        <f>IF(AND($BC84=0,$C84=Tab_sel!$P$7,$D84=Tab_sel!$O$24,$E84=Tab_sel!$N$31,$F84=Tab_sel!$N$40,$I84=Tab_sel!$B$64),1,"")</f>
        <v>#N/A</v>
      </c>
      <c r="BT84" s="356" t="e">
        <f>IF(AND($BC84=0,$C84=Tab_sel!$P$7,$D84=Tab_sel!$O$24,$E84=Tab_sel!$N$31,$F84=Tab_sel!$N$40,$I84=Tab_sel!$B$65),1,"")</f>
        <v>#N/A</v>
      </c>
      <c r="BU84" s="856" t="e">
        <f>IF(AND($BC84=0,$C84=Tab_sel!$P$7,$D84=Tab_sel!$O$24,$E84=Tab_sel!$N$31,$F84=Tab_sel!$N$40,$I84=Tab_sel!$P$61,$H84=Tab_sel!$B$77),1,"")</f>
        <v>#N/A</v>
      </c>
      <c r="BV84" s="883" t="e">
        <f>IF(AND($BC84=0,$C84=Tab_sel!$P$7,$D84=Tab_sel!$O$24,$E84=Tab_sel!$N$31,$F84=Tab_sel!$N$40,$I84=Tab_sel!$P$61,$H84=Tab_sel!$B$78),1,"")</f>
        <v>#N/A</v>
      </c>
      <c r="BW84" s="883" t="e">
        <f>IF(AND($BC84=0,$C84=Tab_sel!$P$7,$D84=Tab_sel!$O$24,$E84=Tab_sel!$N$31,$F84=Tab_sel!$N$40,$I84=Tab_sel!$P$61,$H84=Tab_sel!$B$79),1,"")</f>
        <v>#N/A</v>
      </c>
      <c r="BX84" s="883" t="e">
        <f>IF(AND($BC84=0,$C84=Tab_sel!$P$7,$D84=Tab_sel!$O$24,$E84=Tab_sel!$N$31,$F84=Tab_sel!$N$40,$I84=Tab_sel!$P$61,$H84=Tab_sel!$B$80),1,"")</f>
        <v>#N/A</v>
      </c>
      <c r="BY84" s="883" t="e">
        <f>IF(AND($BC84=0,$C84=Tab_sel!$P$7,$D84=Tab_sel!$O$24,$E84=Tab_sel!$N$31,$F84=Tab_sel!$N$40,$I84=Tab_sel!$P$61,$H84=Tab_sel!$B$81),1,"")</f>
        <v>#N/A</v>
      </c>
      <c r="BZ84" s="857" t="e">
        <f>IF(AND($BC84=0,$C84=Tab_sel!$P$7,$D84=Tab_sel!$O$24,$E84=Tab_sel!$N$31,$F84=Tab_sel!$N$40,$I84=Tab_sel!$P$61,$H84=Tab_sel!$B$82),1,"")</f>
        <v>#N/A</v>
      </c>
      <c r="CA84" s="359"/>
      <c r="CC84">
        <f t="shared" si="30"/>
        <v>0</v>
      </c>
      <c r="CD84" s="882">
        <f t="shared" si="31"/>
        <v>0</v>
      </c>
      <c r="CE84" s="882">
        <f t="shared" si="32"/>
        <v>0</v>
      </c>
      <c r="CG84" t="s">
        <v>2609</v>
      </c>
      <c r="CH84" t="s">
        <v>2645</v>
      </c>
    </row>
    <row r="85" spans="2:88" ht="35.25" customHeight="1" x14ac:dyDescent="0.25">
      <c r="B85" s="791" t="s">
        <v>2387</v>
      </c>
      <c r="C85" s="874" t="s">
        <v>38</v>
      </c>
      <c r="D85" s="875" t="s">
        <v>34</v>
      </c>
      <c r="E85" s="771" t="str">
        <f t="shared" si="41"/>
        <v xml:space="preserve">Fichier ou base de données </v>
      </c>
      <c r="F85" s="768" t="str">
        <f t="shared" si="42"/>
        <v>Divulgation de données</v>
      </c>
      <c r="G85" s="864" t="s">
        <v>2262</v>
      </c>
      <c r="H85" s="864" t="s">
        <v>2388</v>
      </c>
      <c r="I85" s="874" t="s">
        <v>1202</v>
      </c>
      <c r="J85" s="877"/>
      <c r="K85" s="864" t="s">
        <v>2450</v>
      </c>
      <c r="L85" s="864"/>
      <c r="M85" s="824"/>
      <c r="N85" s="851"/>
      <c r="O85" s="851"/>
      <c r="P85" s="875"/>
      <c r="Q85" s="803"/>
      <c r="R85" s="803"/>
      <c r="S85" s="804"/>
      <c r="T85" s="875"/>
      <c r="U85" s="875"/>
      <c r="V85" s="805"/>
      <c r="W85" s="851"/>
      <c r="X85" s="851"/>
      <c r="Y85" s="875"/>
      <c r="Z85" s="875"/>
      <c r="AA85" s="875"/>
      <c r="AB85" s="805"/>
      <c r="AC85" s="806"/>
      <c r="AD85" s="806"/>
      <c r="AE85" s="806"/>
      <c r="AF85" s="806"/>
      <c r="AG85" s="806"/>
      <c r="AH85" s="805"/>
      <c r="AI85" s="807" t="str">
        <f t="shared" si="2"/>
        <v/>
      </c>
      <c r="AJ85" s="805"/>
      <c r="AK85" s="359"/>
      <c r="AM85" t="str">
        <f t="shared" si="34"/>
        <v/>
      </c>
      <c r="AN85">
        <f t="shared" si="35"/>
        <v>0</v>
      </c>
      <c r="AV85" s="882"/>
      <c r="AW85" s="882">
        <f t="shared" si="29"/>
        <v>0</v>
      </c>
      <c r="AX85" s="882">
        <f t="shared" si="38"/>
        <v>1</v>
      </c>
      <c r="AY85" s="882">
        <f t="shared" si="39"/>
        <v>1</v>
      </c>
      <c r="AZ85" s="927">
        <f t="shared" si="27"/>
        <v>1</v>
      </c>
      <c r="BA85" s="882">
        <v>0</v>
      </c>
      <c r="BB85" s="925">
        <f t="shared" si="36"/>
        <v>0</v>
      </c>
      <c r="BC85" s="882">
        <f t="shared" si="40"/>
        <v>1</v>
      </c>
      <c r="BD85" s="342" t="e">
        <f>IF(AND($BC85=0,C85=Tab_sel!$P$7,$D85=Tab_sel!$O$24,$E85=Tab_sel!$B$31),1,"")</f>
        <v>#N/A</v>
      </c>
      <c r="BE85" s="322" t="e">
        <f>IF(AND($BC85=0,C85=Tab_sel!$P$7,$D85=Tab_sel!$O$24,$E85=Tab_sel!$B$32),1,"")</f>
        <v>#N/A</v>
      </c>
      <c r="BF85" s="322" t="e">
        <f>IF(AND($BC85=0,C85=Tab_sel!$P$7,$D85=Tab_sel!$O$24,$E85=Tab_sel!$B$33),1,"")</f>
        <v>#N/A</v>
      </c>
      <c r="BG85" s="322" t="e">
        <f>IF(AND($BC85=0,C85=Tab_sel!$P$7,$D85=Tab_sel!$O$24,$E85=Tab_sel!$B$34),1,"")</f>
        <v>#N/A</v>
      </c>
      <c r="BH85" s="322" t="e">
        <f>IF(AND($BC85=0,C85=Tab_sel!$P$7,$D85=Tab_sel!$O$24,$E85=Tab_sel!$B$35),1,"")</f>
        <v>#N/A</v>
      </c>
      <c r="BI85" s="343" t="e">
        <f>IF(AND($BC85=0,C85=Tab_sel!$P$7,$D85=Tab_sel!$O$24,$E85=Tab_sel!$B$36),1,"")</f>
        <v>#N/A</v>
      </c>
      <c r="BJ85" s="342" t="e">
        <f>IF(AND($BC85=0,$C85=Tab_sel!$P$7,$D85=Tab_sel!$O$24,$E85=Tab_sel!$N$31,$F85=Tab_sel!$B$40),1,"")</f>
        <v>#N/A</v>
      </c>
      <c r="BK85" s="322" t="e">
        <f>IF(AND($BC85=0,$C85=Tab_sel!$P$7,$D85=Tab_sel!$O$24,$E85=Tab_sel!$N$31,$F85=Tab_sel!$B$41),1,"")</f>
        <v>#N/A</v>
      </c>
      <c r="BL85" s="322" t="e">
        <f>IF(AND($BC85=0,$C85=Tab_sel!$P$7,$D85=Tab_sel!$O$24,$E85=Tab_sel!$N$31,$F85=Tab_sel!$B$42),1,"")</f>
        <v>#N/A</v>
      </c>
      <c r="BM85" s="322" t="e">
        <f>IF(AND($BC85=0,$C85=Tab_sel!$P$7,$D85=Tab_sel!$O$24,$E85=Tab_sel!$N$31,$F85=Tab_sel!$B$43),1,"")</f>
        <v>#N/A</v>
      </c>
      <c r="BN85" s="322" t="e">
        <f>IF(AND($BC85=0,$C85=Tab_sel!$P$7,$D85=Tab_sel!$O$24,$E85=Tab_sel!$N$31,$F85=Tab_sel!$B$44),1,"")</f>
        <v>#N/A</v>
      </c>
      <c r="BO85" s="343" t="e">
        <f>IF(AND($BC85=0,$C85=Tab_sel!$P$7,$D85=Tab_sel!$O$24,$E85=Tab_sel!$N$31,$F85=Tab_sel!$B$45),1,"")</f>
        <v>#N/A</v>
      </c>
      <c r="BP85" s="354" t="e">
        <f>IF(AND($BC85=0,$C85=Tab_sel!$P$7,$D85=Tab_sel!$O$24,$E85=Tab_sel!$N$31,$F85=Tab_sel!$N$40,$I85=Tab_sel!$B$61),1,"")</f>
        <v>#N/A</v>
      </c>
      <c r="BQ85" s="355" t="e">
        <f>IF(AND($BC85=0,$C85=Tab_sel!$P$7,$D85=Tab_sel!$O$24,$E85=Tab_sel!$N$31,$F85=Tab_sel!$N$40,$I85=Tab_sel!$B$62),1,"")</f>
        <v>#N/A</v>
      </c>
      <c r="BR85" s="355" t="e">
        <f>IF(AND($BC85=0,$C85=Tab_sel!$P$7,$D85=Tab_sel!$O$24,$E85=Tab_sel!$N$31,$F85=Tab_sel!$N$40,$I85=Tab_sel!$B$63),1,"")</f>
        <v>#N/A</v>
      </c>
      <c r="BS85" s="355" t="e">
        <f>IF(AND($BC85=0,$C85=Tab_sel!$P$7,$D85=Tab_sel!$O$24,$E85=Tab_sel!$N$31,$F85=Tab_sel!$N$40,$I85=Tab_sel!$B$64),1,"")</f>
        <v>#N/A</v>
      </c>
      <c r="BT85" s="356" t="e">
        <f>IF(AND($BC85=0,$C85=Tab_sel!$P$7,$D85=Tab_sel!$O$24,$E85=Tab_sel!$N$31,$F85=Tab_sel!$N$40,$I85=Tab_sel!$B$65),1,"")</f>
        <v>#N/A</v>
      </c>
      <c r="BU85" s="856" t="e">
        <f>IF(AND($BC85=0,$C85=Tab_sel!$P$7,$D85=Tab_sel!$O$24,$E85=Tab_sel!$N$31,$F85=Tab_sel!$N$40,$I85=Tab_sel!$P$61,$H85=Tab_sel!$B$77),1,"")</f>
        <v>#N/A</v>
      </c>
      <c r="BV85" s="883" t="e">
        <f>IF(AND($BC85=0,$C85=Tab_sel!$P$7,$D85=Tab_sel!$O$24,$E85=Tab_sel!$N$31,$F85=Tab_sel!$N$40,$I85=Tab_sel!$P$61,$H85=Tab_sel!$B$78),1,"")</f>
        <v>#N/A</v>
      </c>
      <c r="BW85" s="883" t="e">
        <f>IF(AND($BC85=0,$C85=Tab_sel!$P$7,$D85=Tab_sel!$O$24,$E85=Tab_sel!$N$31,$F85=Tab_sel!$N$40,$I85=Tab_sel!$P$61,$H85=Tab_sel!$B$79),1,"")</f>
        <v>#N/A</v>
      </c>
      <c r="BX85" s="883" t="e">
        <f>IF(AND($BC85=0,$C85=Tab_sel!$P$7,$D85=Tab_sel!$O$24,$E85=Tab_sel!$N$31,$F85=Tab_sel!$N$40,$I85=Tab_sel!$P$61,$H85=Tab_sel!$B$80),1,"")</f>
        <v>#N/A</v>
      </c>
      <c r="BY85" s="883" t="e">
        <f>IF(AND($BC85=0,$C85=Tab_sel!$P$7,$D85=Tab_sel!$O$24,$E85=Tab_sel!$N$31,$F85=Tab_sel!$N$40,$I85=Tab_sel!$P$61,$H85=Tab_sel!$B$81),1,"")</f>
        <v>#N/A</v>
      </c>
      <c r="BZ85" s="857" t="e">
        <f>IF(AND($BC85=0,$C85=Tab_sel!$P$7,$D85=Tab_sel!$O$24,$E85=Tab_sel!$N$31,$F85=Tab_sel!$N$40,$I85=Tab_sel!$P$61,$H85=Tab_sel!$B$82),1,"")</f>
        <v>#N/A</v>
      </c>
      <c r="CA85" s="359"/>
      <c r="CC85">
        <f t="shared" si="30"/>
        <v>0</v>
      </c>
      <c r="CD85" s="882">
        <f t="shared" si="31"/>
        <v>0</v>
      </c>
      <c r="CE85" s="882">
        <f t="shared" si="32"/>
        <v>0</v>
      </c>
      <c r="CH85" t="s">
        <v>2646</v>
      </c>
    </row>
    <row r="86" spans="2:88" ht="35.25" customHeight="1" x14ac:dyDescent="0.25">
      <c r="B86" s="791" t="s">
        <v>2389</v>
      </c>
      <c r="C86" s="874" t="s">
        <v>38</v>
      </c>
      <c r="D86" s="875" t="s">
        <v>34</v>
      </c>
      <c r="E86" s="771" t="str">
        <f t="shared" si="41"/>
        <v xml:space="preserve">Fichier ou base de données </v>
      </c>
      <c r="F86" s="768" t="str">
        <f t="shared" si="42"/>
        <v>Divulgation de données</v>
      </c>
      <c r="G86" s="864" t="s">
        <v>2262</v>
      </c>
      <c r="H86" s="864" t="s">
        <v>2390</v>
      </c>
      <c r="I86" s="874" t="s">
        <v>1202</v>
      </c>
      <c r="J86" s="877" t="s">
        <v>2373</v>
      </c>
      <c r="K86" s="864" t="s">
        <v>2468</v>
      </c>
      <c r="L86" s="864"/>
      <c r="M86" s="824"/>
      <c r="N86" s="851"/>
      <c r="O86" s="851"/>
      <c r="P86" s="875"/>
      <c r="Q86" s="803"/>
      <c r="R86" s="803"/>
      <c r="S86" s="804"/>
      <c r="T86" s="875"/>
      <c r="U86" s="875"/>
      <c r="V86" s="805"/>
      <c r="W86" s="851"/>
      <c r="X86" s="851"/>
      <c r="Y86" s="875"/>
      <c r="Z86" s="875"/>
      <c r="AA86" s="875"/>
      <c r="AB86" s="805"/>
      <c r="AC86" s="806"/>
      <c r="AD86" s="806"/>
      <c r="AE86" s="806"/>
      <c r="AF86" s="806"/>
      <c r="AG86" s="806"/>
      <c r="AH86" s="805"/>
      <c r="AI86" s="807" t="str">
        <f t="shared" si="2"/>
        <v/>
      </c>
      <c r="AJ86" s="805"/>
      <c r="AK86" s="359"/>
      <c r="AM86" t="str">
        <f t="shared" si="34"/>
        <v/>
      </c>
      <c r="AN86">
        <f t="shared" si="35"/>
        <v>0</v>
      </c>
      <c r="AV86" s="882"/>
      <c r="AW86" s="882">
        <f t="shared" si="29"/>
        <v>0</v>
      </c>
      <c r="AX86" s="882">
        <f t="shared" si="38"/>
        <v>1</v>
      </c>
      <c r="AY86" s="882">
        <f t="shared" si="39"/>
        <v>1</v>
      </c>
      <c r="AZ86" s="927">
        <f t="shared" si="27"/>
        <v>1</v>
      </c>
      <c r="BA86" s="882">
        <v>0</v>
      </c>
      <c r="BB86" s="925">
        <f t="shared" si="36"/>
        <v>0</v>
      </c>
      <c r="BC86" s="882">
        <f t="shared" si="40"/>
        <v>1</v>
      </c>
      <c r="BD86" s="342" t="e">
        <f>IF(AND($BC86=0,C86=Tab_sel!$P$7,$D86=Tab_sel!$O$24,$E86=Tab_sel!$B$31),1,"")</f>
        <v>#N/A</v>
      </c>
      <c r="BE86" s="322" t="e">
        <f>IF(AND($BC86=0,C86=Tab_sel!$P$7,$D86=Tab_sel!$O$24,$E86=Tab_sel!$B$32),1,"")</f>
        <v>#N/A</v>
      </c>
      <c r="BF86" s="322" t="e">
        <f>IF(AND($BC86=0,C86=Tab_sel!$P$7,$D86=Tab_sel!$O$24,$E86=Tab_sel!$B$33),1,"")</f>
        <v>#N/A</v>
      </c>
      <c r="BG86" s="322" t="e">
        <f>IF(AND($BC86=0,C86=Tab_sel!$P$7,$D86=Tab_sel!$O$24,$E86=Tab_sel!$B$34),1,"")</f>
        <v>#N/A</v>
      </c>
      <c r="BH86" s="322" t="e">
        <f>IF(AND($BC86=0,C86=Tab_sel!$P$7,$D86=Tab_sel!$O$24,$E86=Tab_sel!$B$35),1,"")</f>
        <v>#N/A</v>
      </c>
      <c r="BI86" s="343" t="e">
        <f>IF(AND($BC86=0,C86=Tab_sel!$P$7,$D86=Tab_sel!$O$24,$E86=Tab_sel!$B$36),1,"")</f>
        <v>#N/A</v>
      </c>
      <c r="BJ86" s="342" t="e">
        <f>IF(AND($BC86=0,$C86=Tab_sel!$P$7,$D86=Tab_sel!$O$24,$E86=Tab_sel!$N$31,$F86=Tab_sel!$B$40),1,"")</f>
        <v>#N/A</v>
      </c>
      <c r="BK86" s="322" t="e">
        <f>IF(AND($BC86=0,$C86=Tab_sel!$P$7,$D86=Tab_sel!$O$24,$E86=Tab_sel!$N$31,$F86=Tab_sel!$B$41),1,"")</f>
        <v>#N/A</v>
      </c>
      <c r="BL86" s="322" t="e">
        <f>IF(AND($BC86=0,$C86=Tab_sel!$P$7,$D86=Tab_sel!$O$24,$E86=Tab_sel!$N$31,$F86=Tab_sel!$B$42),1,"")</f>
        <v>#N/A</v>
      </c>
      <c r="BM86" s="322" t="e">
        <f>IF(AND($BC86=0,$C86=Tab_sel!$P$7,$D86=Tab_sel!$O$24,$E86=Tab_sel!$N$31,$F86=Tab_sel!$B$43),1,"")</f>
        <v>#N/A</v>
      </c>
      <c r="BN86" s="322" t="e">
        <f>IF(AND($BC86=0,$C86=Tab_sel!$P$7,$D86=Tab_sel!$O$24,$E86=Tab_sel!$N$31,$F86=Tab_sel!$B$44),1,"")</f>
        <v>#N/A</v>
      </c>
      <c r="BO86" s="343" t="e">
        <f>IF(AND($BC86=0,$C86=Tab_sel!$P$7,$D86=Tab_sel!$O$24,$E86=Tab_sel!$N$31,$F86=Tab_sel!$B$45),1,"")</f>
        <v>#N/A</v>
      </c>
      <c r="BP86" s="354" t="e">
        <f>IF(AND($BC86=0,$C86=Tab_sel!$P$7,$D86=Tab_sel!$O$24,$E86=Tab_sel!$N$31,$F86=Tab_sel!$N$40,$I86=Tab_sel!$B$61),1,"")</f>
        <v>#N/A</v>
      </c>
      <c r="BQ86" s="355" t="e">
        <f>IF(AND($BC86=0,$C86=Tab_sel!$P$7,$D86=Tab_sel!$O$24,$E86=Tab_sel!$N$31,$F86=Tab_sel!$N$40,$I86=Tab_sel!$B$62),1,"")</f>
        <v>#N/A</v>
      </c>
      <c r="BR86" s="355" t="e">
        <f>IF(AND($BC86=0,$C86=Tab_sel!$P$7,$D86=Tab_sel!$O$24,$E86=Tab_sel!$N$31,$F86=Tab_sel!$N$40,$I86=Tab_sel!$B$63),1,"")</f>
        <v>#N/A</v>
      </c>
      <c r="BS86" s="355" t="e">
        <f>IF(AND($BC86=0,$C86=Tab_sel!$P$7,$D86=Tab_sel!$O$24,$E86=Tab_sel!$N$31,$F86=Tab_sel!$N$40,$I86=Tab_sel!$B$64),1,"")</f>
        <v>#N/A</v>
      </c>
      <c r="BT86" s="356" t="e">
        <f>IF(AND($BC86=0,$C86=Tab_sel!$P$7,$D86=Tab_sel!$O$24,$E86=Tab_sel!$N$31,$F86=Tab_sel!$N$40,$I86=Tab_sel!$B$65),1,"")</f>
        <v>#N/A</v>
      </c>
      <c r="BU86" s="856" t="e">
        <f>IF(AND($BC86=0,$C86=Tab_sel!$P$7,$D86=Tab_sel!$O$24,$E86=Tab_sel!$N$31,$F86=Tab_sel!$N$40,$I86=Tab_sel!$P$61,$H86=Tab_sel!$B$77),1,"")</f>
        <v>#N/A</v>
      </c>
      <c r="BV86" s="883" t="e">
        <f>IF(AND($BC86=0,$C86=Tab_sel!$P$7,$D86=Tab_sel!$O$24,$E86=Tab_sel!$N$31,$F86=Tab_sel!$N$40,$I86=Tab_sel!$P$61,$H86=Tab_sel!$B$78),1,"")</f>
        <v>#N/A</v>
      </c>
      <c r="BW86" s="883" t="e">
        <f>IF(AND($BC86=0,$C86=Tab_sel!$P$7,$D86=Tab_sel!$O$24,$E86=Tab_sel!$N$31,$F86=Tab_sel!$N$40,$I86=Tab_sel!$P$61,$H86=Tab_sel!$B$79),1,"")</f>
        <v>#N/A</v>
      </c>
      <c r="BX86" s="883" t="e">
        <f>IF(AND($BC86=0,$C86=Tab_sel!$P$7,$D86=Tab_sel!$O$24,$E86=Tab_sel!$N$31,$F86=Tab_sel!$N$40,$I86=Tab_sel!$P$61,$H86=Tab_sel!$B$80),1,"")</f>
        <v>#N/A</v>
      </c>
      <c r="BY86" s="883" t="e">
        <f>IF(AND($BC86=0,$C86=Tab_sel!$P$7,$D86=Tab_sel!$O$24,$E86=Tab_sel!$N$31,$F86=Tab_sel!$N$40,$I86=Tab_sel!$P$61,$H86=Tab_sel!$B$81),1,"")</f>
        <v>#N/A</v>
      </c>
      <c r="BZ86" s="857" t="e">
        <f>IF(AND($BC86=0,$C86=Tab_sel!$P$7,$D86=Tab_sel!$O$24,$E86=Tab_sel!$N$31,$F86=Tab_sel!$N$40,$I86=Tab_sel!$P$61,$H86=Tab_sel!$B$82),1,"")</f>
        <v>#N/A</v>
      </c>
      <c r="CA86" s="359"/>
      <c r="CC86">
        <f t="shared" si="30"/>
        <v>0</v>
      </c>
      <c r="CD86" s="882">
        <f t="shared" si="31"/>
        <v>0</v>
      </c>
      <c r="CE86" s="882">
        <f t="shared" si="32"/>
        <v>0</v>
      </c>
      <c r="CG86" t="s">
        <v>2634</v>
      </c>
      <c r="CH86" t="s">
        <v>2647</v>
      </c>
    </row>
    <row r="87" spans="2:88" ht="35.25" customHeight="1" x14ac:dyDescent="0.25">
      <c r="B87" s="791" t="s">
        <v>2391</v>
      </c>
      <c r="C87" s="874" t="s">
        <v>38</v>
      </c>
      <c r="D87" s="875" t="s">
        <v>34</v>
      </c>
      <c r="E87" s="771" t="str">
        <f t="shared" si="41"/>
        <v xml:space="preserve">Fichier ou base de données </v>
      </c>
      <c r="F87" s="768" t="str">
        <f t="shared" si="42"/>
        <v>Divulgation de données</v>
      </c>
      <c r="G87" s="864" t="s">
        <v>2262</v>
      </c>
      <c r="H87" s="864" t="s">
        <v>2346</v>
      </c>
      <c r="I87" s="874" t="s">
        <v>1202</v>
      </c>
      <c r="J87" s="877"/>
      <c r="K87" s="864" t="s">
        <v>2509</v>
      </c>
      <c r="L87" s="864"/>
      <c r="M87" s="824"/>
      <c r="N87" s="851"/>
      <c r="O87" s="851"/>
      <c r="P87" s="875"/>
      <c r="Q87" s="803"/>
      <c r="R87" s="803"/>
      <c r="S87" s="804"/>
      <c r="T87" s="875"/>
      <c r="U87" s="875"/>
      <c r="V87" s="805"/>
      <c r="W87" s="851"/>
      <c r="X87" s="851"/>
      <c r="Y87" s="875"/>
      <c r="Z87" s="875"/>
      <c r="AA87" s="875"/>
      <c r="AB87" s="805"/>
      <c r="AC87" s="806"/>
      <c r="AD87" s="806"/>
      <c r="AE87" s="806"/>
      <c r="AF87" s="806"/>
      <c r="AG87" s="806"/>
      <c r="AH87" s="805"/>
      <c r="AI87" s="807" t="str">
        <f t="shared" si="2"/>
        <v/>
      </c>
      <c r="AJ87" s="805"/>
      <c r="AK87" s="359"/>
      <c r="AM87" t="str">
        <f t="shared" si="34"/>
        <v/>
      </c>
      <c r="AN87">
        <f t="shared" si="35"/>
        <v>0</v>
      </c>
      <c r="AV87" s="882"/>
      <c r="AW87" s="882">
        <f t="shared" si="29"/>
        <v>0</v>
      </c>
      <c r="AX87" s="882">
        <f t="shared" si="38"/>
        <v>1</v>
      </c>
      <c r="AY87" s="882">
        <f t="shared" si="39"/>
        <v>1</v>
      </c>
      <c r="AZ87" s="927">
        <f t="shared" si="27"/>
        <v>1</v>
      </c>
      <c r="BA87" s="882">
        <v>0</v>
      </c>
      <c r="BB87" s="925">
        <f t="shared" si="36"/>
        <v>0</v>
      </c>
      <c r="BC87" s="882">
        <f t="shared" si="40"/>
        <v>1</v>
      </c>
      <c r="BD87" s="342" t="e">
        <f>IF(AND($BC87=0,C87=Tab_sel!$P$7,$D87=Tab_sel!$O$24,$E87=Tab_sel!$B$31),1,"")</f>
        <v>#N/A</v>
      </c>
      <c r="BE87" s="322" t="e">
        <f>IF(AND($BC87=0,C87=Tab_sel!$P$7,$D87=Tab_sel!$O$24,$E87=Tab_sel!$B$32),1,"")</f>
        <v>#N/A</v>
      </c>
      <c r="BF87" s="322" t="e">
        <f>IF(AND($BC87=0,C87=Tab_sel!$P$7,$D87=Tab_sel!$O$24,$E87=Tab_sel!$B$33),1,"")</f>
        <v>#N/A</v>
      </c>
      <c r="BG87" s="322" t="e">
        <f>IF(AND($BC87=0,C87=Tab_sel!$P$7,$D87=Tab_sel!$O$24,$E87=Tab_sel!$B$34),1,"")</f>
        <v>#N/A</v>
      </c>
      <c r="BH87" s="322" t="e">
        <f>IF(AND($BC87=0,C87=Tab_sel!$P$7,$D87=Tab_sel!$O$24,$E87=Tab_sel!$B$35),1,"")</f>
        <v>#N/A</v>
      </c>
      <c r="BI87" s="343" t="e">
        <f>IF(AND($BC87=0,C87=Tab_sel!$P$7,$D87=Tab_sel!$O$24,$E87=Tab_sel!$B$36),1,"")</f>
        <v>#N/A</v>
      </c>
      <c r="BJ87" s="342" t="e">
        <f>IF(AND($BC87=0,$C87=Tab_sel!$P$7,$D87=Tab_sel!$O$24,$E87=Tab_sel!$N$31,$F87=Tab_sel!$B$40),1,"")</f>
        <v>#N/A</v>
      </c>
      <c r="BK87" s="322" t="e">
        <f>IF(AND($BC87=0,$C87=Tab_sel!$P$7,$D87=Tab_sel!$O$24,$E87=Tab_sel!$N$31,$F87=Tab_sel!$B$41),1,"")</f>
        <v>#N/A</v>
      </c>
      <c r="BL87" s="322" t="e">
        <f>IF(AND($BC87=0,$C87=Tab_sel!$P$7,$D87=Tab_sel!$O$24,$E87=Tab_sel!$N$31,$F87=Tab_sel!$B$42),1,"")</f>
        <v>#N/A</v>
      </c>
      <c r="BM87" s="322" t="e">
        <f>IF(AND($BC87=0,$C87=Tab_sel!$P$7,$D87=Tab_sel!$O$24,$E87=Tab_sel!$N$31,$F87=Tab_sel!$B$43),1,"")</f>
        <v>#N/A</v>
      </c>
      <c r="BN87" s="322" t="e">
        <f>IF(AND($BC87=0,$C87=Tab_sel!$P$7,$D87=Tab_sel!$O$24,$E87=Tab_sel!$N$31,$F87=Tab_sel!$B$44),1,"")</f>
        <v>#N/A</v>
      </c>
      <c r="BO87" s="343" t="e">
        <f>IF(AND($BC87=0,$C87=Tab_sel!$P$7,$D87=Tab_sel!$O$24,$E87=Tab_sel!$N$31,$F87=Tab_sel!$B$45),1,"")</f>
        <v>#N/A</v>
      </c>
      <c r="BP87" s="354" t="e">
        <f>IF(AND($BC87=0,$C87=Tab_sel!$P$7,$D87=Tab_sel!$O$24,$E87=Tab_sel!$N$31,$F87=Tab_sel!$N$40,$I87=Tab_sel!$B$61),1,"")</f>
        <v>#N/A</v>
      </c>
      <c r="BQ87" s="355" t="e">
        <f>IF(AND($BC87=0,$C87=Tab_sel!$P$7,$D87=Tab_sel!$O$24,$E87=Tab_sel!$N$31,$F87=Tab_sel!$N$40,$I87=Tab_sel!$B$62),1,"")</f>
        <v>#N/A</v>
      </c>
      <c r="BR87" s="355" t="e">
        <f>IF(AND($BC87=0,$C87=Tab_sel!$P$7,$D87=Tab_sel!$O$24,$E87=Tab_sel!$N$31,$F87=Tab_sel!$N$40,$I87=Tab_sel!$B$63),1,"")</f>
        <v>#N/A</v>
      </c>
      <c r="BS87" s="355" t="e">
        <f>IF(AND($BC87=0,$C87=Tab_sel!$P$7,$D87=Tab_sel!$O$24,$E87=Tab_sel!$N$31,$F87=Tab_sel!$N$40,$I87=Tab_sel!$B$64),1,"")</f>
        <v>#N/A</v>
      </c>
      <c r="BT87" s="356" t="e">
        <f>IF(AND($BC87=0,$C87=Tab_sel!$P$7,$D87=Tab_sel!$O$24,$E87=Tab_sel!$N$31,$F87=Tab_sel!$N$40,$I87=Tab_sel!$B$65),1,"")</f>
        <v>#N/A</v>
      </c>
      <c r="BU87" s="856" t="e">
        <f>IF(AND($BC87=0,$C87=Tab_sel!$P$7,$D87=Tab_sel!$O$24,$E87=Tab_sel!$N$31,$F87=Tab_sel!$N$40,$I87=Tab_sel!$P$61,$H87=Tab_sel!$B$77),1,"")</f>
        <v>#N/A</v>
      </c>
      <c r="BV87" s="883" t="e">
        <f>IF(AND($BC87=0,$C87=Tab_sel!$P$7,$D87=Tab_sel!$O$24,$E87=Tab_sel!$N$31,$F87=Tab_sel!$N$40,$I87=Tab_sel!$P$61,$H87=Tab_sel!$B$78),1,"")</f>
        <v>#N/A</v>
      </c>
      <c r="BW87" s="883" t="e">
        <f>IF(AND($BC87=0,$C87=Tab_sel!$P$7,$D87=Tab_sel!$O$24,$E87=Tab_sel!$N$31,$F87=Tab_sel!$N$40,$I87=Tab_sel!$P$61,$H87=Tab_sel!$B$79),1,"")</f>
        <v>#N/A</v>
      </c>
      <c r="BX87" s="883" t="e">
        <f>IF(AND($BC87=0,$C87=Tab_sel!$P$7,$D87=Tab_sel!$O$24,$E87=Tab_sel!$N$31,$F87=Tab_sel!$N$40,$I87=Tab_sel!$P$61,$H87=Tab_sel!$B$80),1,"")</f>
        <v>#N/A</v>
      </c>
      <c r="BY87" s="883" t="e">
        <f>IF(AND($BC87=0,$C87=Tab_sel!$P$7,$D87=Tab_sel!$O$24,$E87=Tab_sel!$N$31,$F87=Tab_sel!$N$40,$I87=Tab_sel!$P$61,$H87=Tab_sel!$B$81),1,"")</f>
        <v>#N/A</v>
      </c>
      <c r="BZ87" s="857" t="e">
        <f>IF(AND($BC87=0,$C87=Tab_sel!$P$7,$D87=Tab_sel!$O$24,$E87=Tab_sel!$N$31,$F87=Tab_sel!$N$40,$I87=Tab_sel!$P$61,$H87=Tab_sel!$B$82),1,"")</f>
        <v>#N/A</v>
      </c>
      <c r="CA87" s="359"/>
      <c r="CC87">
        <f t="shared" si="30"/>
        <v>0</v>
      </c>
      <c r="CD87" s="882">
        <f t="shared" si="31"/>
        <v>0</v>
      </c>
      <c r="CE87" s="882">
        <f t="shared" si="32"/>
        <v>0</v>
      </c>
      <c r="CH87" t="s">
        <v>2648</v>
      </c>
    </row>
    <row r="88" spans="2:88" ht="35.25" customHeight="1" x14ac:dyDescent="0.25">
      <c r="B88" s="791" t="s">
        <v>2392</v>
      </c>
      <c r="C88" s="874" t="s">
        <v>38</v>
      </c>
      <c r="D88" s="875" t="s">
        <v>34</v>
      </c>
      <c r="E88" s="771" t="str">
        <f t="shared" si="41"/>
        <v xml:space="preserve">Fichier ou base de données </v>
      </c>
      <c r="F88" s="768" t="str">
        <f t="shared" si="42"/>
        <v>Divulgation de données</v>
      </c>
      <c r="G88" s="864" t="s">
        <v>2262</v>
      </c>
      <c r="H88" s="864" t="s">
        <v>2393</v>
      </c>
      <c r="I88" s="874" t="s">
        <v>1202</v>
      </c>
      <c r="J88" s="877" t="s">
        <v>2350</v>
      </c>
      <c r="K88" s="864" t="s">
        <v>1306</v>
      </c>
      <c r="L88" s="864" t="s">
        <v>2350</v>
      </c>
      <c r="M88" s="824" t="s">
        <v>2350</v>
      </c>
      <c r="N88" s="851"/>
      <c r="O88" s="851"/>
      <c r="P88" s="875"/>
      <c r="Q88" s="803"/>
      <c r="R88" s="803"/>
      <c r="S88" s="804"/>
      <c r="T88" s="875"/>
      <c r="U88" s="875"/>
      <c r="V88" s="805"/>
      <c r="W88" s="851"/>
      <c r="X88" s="851"/>
      <c r="Y88" s="875"/>
      <c r="Z88" s="875"/>
      <c r="AA88" s="875"/>
      <c r="AB88" s="805"/>
      <c r="AC88" s="806"/>
      <c r="AD88" s="806"/>
      <c r="AE88" s="806"/>
      <c r="AF88" s="806"/>
      <c r="AG88" s="806"/>
      <c r="AH88" s="805"/>
      <c r="AI88" s="807" t="str">
        <f t="shared" si="2"/>
        <v/>
      </c>
      <c r="AJ88" s="805"/>
      <c r="AK88" s="359"/>
      <c r="AM88" t="str">
        <f t="shared" si="34"/>
        <v/>
      </c>
      <c r="AN88">
        <f t="shared" si="35"/>
        <v>0</v>
      </c>
      <c r="AV88" s="882"/>
      <c r="AW88" s="882">
        <f t="shared" si="29"/>
        <v>0</v>
      </c>
      <c r="AX88" s="882">
        <f t="shared" si="38"/>
        <v>1</v>
      </c>
      <c r="AY88" s="882">
        <f t="shared" si="39"/>
        <v>1</v>
      </c>
      <c r="AZ88" s="927">
        <f t="shared" si="27"/>
        <v>1</v>
      </c>
      <c r="BA88" s="882">
        <v>0</v>
      </c>
      <c r="BB88" s="925">
        <f t="shared" si="36"/>
        <v>0</v>
      </c>
      <c r="BC88" s="882">
        <f t="shared" si="40"/>
        <v>1</v>
      </c>
      <c r="BD88" s="342" t="e">
        <f>IF(AND($BC88=0,C88=Tab_sel!$P$7,$D88=Tab_sel!$O$24,$E88=Tab_sel!$B$31),1,"")</f>
        <v>#N/A</v>
      </c>
      <c r="BE88" s="322" t="e">
        <f>IF(AND($BC88=0,C88=Tab_sel!$P$7,$D88=Tab_sel!$O$24,$E88=Tab_sel!$B$32),1,"")</f>
        <v>#N/A</v>
      </c>
      <c r="BF88" s="322" t="e">
        <f>IF(AND($BC88=0,C88=Tab_sel!$P$7,$D88=Tab_sel!$O$24,$E88=Tab_sel!$B$33),1,"")</f>
        <v>#N/A</v>
      </c>
      <c r="BG88" s="322" t="e">
        <f>IF(AND($BC88=0,C88=Tab_sel!$P$7,$D88=Tab_sel!$O$24,$E88=Tab_sel!$B$34),1,"")</f>
        <v>#N/A</v>
      </c>
      <c r="BH88" s="322" t="e">
        <f>IF(AND($BC88=0,C88=Tab_sel!$P$7,$D88=Tab_sel!$O$24,$E88=Tab_sel!$B$35),1,"")</f>
        <v>#N/A</v>
      </c>
      <c r="BI88" s="343" t="e">
        <f>IF(AND($BC88=0,C88=Tab_sel!$P$7,$D88=Tab_sel!$O$24,$E88=Tab_sel!$B$36),1,"")</f>
        <v>#N/A</v>
      </c>
      <c r="BJ88" s="342" t="e">
        <f>IF(AND($BC88=0,$C88=Tab_sel!$P$7,$D88=Tab_sel!$O$24,$E88=Tab_sel!$N$31,$F88=Tab_sel!$B$40),1,"")</f>
        <v>#N/A</v>
      </c>
      <c r="BK88" s="322" t="e">
        <f>IF(AND($BC88=0,$C88=Tab_sel!$P$7,$D88=Tab_sel!$O$24,$E88=Tab_sel!$N$31,$F88=Tab_sel!$B$41),1,"")</f>
        <v>#N/A</v>
      </c>
      <c r="BL88" s="322" t="e">
        <f>IF(AND($BC88=0,$C88=Tab_sel!$P$7,$D88=Tab_sel!$O$24,$E88=Tab_sel!$N$31,$F88=Tab_sel!$B$42),1,"")</f>
        <v>#N/A</v>
      </c>
      <c r="BM88" s="322" t="e">
        <f>IF(AND($BC88=0,$C88=Tab_sel!$P$7,$D88=Tab_sel!$O$24,$E88=Tab_sel!$N$31,$F88=Tab_sel!$B$43),1,"")</f>
        <v>#N/A</v>
      </c>
      <c r="BN88" s="322" t="e">
        <f>IF(AND($BC88=0,$C88=Tab_sel!$P$7,$D88=Tab_sel!$O$24,$E88=Tab_sel!$N$31,$F88=Tab_sel!$B$44),1,"")</f>
        <v>#N/A</v>
      </c>
      <c r="BO88" s="343" t="e">
        <f>IF(AND($BC88=0,$C88=Tab_sel!$P$7,$D88=Tab_sel!$O$24,$E88=Tab_sel!$N$31,$F88=Tab_sel!$B$45),1,"")</f>
        <v>#N/A</v>
      </c>
      <c r="BP88" s="354" t="e">
        <f>IF(AND($BC88=0,$C88=Tab_sel!$P$7,$D88=Tab_sel!$O$24,$E88=Tab_sel!$N$31,$F88=Tab_sel!$N$40,$I88=Tab_sel!$B$61),1,"")</f>
        <v>#N/A</v>
      </c>
      <c r="BQ88" s="355" t="e">
        <f>IF(AND($BC88=0,$C88=Tab_sel!$P$7,$D88=Tab_sel!$O$24,$E88=Tab_sel!$N$31,$F88=Tab_sel!$N$40,$I88=Tab_sel!$B$62),1,"")</f>
        <v>#N/A</v>
      </c>
      <c r="BR88" s="355" t="e">
        <f>IF(AND($BC88=0,$C88=Tab_sel!$P$7,$D88=Tab_sel!$O$24,$E88=Tab_sel!$N$31,$F88=Tab_sel!$N$40,$I88=Tab_sel!$B$63),1,"")</f>
        <v>#N/A</v>
      </c>
      <c r="BS88" s="355" t="e">
        <f>IF(AND($BC88=0,$C88=Tab_sel!$P$7,$D88=Tab_sel!$O$24,$E88=Tab_sel!$N$31,$F88=Tab_sel!$N$40,$I88=Tab_sel!$B$64),1,"")</f>
        <v>#N/A</v>
      </c>
      <c r="BT88" s="356" t="e">
        <f>IF(AND($BC88=0,$C88=Tab_sel!$P$7,$D88=Tab_sel!$O$24,$E88=Tab_sel!$N$31,$F88=Tab_sel!$N$40,$I88=Tab_sel!$B$65),1,"")</f>
        <v>#N/A</v>
      </c>
      <c r="BU88" s="856" t="e">
        <f>IF(AND($BC88=0,$C88=Tab_sel!$P$7,$D88=Tab_sel!$O$24,$E88=Tab_sel!$N$31,$F88=Tab_sel!$N$40,$I88=Tab_sel!$P$61,$H88=Tab_sel!$B$77),1,"")</f>
        <v>#N/A</v>
      </c>
      <c r="BV88" s="883" t="e">
        <f>IF(AND($BC88=0,$C88=Tab_sel!$P$7,$D88=Tab_sel!$O$24,$E88=Tab_sel!$N$31,$F88=Tab_sel!$N$40,$I88=Tab_sel!$P$61,$H88=Tab_sel!$B$78),1,"")</f>
        <v>#N/A</v>
      </c>
      <c r="BW88" s="883" t="e">
        <f>IF(AND($BC88=0,$C88=Tab_sel!$P$7,$D88=Tab_sel!$O$24,$E88=Tab_sel!$N$31,$F88=Tab_sel!$N$40,$I88=Tab_sel!$P$61,$H88=Tab_sel!$B$79),1,"")</f>
        <v>#N/A</v>
      </c>
      <c r="BX88" s="883" t="e">
        <f>IF(AND($BC88=0,$C88=Tab_sel!$P$7,$D88=Tab_sel!$O$24,$E88=Tab_sel!$N$31,$F88=Tab_sel!$N$40,$I88=Tab_sel!$P$61,$H88=Tab_sel!$B$80),1,"")</f>
        <v>#N/A</v>
      </c>
      <c r="BY88" s="883" t="e">
        <f>IF(AND($BC88=0,$C88=Tab_sel!$P$7,$D88=Tab_sel!$O$24,$E88=Tab_sel!$N$31,$F88=Tab_sel!$N$40,$I88=Tab_sel!$P$61,$H88=Tab_sel!$B$81),1,"")</f>
        <v>#N/A</v>
      </c>
      <c r="BZ88" s="857" t="e">
        <f>IF(AND($BC88=0,$C88=Tab_sel!$P$7,$D88=Tab_sel!$O$24,$E88=Tab_sel!$N$31,$F88=Tab_sel!$N$40,$I88=Tab_sel!$P$61,$H88=Tab_sel!$B$82),1,"")</f>
        <v>#N/A</v>
      </c>
      <c r="CA88" s="359"/>
      <c r="CC88">
        <f t="shared" si="30"/>
        <v>0</v>
      </c>
      <c r="CD88" s="882">
        <f t="shared" si="31"/>
        <v>0</v>
      </c>
      <c r="CE88" s="882">
        <f t="shared" si="32"/>
        <v>0</v>
      </c>
      <c r="CH88" t="s">
        <v>2649</v>
      </c>
    </row>
    <row r="89" spans="2:88" s="247" customFormat="1" ht="71.25" customHeight="1" x14ac:dyDescent="0.25">
      <c r="B89" s="791" t="s">
        <v>1994</v>
      </c>
      <c r="C89" s="771" t="s">
        <v>38</v>
      </c>
      <c r="D89" s="772" t="s">
        <v>34</v>
      </c>
      <c r="E89" s="771" t="str">
        <f t="shared" si="41"/>
        <v xml:space="preserve">Fichier ou base de données </v>
      </c>
      <c r="F89" s="768" t="str">
        <f t="shared" si="42"/>
        <v>Divulgation de données</v>
      </c>
      <c r="G89" s="778" t="s">
        <v>1407</v>
      </c>
      <c r="H89" s="778"/>
      <c r="I89" s="771" t="s">
        <v>1171</v>
      </c>
      <c r="J89" s="769"/>
      <c r="K89" s="778" t="s">
        <v>1318</v>
      </c>
      <c r="L89" s="778"/>
      <c r="M89" s="824"/>
      <c r="N89" s="767"/>
      <c r="O89" s="767"/>
      <c r="P89" s="772"/>
      <c r="Q89" s="803"/>
      <c r="R89" s="803"/>
      <c r="S89" s="804"/>
      <c r="T89" s="772"/>
      <c r="U89" s="772"/>
      <c r="V89" s="805"/>
      <c r="W89" s="767"/>
      <c r="X89" s="767"/>
      <c r="Y89" s="772"/>
      <c r="Z89" s="772"/>
      <c r="AA89" s="772"/>
      <c r="AB89" s="805"/>
      <c r="AC89" s="806"/>
      <c r="AD89" s="806"/>
      <c r="AE89" s="806"/>
      <c r="AF89" s="806"/>
      <c r="AG89" s="806"/>
      <c r="AH89" s="805"/>
      <c r="AI89" s="807" t="str">
        <f t="shared" si="2"/>
        <v/>
      </c>
      <c r="AJ89" s="805"/>
      <c r="AK89" s="395"/>
      <c r="AM89" t="str">
        <f t="shared" si="34"/>
        <v/>
      </c>
      <c r="AN89">
        <f t="shared" si="35"/>
        <v>0</v>
      </c>
      <c r="AV89" s="396"/>
      <c r="AW89" s="882">
        <f t="shared" si="29"/>
        <v>0</v>
      </c>
      <c r="AX89" s="882">
        <f t="shared" si="38"/>
        <v>1</v>
      </c>
      <c r="AY89" s="882">
        <f t="shared" si="39"/>
        <v>1</v>
      </c>
      <c r="AZ89" s="927">
        <f t="shared" si="27"/>
        <v>1</v>
      </c>
      <c r="BA89" s="882">
        <v>1</v>
      </c>
      <c r="BB89" s="925">
        <f t="shared" si="36"/>
        <v>0</v>
      </c>
      <c r="BC89" s="882">
        <f t="shared" si="40"/>
        <v>1</v>
      </c>
      <c r="BD89" s="342" t="e">
        <f>IF(AND($BC89=0,C89=Tab_sel!$P$7,$D89=Tab_sel!$O$24,$E89=Tab_sel!$B$31),1,"")</f>
        <v>#N/A</v>
      </c>
      <c r="BE89" s="322" t="e">
        <f>IF(AND($BC89=0,C89=Tab_sel!$P$7,$D89=Tab_sel!$O$24,$E89=Tab_sel!$B$32),1,"")</f>
        <v>#N/A</v>
      </c>
      <c r="BF89" s="322" t="e">
        <f>IF(AND($BC89=0,C89=Tab_sel!$P$7,$D89=Tab_sel!$O$24,$E89=Tab_sel!$B$33),1,"")</f>
        <v>#N/A</v>
      </c>
      <c r="BG89" s="322" t="e">
        <f>IF(AND($BC89=0,C89=Tab_sel!$P$7,$D89=Tab_sel!$O$24,$E89=Tab_sel!$B$34),1,"")</f>
        <v>#N/A</v>
      </c>
      <c r="BH89" s="322" t="e">
        <f>IF(AND($BC89=0,C89=Tab_sel!$P$7,$D89=Tab_sel!$O$24,$E89=Tab_sel!$B$35),1,"")</f>
        <v>#N/A</v>
      </c>
      <c r="BI89" s="343" t="e">
        <f>IF(AND($BC89=0,C89=Tab_sel!$P$7,$D89=Tab_sel!$O$24,$E89=Tab_sel!$B$36),1,"")</f>
        <v>#N/A</v>
      </c>
      <c r="BJ89" s="342" t="e">
        <f>IF(AND($BC89=0,$C89=Tab_sel!$P$7,$D89=Tab_sel!$O$24,$E89=Tab_sel!$N$31,$F89=Tab_sel!$B$40),1,"")</f>
        <v>#N/A</v>
      </c>
      <c r="BK89" s="322" t="e">
        <f>IF(AND($BC89=0,$C89=Tab_sel!$P$7,$D89=Tab_sel!$O$24,$E89=Tab_sel!$N$31,$F89=Tab_sel!$B$41),1,"")</f>
        <v>#N/A</v>
      </c>
      <c r="BL89" s="322" t="e">
        <f>IF(AND($BC89=0,$C89=Tab_sel!$P$7,$D89=Tab_sel!$O$24,$E89=Tab_sel!$N$31,$F89=Tab_sel!$B$42),1,"")</f>
        <v>#N/A</v>
      </c>
      <c r="BM89" s="322" t="e">
        <f>IF(AND($BC89=0,$C89=Tab_sel!$P$7,$D89=Tab_sel!$O$24,$E89=Tab_sel!$N$31,$F89=Tab_sel!$B$43),1,"")</f>
        <v>#N/A</v>
      </c>
      <c r="BN89" s="322" t="e">
        <f>IF(AND($BC89=0,$C89=Tab_sel!$P$7,$D89=Tab_sel!$O$24,$E89=Tab_sel!$N$31,$F89=Tab_sel!$B$44),1,"")</f>
        <v>#N/A</v>
      </c>
      <c r="BO89" s="343" t="e">
        <f>IF(AND($BC89=0,$C89=Tab_sel!$P$7,$D89=Tab_sel!$O$24,$E89=Tab_sel!$N$31,$F89=Tab_sel!$B$45),1,"")</f>
        <v>#N/A</v>
      </c>
      <c r="BP89" s="354" t="e">
        <f>IF(AND($BC89=0,$C89=Tab_sel!$P$7,$D89=Tab_sel!$O$24,$E89=Tab_sel!$N$31,$F89=Tab_sel!$N$40,$I89=Tab_sel!$B$61),1,"")</f>
        <v>#N/A</v>
      </c>
      <c r="BQ89" s="355" t="e">
        <f>IF(AND($BC89=0,$C89=Tab_sel!$P$7,$D89=Tab_sel!$O$24,$E89=Tab_sel!$N$31,$F89=Tab_sel!$N$40,$I89=Tab_sel!$B$62),1,"")</f>
        <v>#N/A</v>
      </c>
      <c r="BR89" s="355" t="e">
        <f>IF(AND($BC89=0,$C89=Tab_sel!$P$7,$D89=Tab_sel!$O$24,$E89=Tab_sel!$N$31,$F89=Tab_sel!$N$40,$I89=Tab_sel!$B$63),1,"")</f>
        <v>#N/A</v>
      </c>
      <c r="BS89" s="355" t="e">
        <f>IF(AND($BC89=0,$C89=Tab_sel!$P$7,$D89=Tab_sel!$O$24,$E89=Tab_sel!$N$31,$F89=Tab_sel!$N$40,$I89=Tab_sel!$B$64),1,"")</f>
        <v>#N/A</v>
      </c>
      <c r="BT89" s="356" t="e">
        <f>IF(AND($BC89=0,$C89=Tab_sel!$P$7,$D89=Tab_sel!$O$24,$E89=Tab_sel!$N$31,$F89=Tab_sel!$N$40,$I89=Tab_sel!$B$65),1,"")</f>
        <v>#N/A</v>
      </c>
      <c r="BU89" s="856" t="e">
        <f>IF(AND($BC89=0,$C89=Tab_sel!$P$7,$D89=Tab_sel!$O$24,$E89=Tab_sel!$N$31,$F89=Tab_sel!$N$40,$I89=Tab_sel!$P$61,$H89=Tab_sel!$B$77),1,"")</f>
        <v>#N/A</v>
      </c>
      <c r="BV89" s="883" t="e">
        <f>IF(AND($BC89=0,$C89=Tab_sel!$P$7,$D89=Tab_sel!$O$24,$E89=Tab_sel!$N$31,$F89=Tab_sel!$N$40,$I89=Tab_sel!$P$61,$H89=Tab_sel!$B$78),1,"")</f>
        <v>#N/A</v>
      </c>
      <c r="BW89" s="883" t="e">
        <f>IF(AND($BC89=0,$C89=Tab_sel!$P$7,$D89=Tab_sel!$O$24,$E89=Tab_sel!$N$31,$F89=Tab_sel!$N$40,$I89=Tab_sel!$P$61,$H89=Tab_sel!$B$79),1,"")</f>
        <v>#N/A</v>
      </c>
      <c r="BX89" s="883" t="e">
        <f>IF(AND($BC89=0,$C89=Tab_sel!$P$7,$D89=Tab_sel!$O$24,$E89=Tab_sel!$N$31,$F89=Tab_sel!$N$40,$I89=Tab_sel!$P$61,$H89=Tab_sel!$B$80),1,"")</f>
        <v>#N/A</v>
      </c>
      <c r="BY89" s="883" t="e">
        <f>IF(AND($BC89=0,$C89=Tab_sel!$P$7,$D89=Tab_sel!$O$24,$E89=Tab_sel!$N$31,$F89=Tab_sel!$N$40,$I89=Tab_sel!$P$61,$H89=Tab_sel!$B$81),1,"")</f>
        <v>#N/A</v>
      </c>
      <c r="BZ89" s="857" t="e">
        <f>IF(AND($BC89=0,$C89=Tab_sel!$P$7,$D89=Tab_sel!$O$24,$E89=Tab_sel!$N$31,$F89=Tab_sel!$N$40,$I89=Tab_sel!$P$61,$H89=Tab_sel!$B$82),1,"")</f>
        <v>#N/A</v>
      </c>
      <c r="CA89" s="359"/>
      <c r="CB89"/>
      <c r="CC89">
        <f t="shared" si="30"/>
        <v>0</v>
      </c>
      <c r="CD89" s="882">
        <f t="shared" si="31"/>
        <v>0</v>
      </c>
      <c r="CE89" s="882">
        <f t="shared" si="32"/>
        <v>0</v>
      </c>
      <c r="CH89" s="247" t="s">
        <v>2645</v>
      </c>
    </row>
    <row r="90" spans="2:88" ht="80.25" customHeight="1" x14ac:dyDescent="0.25">
      <c r="B90" s="791" t="s">
        <v>1995</v>
      </c>
      <c r="C90" s="771" t="s">
        <v>38</v>
      </c>
      <c r="D90" s="772" t="s">
        <v>34</v>
      </c>
      <c r="E90" s="771" t="str">
        <f t="shared" si="41"/>
        <v xml:space="preserve">Fichier ou base de données </v>
      </c>
      <c r="F90" s="768" t="str">
        <f t="shared" si="42"/>
        <v>Divulgation de données</v>
      </c>
      <c r="G90" s="778" t="s">
        <v>2595</v>
      </c>
      <c r="H90" s="778"/>
      <c r="I90" s="771" t="s">
        <v>1746</v>
      </c>
      <c r="J90" s="769"/>
      <c r="K90" s="778" t="s">
        <v>1265</v>
      </c>
      <c r="L90" s="778"/>
      <c r="M90" s="824"/>
      <c r="N90" s="767"/>
      <c r="O90" s="767"/>
      <c r="P90" s="772"/>
      <c r="Q90" s="803"/>
      <c r="R90" s="803"/>
      <c r="S90" s="804"/>
      <c r="T90" s="772"/>
      <c r="U90" s="772"/>
      <c r="V90" s="805"/>
      <c r="W90" s="767"/>
      <c r="X90" s="767"/>
      <c r="Y90" s="772"/>
      <c r="Z90" s="772"/>
      <c r="AA90" s="772"/>
      <c r="AB90" s="805"/>
      <c r="AC90" s="806"/>
      <c r="AD90" s="806"/>
      <c r="AE90" s="806"/>
      <c r="AF90" s="806"/>
      <c r="AG90" s="806"/>
      <c r="AH90" s="805"/>
      <c r="AI90" s="807" t="str">
        <f t="shared" si="2"/>
        <v/>
      </c>
      <c r="AJ90" s="805"/>
      <c r="AK90" s="359"/>
      <c r="AM90" t="str">
        <f t="shared" si="34"/>
        <v/>
      </c>
      <c r="AN90">
        <f t="shared" si="35"/>
        <v>0</v>
      </c>
      <c r="AW90" s="882">
        <f t="shared" si="29"/>
        <v>0</v>
      </c>
      <c r="AX90" s="882">
        <f t="shared" si="38"/>
        <v>1</v>
      </c>
      <c r="AY90" s="882">
        <f t="shared" si="39"/>
        <v>1</v>
      </c>
      <c r="AZ90" s="927">
        <f t="shared" si="27"/>
        <v>1</v>
      </c>
      <c r="BA90" s="882">
        <v>1</v>
      </c>
      <c r="BB90" s="925">
        <f t="shared" si="36"/>
        <v>0</v>
      </c>
      <c r="BC90" s="882">
        <f t="shared" si="40"/>
        <v>1</v>
      </c>
      <c r="BD90" s="342" t="e">
        <f>IF(AND($BC90=0,C90=Tab_sel!$P$7,$D90=Tab_sel!$O$24,$E90=Tab_sel!$B$31),1,"")</f>
        <v>#N/A</v>
      </c>
      <c r="BE90" s="322" t="e">
        <f>IF(AND($BC90=0,C90=Tab_sel!$P$7,$D90=Tab_sel!$O$24,$E90=Tab_sel!$B$32),1,"")</f>
        <v>#N/A</v>
      </c>
      <c r="BF90" s="322" t="e">
        <f>IF(AND($BC90=0,C90=Tab_sel!$P$7,$D90=Tab_sel!$O$24,$E90=Tab_sel!$B$33),1,"")</f>
        <v>#N/A</v>
      </c>
      <c r="BG90" s="322" t="e">
        <f>IF(AND($BC90=0,C90=Tab_sel!$P$7,$D90=Tab_sel!$O$24,$E90=Tab_sel!$B$34),1,"")</f>
        <v>#N/A</v>
      </c>
      <c r="BH90" s="322" t="e">
        <f>IF(AND($BC90=0,C90=Tab_sel!$P$7,$D90=Tab_sel!$O$24,$E90=Tab_sel!$B$35),1,"")</f>
        <v>#N/A</v>
      </c>
      <c r="BI90" s="343" t="e">
        <f>IF(AND($BC90=0,C90=Tab_sel!$P$7,$D90=Tab_sel!$O$24,$E90=Tab_sel!$B$36),1,"")</f>
        <v>#N/A</v>
      </c>
      <c r="BJ90" s="342" t="e">
        <f>IF(AND($BC90=0,$C90=Tab_sel!$P$7,$D90=Tab_sel!$O$24,$E90=Tab_sel!$N$31,$F90=Tab_sel!$B$40),1,"")</f>
        <v>#N/A</v>
      </c>
      <c r="BK90" s="322" t="e">
        <f>IF(AND($BC90=0,$C90=Tab_sel!$P$7,$D90=Tab_sel!$O$24,$E90=Tab_sel!$N$31,$F90=Tab_sel!$B$41),1,"")</f>
        <v>#N/A</v>
      </c>
      <c r="BL90" s="322" t="e">
        <f>IF(AND($BC90=0,$C90=Tab_sel!$P$7,$D90=Tab_sel!$O$24,$E90=Tab_sel!$N$31,$F90=Tab_sel!$B$42),1,"")</f>
        <v>#N/A</v>
      </c>
      <c r="BM90" s="322" t="e">
        <f>IF(AND($BC90=0,$C90=Tab_sel!$P$7,$D90=Tab_sel!$O$24,$E90=Tab_sel!$N$31,$F90=Tab_sel!$B$43),1,"")</f>
        <v>#N/A</v>
      </c>
      <c r="BN90" s="322" t="e">
        <f>IF(AND($BC90=0,$C90=Tab_sel!$P$7,$D90=Tab_sel!$O$24,$E90=Tab_sel!$N$31,$F90=Tab_sel!$B$44),1,"")</f>
        <v>#N/A</v>
      </c>
      <c r="BO90" s="343" t="e">
        <f>IF(AND($BC90=0,$C90=Tab_sel!$P$7,$D90=Tab_sel!$O$24,$E90=Tab_sel!$N$31,$F90=Tab_sel!$B$45),1,"")</f>
        <v>#N/A</v>
      </c>
      <c r="BP90" s="354" t="e">
        <f>IF(AND($BC90=0,$C90=Tab_sel!$P$7,$D90=Tab_sel!$O$24,$E90=Tab_sel!$N$31,$F90=Tab_sel!$N$40,$I90=Tab_sel!$B$61),1,"")</f>
        <v>#N/A</v>
      </c>
      <c r="BQ90" s="355" t="e">
        <f>IF(AND($BC90=0,$C90=Tab_sel!$P$7,$D90=Tab_sel!$O$24,$E90=Tab_sel!$N$31,$F90=Tab_sel!$N$40,$I90=Tab_sel!$B$62),1,"")</f>
        <v>#N/A</v>
      </c>
      <c r="BR90" s="355" t="e">
        <f>IF(AND($BC90=0,$C90=Tab_sel!$P$7,$D90=Tab_sel!$O$24,$E90=Tab_sel!$N$31,$F90=Tab_sel!$N$40,$I90=Tab_sel!$B$63),1,"")</f>
        <v>#N/A</v>
      </c>
      <c r="BS90" s="355" t="e">
        <f>IF(AND($BC90=0,$C90=Tab_sel!$P$7,$D90=Tab_sel!$O$24,$E90=Tab_sel!$N$31,$F90=Tab_sel!$N$40,$I90=Tab_sel!$B$64),1,"")</f>
        <v>#N/A</v>
      </c>
      <c r="BT90" s="356" t="e">
        <f>IF(AND($BC90=0,$C90=Tab_sel!$P$7,$D90=Tab_sel!$O$24,$E90=Tab_sel!$N$31,$F90=Tab_sel!$N$40,$I90=Tab_sel!$B$65),1,"")</f>
        <v>#N/A</v>
      </c>
      <c r="BU90" s="856" t="e">
        <f>IF(AND($BC90=0,$C90=Tab_sel!$P$7,$D90=Tab_sel!$O$24,$E90=Tab_sel!$N$31,$F90=Tab_sel!$N$40,$I90=Tab_sel!$P$61,$H90=Tab_sel!$B$77),1,"")</f>
        <v>#N/A</v>
      </c>
      <c r="BV90" s="883" t="e">
        <f>IF(AND($BC90=0,$C90=Tab_sel!$P$7,$D90=Tab_sel!$O$24,$E90=Tab_sel!$N$31,$F90=Tab_sel!$N$40,$I90=Tab_sel!$P$61,$H90=Tab_sel!$B$78),1,"")</f>
        <v>#N/A</v>
      </c>
      <c r="BW90" s="883" t="e">
        <f>IF(AND($BC90=0,$C90=Tab_sel!$P$7,$D90=Tab_sel!$O$24,$E90=Tab_sel!$N$31,$F90=Tab_sel!$N$40,$I90=Tab_sel!$P$61,$H90=Tab_sel!$B$79),1,"")</f>
        <v>#N/A</v>
      </c>
      <c r="BX90" s="883" t="e">
        <f>IF(AND($BC90=0,$C90=Tab_sel!$P$7,$D90=Tab_sel!$O$24,$E90=Tab_sel!$N$31,$F90=Tab_sel!$N$40,$I90=Tab_sel!$P$61,$H90=Tab_sel!$B$80),1,"")</f>
        <v>#N/A</v>
      </c>
      <c r="BY90" s="883" t="e">
        <f>IF(AND($BC90=0,$C90=Tab_sel!$P$7,$D90=Tab_sel!$O$24,$E90=Tab_sel!$N$31,$F90=Tab_sel!$N$40,$I90=Tab_sel!$P$61,$H90=Tab_sel!$B$81),1,"")</f>
        <v>#N/A</v>
      </c>
      <c r="BZ90" s="857" t="e">
        <f>IF(AND($BC90=0,$C90=Tab_sel!$P$7,$D90=Tab_sel!$O$24,$E90=Tab_sel!$N$31,$F90=Tab_sel!$N$40,$I90=Tab_sel!$P$61,$H90=Tab_sel!$B$82),1,"")</f>
        <v>#N/A</v>
      </c>
      <c r="CA90" s="359"/>
      <c r="CC90">
        <f t="shared" si="30"/>
        <v>0</v>
      </c>
      <c r="CD90" s="882">
        <f t="shared" si="31"/>
        <v>0</v>
      </c>
      <c r="CE90" s="882">
        <f t="shared" si="32"/>
        <v>0</v>
      </c>
      <c r="CH90" t="s">
        <v>2636</v>
      </c>
    </row>
    <row r="91" spans="2:88" ht="59.25" customHeight="1" x14ac:dyDescent="0.25">
      <c r="B91" s="791" t="s">
        <v>1996</v>
      </c>
      <c r="C91" s="771" t="s">
        <v>38</v>
      </c>
      <c r="D91" s="772" t="s">
        <v>34</v>
      </c>
      <c r="E91" s="771" t="str">
        <f t="shared" si="41"/>
        <v xml:space="preserve">Fichier ou base de données </v>
      </c>
      <c r="F91" s="768" t="str">
        <f t="shared" si="42"/>
        <v>Divulgation de données</v>
      </c>
      <c r="G91" s="778" t="s">
        <v>2596</v>
      </c>
      <c r="H91" s="778"/>
      <c r="I91" s="771" t="s">
        <v>1180</v>
      </c>
      <c r="J91" s="769"/>
      <c r="K91" s="778" t="s">
        <v>2469</v>
      </c>
      <c r="L91" s="778"/>
      <c r="M91" s="824"/>
      <c r="N91" s="767"/>
      <c r="O91" s="767"/>
      <c r="P91" s="772"/>
      <c r="Q91" s="803"/>
      <c r="R91" s="803"/>
      <c r="S91" s="804"/>
      <c r="T91" s="772"/>
      <c r="U91" s="772"/>
      <c r="V91" s="805"/>
      <c r="W91" s="767"/>
      <c r="X91" s="767"/>
      <c r="Y91" s="772"/>
      <c r="Z91" s="772"/>
      <c r="AA91" s="772"/>
      <c r="AB91" s="805"/>
      <c r="AC91" s="806"/>
      <c r="AD91" s="806"/>
      <c r="AE91" s="806"/>
      <c r="AF91" s="806"/>
      <c r="AG91" s="806"/>
      <c r="AH91" s="805"/>
      <c r="AI91" s="807" t="str">
        <f t="shared" si="2"/>
        <v/>
      </c>
      <c r="AJ91" s="805"/>
      <c r="AK91" s="359"/>
      <c r="AM91" t="str">
        <f t="shared" si="34"/>
        <v/>
      </c>
      <c r="AN91">
        <f t="shared" si="35"/>
        <v>0</v>
      </c>
      <c r="AW91" s="882">
        <f t="shared" si="29"/>
        <v>0</v>
      </c>
      <c r="AX91" s="882">
        <f t="shared" si="38"/>
        <v>1</v>
      </c>
      <c r="AY91" s="882">
        <f t="shared" si="39"/>
        <v>1</v>
      </c>
      <c r="AZ91" s="927">
        <f t="shared" si="27"/>
        <v>1</v>
      </c>
      <c r="BA91" s="882">
        <v>1</v>
      </c>
      <c r="BB91" s="925">
        <f t="shared" si="36"/>
        <v>0</v>
      </c>
      <c r="BC91" s="882">
        <f t="shared" si="40"/>
        <v>1</v>
      </c>
      <c r="BD91" s="342" t="e">
        <f>IF(AND($BC91=0,C91=Tab_sel!$P$7,$D91=Tab_sel!$O$24,$E91=Tab_sel!$B$31),1,"")</f>
        <v>#N/A</v>
      </c>
      <c r="BE91" s="322" t="e">
        <f>IF(AND($BC91=0,C91=Tab_sel!$P$7,$D91=Tab_sel!$O$24,$E91=Tab_sel!$B$32),1,"")</f>
        <v>#N/A</v>
      </c>
      <c r="BF91" s="322" t="e">
        <f>IF(AND($BC91=0,C91=Tab_sel!$P$7,$D91=Tab_sel!$O$24,$E91=Tab_sel!$B$33),1,"")</f>
        <v>#N/A</v>
      </c>
      <c r="BG91" s="322" t="e">
        <f>IF(AND($BC91=0,C91=Tab_sel!$P$7,$D91=Tab_sel!$O$24,$E91=Tab_sel!$B$34),1,"")</f>
        <v>#N/A</v>
      </c>
      <c r="BH91" s="322" t="e">
        <f>IF(AND($BC91=0,C91=Tab_sel!$P$7,$D91=Tab_sel!$O$24,$E91=Tab_sel!$B$35),1,"")</f>
        <v>#N/A</v>
      </c>
      <c r="BI91" s="343" t="e">
        <f>IF(AND($BC91=0,C91=Tab_sel!$P$7,$D91=Tab_sel!$O$24,$E91=Tab_sel!$B$36),1,"")</f>
        <v>#N/A</v>
      </c>
      <c r="BJ91" s="342" t="e">
        <f>IF(AND($BC91=0,$C91=Tab_sel!$P$7,$D91=Tab_sel!$O$24,$E91=Tab_sel!$N$31,$F91=Tab_sel!$B$40),1,"")</f>
        <v>#N/A</v>
      </c>
      <c r="BK91" s="322" t="e">
        <f>IF(AND($BC91=0,$C91=Tab_sel!$P$7,$D91=Tab_sel!$O$24,$E91=Tab_sel!$N$31,$F91=Tab_sel!$B$41),1,"")</f>
        <v>#N/A</v>
      </c>
      <c r="BL91" s="322" t="e">
        <f>IF(AND($BC91=0,$C91=Tab_sel!$P$7,$D91=Tab_sel!$O$24,$E91=Tab_sel!$N$31,$F91=Tab_sel!$B$42),1,"")</f>
        <v>#N/A</v>
      </c>
      <c r="BM91" s="322" t="e">
        <f>IF(AND($BC91=0,$C91=Tab_sel!$P$7,$D91=Tab_sel!$O$24,$E91=Tab_sel!$N$31,$F91=Tab_sel!$B$43),1,"")</f>
        <v>#N/A</v>
      </c>
      <c r="BN91" s="322" t="e">
        <f>IF(AND($BC91=0,$C91=Tab_sel!$P$7,$D91=Tab_sel!$O$24,$E91=Tab_sel!$N$31,$F91=Tab_sel!$B$44),1,"")</f>
        <v>#N/A</v>
      </c>
      <c r="BO91" s="343" t="e">
        <f>IF(AND($BC91=0,$C91=Tab_sel!$P$7,$D91=Tab_sel!$O$24,$E91=Tab_sel!$N$31,$F91=Tab_sel!$B$45),1,"")</f>
        <v>#N/A</v>
      </c>
      <c r="BP91" s="354" t="e">
        <f>IF(AND($BC91=0,$C91=Tab_sel!$P$7,$D91=Tab_sel!$O$24,$E91=Tab_sel!$N$31,$F91=Tab_sel!$N$40,$I91=Tab_sel!$B$61),1,"")</f>
        <v>#N/A</v>
      </c>
      <c r="BQ91" s="355" t="e">
        <f>IF(AND($BC91=0,$C91=Tab_sel!$P$7,$D91=Tab_sel!$O$24,$E91=Tab_sel!$N$31,$F91=Tab_sel!$N$40,$I91=Tab_sel!$B$62),1,"")</f>
        <v>#N/A</v>
      </c>
      <c r="BR91" s="355" t="e">
        <f>IF(AND($BC91=0,$C91=Tab_sel!$P$7,$D91=Tab_sel!$O$24,$E91=Tab_sel!$N$31,$F91=Tab_sel!$N$40,$I91=Tab_sel!$B$63),1,"")</f>
        <v>#N/A</v>
      </c>
      <c r="BS91" s="355" t="e">
        <f>IF(AND($BC91=0,$C91=Tab_sel!$P$7,$D91=Tab_sel!$O$24,$E91=Tab_sel!$N$31,$F91=Tab_sel!$N$40,$I91=Tab_sel!$B$64),1,"")</f>
        <v>#N/A</v>
      </c>
      <c r="BT91" s="356" t="e">
        <f>IF(AND($BC91=0,$C91=Tab_sel!$P$7,$D91=Tab_sel!$O$24,$E91=Tab_sel!$N$31,$F91=Tab_sel!$N$40,$I91=Tab_sel!$B$65),1,"")</f>
        <v>#N/A</v>
      </c>
      <c r="BU91" s="856" t="e">
        <f>IF(AND($BC91=0,$C91=Tab_sel!$P$7,$D91=Tab_sel!$O$24,$E91=Tab_sel!$N$31,$F91=Tab_sel!$N$40,$I91=Tab_sel!$P$61,$H91=Tab_sel!$B$77),1,"")</f>
        <v>#N/A</v>
      </c>
      <c r="BV91" s="883" t="e">
        <f>IF(AND($BC91=0,$C91=Tab_sel!$P$7,$D91=Tab_sel!$O$24,$E91=Tab_sel!$N$31,$F91=Tab_sel!$N$40,$I91=Tab_sel!$P$61,$H91=Tab_sel!$B$78),1,"")</f>
        <v>#N/A</v>
      </c>
      <c r="BW91" s="883" t="e">
        <f>IF(AND($BC91=0,$C91=Tab_sel!$P$7,$D91=Tab_sel!$O$24,$E91=Tab_sel!$N$31,$F91=Tab_sel!$N$40,$I91=Tab_sel!$P$61,$H91=Tab_sel!$B$79),1,"")</f>
        <v>#N/A</v>
      </c>
      <c r="BX91" s="883" t="e">
        <f>IF(AND($BC91=0,$C91=Tab_sel!$P$7,$D91=Tab_sel!$O$24,$E91=Tab_sel!$N$31,$F91=Tab_sel!$N$40,$I91=Tab_sel!$P$61,$H91=Tab_sel!$B$80),1,"")</f>
        <v>#N/A</v>
      </c>
      <c r="BY91" s="883" t="e">
        <f>IF(AND($BC91=0,$C91=Tab_sel!$P$7,$D91=Tab_sel!$O$24,$E91=Tab_sel!$N$31,$F91=Tab_sel!$N$40,$I91=Tab_sel!$P$61,$H91=Tab_sel!$B$81),1,"")</f>
        <v>#N/A</v>
      </c>
      <c r="BZ91" s="857" t="e">
        <f>IF(AND($BC91=0,$C91=Tab_sel!$P$7,$D91=Tab_sel!$O$24,$E91=Tab_sel!$N$31,$F91=Tab_sel!$N$40,$I91=Tab_sel!$P$61,$H91=Tab_sel!$B$82),1,"")</f>
        <v>#N/A</v>
      </c>
      <c r="CA91" s="359"/>
      <c r="CC91">
        <f t="shared" si="30"/>
        <v>0</v>
      </c>
      <c r="CD91" s="882">
        <f t="shared" si="31"/>
        <v>0</v>
      </c>
      <c r="CE91" s="882">
        <f t="shared" si="32"/>
        <v>0</v>
      </c>
      <c r="CH91" t="s">
        <v>2650</v>
      </c>
    </row>
    <row r="92" spans="2:88" ht="26.4" x14ac:dyDescent="0.25">
      <c r="B92" s="791" t="s">
        <v>1997</v>
      </c>
      <c r="C92" s="771" t="s">
        <v>38</v>
      </c>
      <c r="D92" s="772" t="s">
        <v>34</v>
      </c>
      <c r="E92" s="771" t="str">
        <f>Det</f>
        <v>Données en transit</v>
      </c>
      <c r="F92" s="768" t="str">
        <f t="shared" si="42"/>
        <v>Divulgation de données</v>
      </c>
      <c r="G92" s="768" t="s">
        <v>2593</v>
      </c>
      <c r="H92" s="768"/>
      <c r="I92" s="771" t="s">
        <v>1211</v>
      </c>
      <c r="J92" s="769"/>
      <c r="K92" s="769" t="s">
        <v>1321</v>
      </c>
      <c r="L92" s="769"/>
      <c r="M92" s="792"/>
      <c r="N92" s="767"/>
      <c r="O92" s="767"/>
      <c r="P92" s="772"/>
      <c r="Q92" s="803"/>
      <c r="R92" s="803"/>
      <c r="S92" s="804"/>
      <c r="T92" s="772"/>
      <c r="U92" s="772"/>
      <c r="V92" s="805"/>
      <c r="W92" s="767"/>
      <c r="X92" s="767"/>
      <c r="Y92" s="772"/>
      <c r="Z92" s="772"/>
      <c r="AA92" s="772"/>
      <c r="AB92" s="805"/>
      <c r="AC92" s="806"/>
      <c r="AD92" s="806"/>
      <c r="AE92" s="806"/>
      <c r="AF92" s="806"/>
      <c r="AG92" s="806"/>
      <c r="AH92" s="805"/>
      <c r="AI92" s="807" t="str">
        <f t="shared" si="2"/>
        <v/>
      </c>
      <c r="AJ92" s="805"/>
      <c r="AK92" s="359"/>
      <c r="AM92" t="str">
        <f t="shared" si="34"/>
        <v/>
      </c>
      <c r="AN92">
        <f t="shared" si="35"/>
        <v>0</v>
      </c>
      <c r="AW92" s="882">
        <f t="shared" si="29"/>
        <v>0</v>
      </c>
      <c r="AX92" s="882">
        <f t="shared" si="38"/>
        <v>1</v>
      </c>
      <c r="AY92" s="882">
        <f t="shared" si="39"/>
        <v>1</v>
      </c>
      <c r="AZ92" s="927">
        <f t="shared" si="27"/>
        <v>1</v>
      </c>
      <c r="BA92" s="882">
        <v>1</v>
      </c>
      <c r="BB92" s="925">
        <f t="shared" si="36"/>
        <v>0</v>
      </c>
      <c r="BC92" s="882">
        <f t="shared" si="40"/>
        <v>1</v>
      </c>
      <c r="BD92" s="342" t="e">
        <f>IF(AND($BC92=0,C92=Tab_sel!$P$7,$D92=Tab_sel!$O$24,$E92=Tab_sel!$B$31),1,"")</f>
        <v>#N/A</v>
      </c>
      <c r="BE92" s="322" t="e">
        <f>IF(AND($BC92=0,C92=Tab_sel!$P$7,$D92=Tab_sel!$O$24,$E92=Tab_sel!$B$32),1,"")</f>
        <v>#N/A</v>
      </c>
      <c r="BF92" s="322" t="e">
        <f>IF(AND($BC92=0,C92=Tab_sel!$P$7,$D92=Tab_sel!$O$24,$E92=Tab_sel!$B$33),1,"")</f>
        <v>#N/A</v>
      </c>
      <c r="BG92" s="322" t="e">
        <f>IF(AND($BC92=0,C92=Tab_sel!$P$7,$D92=Tab_sel!$O$24,$E92=Tab_sel!$B$34),1,"")</f>
        <v>#N/A</v>
      </c>
      <c r="BH92" s="322" t="e">
        <f>IF(AND($BC92=0,C92=Tab_sel!$P$7,$D92=Tab_sel!$O$24,$E92=Tab_sel!$B$35),1,"")</f>
        <v>#N/A</v>
      </c>
      <c r="BI92" s="343" t="e">
        <f>IF(AND($BC92=0,C92=Tab_sel!$P$7,$D92=Tab_sel!$O$24,$E92=Tab_sel!$B$36),1,"")</f>
        <v>#N/A</v>
      </c>
      <c r="BJ92" s="342" t="e">
        <f>IF(AND($BC92=0,$C92=Tab_sel!$P$7,$D92=Tab_sel!$O$24,$E92=Tab_sel!$N$31,$F92=Tab_sel!$B$40),1,"")</f>
        <v>#N/A</v>
      </c>
      <c r="BK92" s="322" t="e">
        <f>IF(AND($BC92=0,$C92=Tab_sel!$P$7,$D92=Tab_sel!$O$24,$E92=Tab_sel!$N$31,$F92=Tab_sel!$B$41),1,"")</f>
        <v>#N/A</v>
      </c>
      <c r="BL92" s="322" t="e">
        <f>IF(AND($BC92=0,$C92=Tab_sel!$P$7,$D92=Tab_sel!$O$24,$E92=Tab_sel!$N$31,$F92=Tab_sel!$B$42),1,"")</f>
        <v>#N/A</v>
      </c>
      <c r="BM92" s="322" t="e">
        <f>IF(AND($BC92=0,$C92=Tab_sel!$P$7,$D92=Tab_sel!$O$24,$E92=Tab_sel!$N$31,$F92=Tab_sel!$B$43),1,"")</f>
        <v>#N/A</v>
      </c>
      <c r="BN92" s="322" t="e">
        <f>IF(AND($BC92=0,$C92=Tab_sel!$P$7,$D92=Tab_sel!$O$24,$E92=Tab_sel!$N$31,$F92=Tab_sel!$B$44),1,"")</f>
        <v>#N/A</v>
      </c>
      <c r="BO92" s="343" t="e">
        <f>IF(AND($BC92=0,$C92=Tab_sel!$P$7,$D92=Tab_sel!$O$24,$E92=Tab_sel!$N$31,$F92=Tab_sel!$B$45),1,"")</f>
        <v>#N/A</v>
      </c>
      <c r="BP92" s="354" t="e">
        <f>IF(AND($BC92=0,$C92=Tab_sel!$P$7,$D92=Tab_sel!$O$24,$E92=Tab_sel!$N$31,$F92=Tab_sel!$N$40,$I92=Tab_sel!$B$61),1,"")</f>
        <v>#N/A</v>
      </c>
      <c r="BQ92" s="355" t="e">
        <f>IF(AND($BC92=0,$C92=Tab_sel!$P$7,$D92=Tab_sel!$O$24,$E92=Tab_sel!$N$31,$F92=Tab_sel!$N$40,$I92=Tab_sel!$B$62),1,"")</f>
        <v>#N/A</v>
      </c>
      <c r="BR92" s="355" t="e">
        <f>IF(AND($BC92=0,$C92=Tab_sel!$P$7,$D92=Tab_sel!$O$24,$E92=Tab_sel!$N$31,$F92=Tab_sel!$N$40,$I92=Tab_sel!$B$63),1,"")</f>
        <v>#N/A</v>
      </c>
      <c r="BS92" s="355" t="e">
        <f>IF(AND($BC92=0,$C92=Tab_sel!$P$7,$D92=Tab_sel!$O$24,$E92=Tab_sel!$N$31,$F92=Tab_sel!$N$40,$I92=Tab_sel!$B$64),1,"")</f>
        <v>#N/A</v>
      </c>
      <c r="BT92" s="356" t="e">
        <f>IF(AND($BC92=0,$C92=Tab_sel!$P$7,$D92=Tab_sel!$O$24,$E92=Tab_sel!$N$31,$F92=Tab_sel!$N$40,$I92=Tab_sel!$B$65),1,"")</f>
        <v>#N/A</v>
      </c>
      <c r="BU92" s="856" t="e">
        <f>IF(AND($BC92=0,$C92=Tab_sel!$P$7,$D92=Tab_sel!$O$24,$E92=Tab_sel!$N$31,$F92=Tab_sel!$N$40,$I92=Tab_sel!$P$61,$H92=Tab_sel!$B$77),1,"")</f>
        <v>#N/A</v>
      </c>
      <c r="BV92" s="883" t="e">
        <f>IF(AND($BC92=0,$C92=Tab_sel!$P$7,$D92=Tab_sel!$O$24,$E92=Tab_sel!$N$31,$F92=Tab_sel!$N$40,$I92=Tab_sel!$P$61,$H92=Tab_sel!$B$78),1,"")</f>
        <v>#N/A</v>
      </c>
      <c r="BW92" s="883" t="e">
        <f>IF(AND($BC92=0,$C92=Tab_sel!$P$7,$D92=Tab_sel!$O$24,$E92=Tab_sel!$N$31,$F92=Tab_sel!$N$40,$I92=Tab_sel!$P$61,$H92=Tab_sel!$B$79),1,"")</f>
        <v>#N/A</v>
      </c>
      <c r="BX92" s="883" t="e">
        <f>IF(AND($BC92=0,$C92=Tab_sel!$P$7,$D92=Tab_sel!$O$24,$E92=Tab_sel!$N$31,$F92=Tab_sel!$N$40,$I92=Tab_sel!$P$61,$H92=Tab_sel!$B$80),1,"")</f>
        <v>#N/A</v>
      </c>
      <c r="BY92" s="883" t="e">
        <f>IF(AND($BC92=0,$C92=Tab_sel!$P$7,$D92=Tab_sel!$O$24,$E92=Tab_sel!$N$31,$F92=Tab_sel!$N$40,$I92=Tab_sel!$P$61,$H92=Tab_sel!$B$81),1,"")</f>
        <v>#N/A</v>
      </c>
      <c r="BZ92" s="857" t="e">
        <f>IF(AND($BC92=0,$C92=Tab_sel!$P$7,$D92=Tab_sel!$O$24,$E92=Tab_sel!$N$31,$F92=Tab_sel!$N$40,$I92=Tab_sel!$P$61,$H92=Tab_sel!$B$82),1,"")</f>
        <v>#N/A</v>
      </c>
      <c r="CA92" s="359"/>
      <c r="CC92">
        <f t="shared" si="30"/>
        <v>0</v>
      </c>
      <c r="CD92" s="882">
        <f t="shared" si="31"/>
        <v>0</v>
      </c>
      <c r="CE92" s="882">
        <f t="shared" si="32"/>
        <v>0</v>
      </c>
      <c r="CH92" t="s">
        <v>2629</v>
      </c>
    </row>
    <row r="93" spans="2:88" ht="26.4" x14ac:dyDescent="0.25">
      <c r="B93" s="791" t="s">
        <v>1998</v>
      </c>
      <c r="C93" s="771" t="s">
        <v>38</v>
      </c>
      <c r="D93" s="772" t="s">
        <v>34</v>
      </c>
      <c r="E93" s="771" t="str">
        <f>Det</f>
        <v>Données en transit</v>
      </c>
      <c r="F93" s="768" t="str">
        <f t="shared" si="42"/>
        <v>Divulgation de données</v>
      </c>
      <c r="G93" s="768" t="s">
        <v>1970</v>
      </c>
      <c r="H93" s="768"/>
      <c r="I93" s="771" t="s">
        <v>1944</v>
      </c>
      <c r="J93" s="769"/>
      <c r="K93" s="769" t="s">
        <v>2051</v>
      </c>
      <c r="L93" s="769"/>
      <c r="M93" s="792"/>
      <c r="N93" s="767"/>
      <c r="O93" s="767"/>
      <c r="P93" s="772"/>
      <c r="Q93" s="803"/>
      <c r="R93" s="803"/>
      <c r="S93" s="804"/>
      <c r="T93" s="772"/>
      <c r="U93" s="772"/>
      <c r="V93" s="805"/>
      <c r="W93" s="767"/>
      <c r="X93" s="767"/>
      <c r="Y93" s="772"/>
      <c r="Z93" s="772"/>
      <c r="AA93" s="772"/>
      <c r="AB93" s="805"/>
      <c r="AC93" s="806"/>
      <c r="AD93" s="806"/>
      <c r="AE93" s="806"/>
      <c r="AF93" s="806"/>
      <c r="AG93" s="806"/>
      <c r="AH93" s="805"/>
      <c r="AI93" s="807" t="str">
        <f t="shared" si="2"/>
        <v/>
      </c>
      <c r="AJ93" s="805"/>
      <c r="AK93" s="359"/>
      <c r="AM93" t="str">
        <f t="shared" si="34"/>
        <v/>
      </c>
      <c r="AN93">
        <f t="shared" si="35"/>
        <v>0</v>
      </c>
      <c r="AW93" s="882">
        <f t="shared" si="29"/>
        <v>0</v>
      </c>
      <c r="AX93" s="882">
        <f t="shared" si="38"/>
        <v>1</v>
      </c>
      <c r="AY93" s="882">
        <f t="shared" si="39"/>
        <v>1</v>
      </c>
      <c r="AZ93" s="927">
        <f t="shared" si="27"/>
        <v>1</v>
      </c>
      <c r="BA93" s="882">
        <v>1</v>
      </c>
      <c r="BB93" s="925">
        <f t="shared" si="36"/>
        <v>0</v>
      </c>
      <c r="BC93" s="882">
        <f t="shared" si="40"/>
        <v>1</v>
      </c>
      <c r="BD93" s="342" t="e">
        <f>IF(AND($BC93=0,C93=Tab_sel!$P$7,$D93=Tab_sel!$O$24,$E93=Tab_sel!$B$31),1,"")</f>
        <v>#N/A</v>
      </c>
      <c r="BE93" s="322" t="e">
        <f>IF(AND($BC93=0,C93=Tab_sel!$P$7,$D93=Tab_sel!$O$24,$E93=Tab_sel!$B$32),1,"")</f>
        <v>#N/A</v>
      </c>
      <c r="BF93" s="322" t="e">
        <f>IF(AND($BC93=0,C93=Tab_sel!$P$7,$D93=Tab_sel!$O$24,$E93=Tab_sel!$B$33),1,"")</f>
        <v>#N/A</v>
      </c>
      <c r="BG93" s="322" t="e">
        <f>IF(AND($BC93=0,C93=Tab_sel!$P$7,$D93=Tab_sel!$O$24,$E93=Tab_sel!$B$34),1,"")</f>
        <v>#N/A</v>
      </c>
      <c r="BH93" s="322" t="e">
        <f>IF(AND($BC93=0,C93=Tab_sel!$P$7,$D93=Tab_sel!$O$24,$E93=Tab_sel!$B$35),1,"")</f>
        <v>#N/A</v>
      </c>
      <c r="BI93" s="343" t="e">
        <f>IF(AND($BC93=0,C93=Tab_sel!$P$7,$D93=Tab_sel!$O$24,$E93=Tab_sel!$B$36),1,"")</f>
        <v>#N/A</v>
      </c>
      <c r="BJ93" s="342" t="e">
        <f>IF(AND($BC93=0,$C93=Tab_sel!$P$7,$D93=Tab_sel!$O$24,$E93=Tab_sel!$N$31,$F93=Tab_sel!$B$40),1,"")</f>
        <v>#N/A</v>
      </c>
      <c r="BK93" s="322" t="e">
        <f>IF(AND($BC93=0,$C93=Tab_sel!$P$7,$D93=Tab_sel!$O$24,$E93=Tab_sel!$N$31,$F93=Tab_sel!$B$41),1,"")</f>
        <v>#N/A</v>
      </c>
      <c r="BL93" s="322" t="e">
        <f>IF(AND($BC93=0,$C93=Tab_sel!$P$7,$D93=Tab_sel!$O$24,$E93=Tab_sel!$N$31,$F93=Tab_sel!$B$42),1,"")</f>
        <v>#N/A</v>
      </c>
      <c r="BM93" s="322" t="e">
        <f>IF(AND($BC93=0,$C93=Tab_sel!$P$7,$D93=Tab_sel!$O$24,$E93=Tab_sel!$N$31,$F93=Tab_sel!$B$43),1,"")</f>
        <v>#N/A</v>
      </c>
      <c r="BN93" s="322" t="e">
        <f>IF(AND($BC93=0,$C93=Tab_sel!$P$7,$D93=Tab_sel!$O$24,$E93=Tab_sel!$N$31,$F93=Tab_sel!$B$44),1,"")</f>
        <v>#N/A</v>
      </c>
      <c r="BO93" s="343" t="e">
        <f>IF(AND($BC93=0,$C93=Tab_sel!$P$7,$D93=Tab_sel!$O$24,$E93=Tab_sel!$N$31,$F93=Tab_sel!$B$45),1,"")</f>
        <v>#N/A</v>
      </c>
      <c r="BP93" s="354" t="e">
        <f>IF(AND($BC93=0,$C93=Tab_sel!$P$7,$D93=Tab_sel!$O$24,$E93=Tab_sel!$N$31,$F93=Tab_sel!$N$40,$I93=Tab_sel!$B$61),1,"")</f>
        <v>#N/A</v>
      </c>
      <c r="BQ93" s="355" t="e">
        <f>IF(AND($BC93=0,$C93=Tab_sel!$P$7,$D93=Tab_sel!$O$24,$E93=Tab_sel!$N$31,$F93=Tab_sel!$N$40,$I93=Tab_sel!$B$62),1,"")</f>
        <v>#N/A</v>
      </c>
      <c r="BR93" s="355" t="e">
        <f>IF(AND($BC93=0,$C93=Tab_sel!$P$7,$D93=Tab_sel!$O$24,$E93=Tab_sel!$N$31,$F93=Tab_sel!$N$40,$I93=Tab_sel!$B$63),1,"")</f>
        <v>#N/A</v>
      </c>
      <c r="BS93" s="355" t="e">
        <f>IF(AND($BC93=0,$C93=Tab_sel!$P$7,$D93=Tab_sel!$O$24,$E93=Tab_sel!$N$31,$F93=Tab_sel!$N$40,$I93=Tab_sel!$B$64),1,"")</f>
        <v>#N/A</v>
      </c>
      <c r="BT93" s="356" t="e">
        <f>IF(AND($BC93=0,$C93=Tab_sel!$P$7,$D93=Tab_sel!$O$24,$E93=Tab_sel!$N$31,$F93=Tab_sel!$N$40,$I93=Tab_sel!$B$65),1,"")</f>
        <v>#N/A</v>
      </c>
      <c r="BU93" s="856" t="e">
        <f>IF(AND($BC93=0,$C93=Tab_sel!$P$7,$D93=Tab_sel!$O$24,$E93=Tab_sel!$N$31,$F93=Tab_sel!$N$40,$I93=Tab_sel!$P$61,$H93=Tab_sel!$B$77),1,"")</f>
        <v>#N/A</v>
      </c>
      <c r="BV93" s="883" t="e">
        <f>IF(AND($BC93=0,$C93=Tab_sel!$P$7,$D93=Tab_sel!$O$24,$E93=Tab_sel!$N$31,$F93=Tab_sel!$N$40,$I93=Tab_sel!$P$61,$H93=Tab_sel!$B$78),1,"")</f>
        <v>#N/A</v>
      </c>
      <c r="BW93" s="883" t="e">
        <f>IF(AND($BC93=0,$C93=Tab_sel!$P$7,$D93=Tab_sel!$O$24,$E93=Tab_sel!$N$31,$F93=Tab_sel!$N$40,$I93=Tab_sel!$P$61,$H93=Tab_sel!$B$79),1,"")</f>
        <v>#N/A</v>
      </c>
      <c r="BX93" s="883" t="e">
        <f>IF(AND($BC93=0,$C93=Tab_sel!$P$7,$D93=Tab_sel!$O$24,$E93=Tab_sel!$N$31,$F93=Tab_sel!$N$40,$I93=Tab_sel!$P$61,$H93=Tab_sel!$B$80),1,"")</f>
        <v>#N/A</v>
      </c>
      <c r="BY93" s="883" t="e">
        <f>IF(AND($BC93=0,$C93=Tab_sel!$P$7,$D93=Tab_sel!$O$24,$E93=Tab_sel!$N$31,$F93=Tab_sel!$N$40,$I93=Tab_sel!$P$61,$H93=Tab_sel!$B$81),1,"")</f>
        <v>#N/A</v>
      </c>
      <c r="BZ93" s="857" t="e">
        <f>IF(AND($BC93=0,$C93=Tab_sel!$P$7,$D93=Tab_sel!$O$24,$E93=Tab_sel!$N$31,$F93=Tab_sel!$N$40,$I93=Tab_sel!$P$61,$H93=Tab_sel!$B$82),1,"")</f>
        <v>#N/A</v>
      </c>
      <c r="CA93" s="359"/>
      <c r="CC93">
        <f t="shared" si="30"/>
        <v>0</v>
      </c>
      <c r="CD93" s="882">
        <f t="shared" si="31"/>
        <v>0</v>
      </c>
      <c r="CE93" s="882">
        <f t="shared" si="32"/>
        <v>0</v>
      </c>
      <c r="CH93" t="s">
        <v>2703</v>
      </c>
    </row>
    <row r="94" spans="2:88" ht="52.8" x14ac:dyDescent="0.25">
      <c r="B94" s="791" t="s">
        <v>1999</v>
      </c>
      <c r="C94" s="771" t="s">
        <v>38</v>
      </c>
      <c r="D94" s="772" t="s">
        <v>34</v>
      </c>
      <c r="E94" s="771" t="str">
        <f>Det</f>
        <v>Données en transit</v>
      </c>
      <c r="F94" s="768" t="str">
        <f t="shared" si="42"/>
        <v>Divulgation de données</v>
      </c>
      <c r="G94" s="778" t="s">
        <v>2607</v>
      </c>
      <c r="H94" s="778"/>
      <c r="I94" s="771" t="s">
        <v>1202</v>
      </c>
      <c r="J94" s="769"/>
      <c r="K94" s="778" t="s">
        <v>1265</v>
      </c>
      <c r="L94" s="778"/>
      <c r="M94" s="824"/>
      <c r="N94" s="767"/>
      <c r="O94" s="767"/>
      <c r="P94" s="772"/>
      <c r="Q94" s="803"/>
      <c r="R94" s="803"/>
      <c r="S94" s="804"/>
      <c r="T94" s="772"/>
      <c r="U94" s="772"/>
      <c r="V94" s="805"/>
      <c r="W94" s="767"/>
      <c r="X94" s="767"/>
      <c r="Y94" s="772"/>
      <c r="Z94" s="772"/>
      <c r="AA94" s="772"/>
      <c r="AB94" s="805"/>
      <c r="AC94" s="806"/>
      <c r="AD94" s="806"/>
      <c r="AE94" s="806"/>
      <c r="AF94" s="806"/>
      <c r="AG94" s="806"/>
      <c r="AH94" s="805"/>
      <c r="AI94" s="807" t="str">
        <f t="shared" si="2"/>
        <v/>
      </c>
      <c r="AJ94" s="805"/>
      <c r="AK94" s="359"/>
      <c r="AM94" t="str">
        <f t="shared" si="34"/>
        <v/>
      </c>
      <c r="AN94">
        <f t="shared" si="35"/>
        <v>0</v>
      </c>
      <c r="AW94" s="882">
        <f t="shared" si="29"/>
        <v>0</v>
      </c>
      <c r="AX94" s="882">
        <f t="shared" si="38"/>
        <v>1</v>
      </c>
      <c r="AY94" s="882">
        <f t="shared" si="39"/>
        <v>1</v>
      </c>
      <c r="AZ94" s="927">
        <f t="shared" si="27"/>
        <v>1</v>
      </c>
      <c r="BA94" s="882">
        <v>1</v>
      </c>
      <c r="BB94" s="925">
        <f t="shared" si="36"/>
        <v>0</v>
      </c>
      <c r="BC94" s="882">
        <f t="shared" si="40"/>
        <v>1</v>
      </c>
      <c r="BD94" s="342" t="e">
        <f>IF(AND($BC94=0,C94=Tab_sel!$P$7,$D94=Tab_sel!$O$24,$E94=Tab_sel!$B$31),1,"")</f>
        <v>#N/A</v>
      </c>
      <c r="BE94" s="322" t="e">
        <f>IF(AND($BC94=0,C94=Tab_sel!$P$7,$D94=Tab_sel!$O$24,$E94=Tab_sel!$B$32),1,"")</f>
        <v>#N/A</v>
      </c>
      <c r="BF94" s="322" t="e">
        <f>IF(AND($BC94=0,C94=Tab_sel!$P$7,$D94=Tab_sel!$O$24,$E94=Tab_sel!$B$33),1,"")</f>
        <v>#N/A</v>
      </c>
      <c r="BG94" s="322" t="e">
        <f>IF(AND($BC94=0,C94=Tab_sel!$P$7,$D94=Tab_sel!$O$24,$E94=Tab_sel!$B$34),1,"")</f>
        <v>#N/A</v>
      </c>
      <c r="BH94" s="322" t="e">
        <f>IF(AND($BC94=0,C94=Tab_sel!$P$7,$D94=Tab_sel!$O$24,$E94=Tab_sel!$B$35),1,"")</f>
        <v>#N/A</v>
      </c>
      <c r="BI94" s="343" t="e">
        <f>IF(AND($BC94=0,C94=Tab_sel!$P$7,$D94=Tab_sel!$O$24,$E94=Tab_sel!$B$36),1,"")</f>
        <v>#N/A</v>
      </c>
      <c r="BJ94" s="342" t="e">
        <f>IF(AND($BC94=0,$C94=Tab_sel!$P$7,$D94=Tab_sel!$O$24,$E94=Tab_sel!$N$31,$F94=Tab_sel!$B$40),1,"")</f>
        <v>#N/A</v>
      </c>
      <c r="BK94" s="322" t="e">
        <f>IF(AND($BC94=0,$C94=Tab_sel!$P$7,$D94=Tab_sel!$O$24,$E94=Tab_sel!$N$31,$F94=Tab_sel!$B$41),1,"")</f>
        <v>#N/A</v>
      </c>
      <c r="BL94" s="322" t="e">
        <f>IF(AND($BC94=0,$C94=Tab_sel!$P$7,$D94=Tab_sel!$O$24,$E94=Tab_sel!$N$31,$F94=Tab_sel!$B$42),1,"")</f>
        <v>#N/A</v>
      </c>
      <c r="BM94" s="322" t="e">
        <f>IF(AND($BC94=0,$C94=Tab_sel!$P$7,$D94=Tab_sel!$O$24,$E94=Tab_sel!$N$31,$F94=Tab_sel!$B$43),1,"")</f>
        <v>#N/A</v>
      </c>
      <c r="BN94" s="322" t="e">
        <f>IF(AND($BC94=0,$C94=Tab_sel!$P$7,$D94=Tab_sel!$O$24,$E94=Tab_sel!$N$31,$F94=Tab_sel!$B$44),1,"")</f>
        <v>#N/A</v>
      </c>
      <c r="BO94" s="343" t="e">
        <f>IF(AND($BC94=0,$C94=Tab_sel!$P$7,$D94=Tab_sel!$O$24,$E94=Tab_sel!$N$31,$F94=Tab_sel!$B$45),1,"")</f>
        <v>#N/A</v>
      </c>
      <c r="BP94" s="354" t="e">
        <f>IF(AND($BC94=0,$C94=Tab_sel!$P$7,$D94=Tab_sel!$O$24,$E94=Tab_sel!$N$31,$F94=Tab_sel!$N$40,$I94=Tab_sel!$B$61),1,"")</f>
        <v>#N/A</v>
      </c>
      <c r="BQ94" s="355" t="e">
        <f>IF(AND($BC94=0,$C94=Tab_sel!$P$7,$D94=Tab_sel!$O$24,$E94=Tab_sel!$N$31,$F94=Tab_sel!$N$40,$I94=Tab_sel!$B$62),1,"")</f>
        <v>#N/A</v>
      </c>
      <c r="BR94" s="355" t="e">
        <f>IF(AND($BC94=0,$C94=Tab_sel!$P$7,$D94=Tab_sel!$O$24,$E94=Tab_sel!$N$31,$F94=Tab_sel!$N$40,$I94=Tab_sel!$B$63),1,"")</f>
        <v>#N/A</v>
      </c>
      <c r="BS94" s="355" t="e">
        <f>IF(AND($BC94=0,$C94=Tab_sel!$P$7,$D94=Tab_sel!$O$24,$E94=Tab_sel!$N$31,$F94=Tab_sel!$N$40,$I94=Tab_sel!$B$64),1,"")</f>
        <v>#N/A</v>
      </c>
      <c r="BT94" s="356" t="e">
        <f>IF(AND($BC94=0,$C94=Tab_sel!$P$7,$D94=Tab_sel!$O$24,$E94=Tab_sel!$N$31,$F94=Tab_sel!$N$40,$I94=Tab_sel!$B$65),1,"")</f>
        <v>#N/A</v>
      </c>
      <c r="BU94" s="856" t="e">
        <f>IF(AND($BC94=0,$C94=Tab_sel!$P$7,$D94=Tab_sel!$O$24,$E94=Tab_sel!$N$31,$F94=Tab_sel!$N$40,$I94=Tab_sel!$P$61,$H94=Tab_sel!$B$77),1,"")</f>
        <v>#N/A</v>
      </c>
      <c r="BV94" s="883" t="e">
        <f>IF(AND($BC94=0,$C94=Tab_sel!$P$7,$D94=Tab_sel!$O$24,$E94=Tab_sel!$N$31,$F94=Tab_sel!$N$40,$I94=Tab_sel!$P$61,$H94=Tab_sel!$B$78),1,"")</f>
        <v>#N/A</v>
      </c>
      <c r="BW94" s="883" t="e">
        <f>IF(AND($BC94=0,$C94=Tab_sel!$P$7,$D94=Tab_sel!$O$24,$E94=Tab_sel!$N$31,$F94=Tab_sel!$N$40,$I94=Tab_sel!$P$61,$H94=Tab_sel!$B$79),1,"")</f>
        <v>#N/A</v>
      </c>
      <c r="BX94" s="883" t="e">
        <f>IF(AND($BC94=0,$C94=Tab_sel!$P$7,$D94=Tab_sel!$O$24,$E94=Tab_sel!$N$31,$F94=Tab_sel!$N$40,$I94=Tab_sel!$P$61,$H94=Tab_sel!$B$80),1,"")</f>
        <v>#N/A</v>
      </c>
      <c r="BY94" s="883" t="e">
        <f>IF(AND($BC94=0,$C94=Tab_sel!$P$7,$D94=Tab_sel!$O$24,$E94=Tab_sel!$N$31,$F94=Tab_sel!$N$40,$I94=Tab_sel!$P$61,$H94=Tab_sel!$B$81),1,"")</f>
        <v>#N/A</v>
      </c>
      <c r="BZ94" s="857" t="e">
        <f>IF(AND($BC94=0,$C94=Tab_sel!$P$7,$D94=Tab_sel!$O$24,$E94=Tab_sel!$N$31,$F94=Tab_sel!$N$40,$I94=Tab_sel!$P$61,$H94=Tab_sel!$B$82),1,"")</f>
        <v>#N/A</v>
      </c>
      <c r="CA94" s="359"/>
      <c r="CC94">
        <f t="shared" si="30"/>
        <v>0</v>
      </c>
      <c r="CD94" s="882">
        <f t="shared" si="31"/>
        <v>0</v>
      </c>
      <c r="CE94" s="882">
        <f t="shared" si="32"/>
        <v>0</v>
      </c>
      <c r="CH94" t="s">
        <v>2636</v>
      </c>
    </row>
    <row r="95" spans="2:88" ht="52.8" x14ac:dyDescent="0.25">
      <c r="B95" s="791" t="s">
        <v>2000</v>
      </c>
      <c r="C95" s="771" t="s">
        <v>38</v>
      </c>
      <c r="D95" s="772" t="s">
        <v>34</v>
      </c>
      <c r="E95" s="771" t="str">
        <f>Det</f>
        <v>Données en transit</v>
      </c>
      <c r="F95" s="768" t="str">
        <f t="shared" si="42"/>
        <v>Divulgation de données</v>
      </c>
      <c r="G95" s="768" t="s">
        <v>1522</v>
      </c>
      <c r="H95" s="768"/>
      <c r="I95" s="771" t="s">
        <v>1770</v>
      </c>
      <c r="J95" s="769"/>
      <c r="K95" s="769" t="s">
        <v>1265</v>
      </c>
      <c r="L95" s="769"/>
      <c r="M95" s="792"/>
      <c r="N95" s="767"/>
      <c r="O95" s="767"/>
      <c r="P95" s="772"/>
      <c r="Q95" s="803"/>
      <c r="R95" s="803"/>
      <c r="S95" s="804"/>
      <c r="T95" s="772"/>
      <c r="U95" s="772"/>
      <c r="V95" s="805"/>
      <c r="W95" s="767"/>
      <c r="X95" s="767"/>
      <c r="Y95" s="772"/>
      <c r="Z95" s="772"/>
      <c r="AA95" s="772"/>
      <c r="AB95" s="805"/>
      <c r="AC95" s="806"/>
      <c r="AD95" s="806"/>
      <c r="AE95" s="806"/>
      <c r="AF95" s="806"/>
      <c r="AG95" s="806"/>
      <c r="AH95" s="805"/>
      <c r="AI95" s="807" t="str">
        <f t="shared" si="2"/>
        <v/>
      </c>
      <c r="AJ95" s="805"/>
      <c r="AK95" s="359"/>
      <c r="AM95" t="str">
        <f t="shared" si="34"/>
        <v/>
      </c>
      <c r="AN95">
        <f t="shared" si="35"/>
        <v>0</v>
      </c>
      <c r="AW95" s="882">
        <f t="shared" si="29"/>
        <v>0</v>
      </c>
      <c r="AX95" s="882">
        <f t="shared" si="38"/>
        <v>1</v>
      </c>
      <c r="AY95" s="882">
        <f t="shared" si="39"/>
        <v>1</v>
      </c>
      <c r="AZ95" s="927">
        <f t="shared" si="27"/>
        <v>1</v>
      </c>
      <c r="BA95" s="882">
        <v>1</v>
      </c>
      <c r="BB95" s="925">
        <f t="shared" si="36"/>
        <v>0</v>
      </c>
      <c r="BC95" s="882">
        <f t="shared" si="40"/>
        <v>1</v>
      </c>
      <c r="BD95" s="342" t="e">
        <f>IF(AND($BC95=0,C95=Tab_sel!$P$7,$D95=Tab_sel!$O$24,$E95=Tab_sel!$B$31),1,"")</f>
        <v>#N/A</v>
      </c>
      <c r="BE95" s="322" t="e">
        <f>IF(AND($BC95=0,C95=Tab_sel!$P$7,$D95=Tab_sel!$O$24,$E95=Tab_sel!$B$32),1,"")</f>
        <v>#N/A</v>
      </c>
      <c r="BF95" s="322" t="e">
        <f>IF(AND($BC95=0,C95=Tab_sel!$P$7,$D95=Tab_sel!$O$24,$E95=Tab_sel!$B$33),1,"")</f>
        <v>#N/A</v>
      </c>
      <c r="BG95" s="322" t="e">
        <f>IF(AND($BC95=0,C95=Tab_sel!$P$7,$D95=Tab_sel!$O$24,$E95=Tab_sel!$B$34),1,"")</f>
        <v>#N/A</v>
      </c>
      <c r="BH95" s="322" t="e">
        <f>IF(AND($BC95=0,C95=Tab_sel!$P$7,$D95=Tab_sel!$O$24,$E95=Tab_sel!$B$35),1,"")</f>
        <v>#N/A</v>
      </c>
      <c r="BI95" s="343" t="e">
        <f>IF(AND($BC95=0,C95=Tab_sel!$P$7,$D95=Tab_sel!$O$24,$E95=Tab_sel!$B$36),1,"")</f>
        <v>#N/A</v>
      </c>
      <c r="BJ95" s="342" t="e">
        <f>IF(AND($BC95=0,$C95=Tab_sel!$P$7,$D95=Tab_sel!$O$24,$E95=Tab_sel!$N$31,$F95=Tab_sel!$B$40),1,"")</f>
        <v>#N/A</v>
      </c>
      <c r="BK95" s="322" t="e">
        <f>IF(AND($BC95=0,$C95=Tab_sel!$P$7,$D95=Tab_sel!$O$24,$E95=Tab_sel!$N$31,$F95=Tab_sel!$B$41),1,"")</f>
        <v>#N/A</v>
      </c>
      <c r="BL95" s="322" t="e">
        <f>IF(AND($BC95=0,$C95=Tab_sel!$P$7,$D95=Tab_sel!$O$24,$E95=Tab_sel!$N$31,$F95=Tab_sel!$B$42),1,"")</f>
        <v>#N/A</v>
      </c>
      <c r="BM95" s="322" t="e">
        <f>IF(AND($BC95=0,$C95=Tab_sel!$P$7,$D95=Tab_sel!$O$24,$E95=Tab_sel!$N$31,$F95=Tab_sel!$B$43),1,"")</f>
        <v>#N/A</v>
      </c>
      <c r="BN95" s="322" t="e">
        <f>IF(AND($BC95=0,$C95=Tab_sel!$P$7,$D95=Tab_sel!$O$24,$E95=Tab_sel!$N$31,$F95=Tab_sel!$B$44),1,"")</f>
        <v>#N/A</v>
      </c>
      <c r="BO95" s="343" t="e">
        <f>IF(AND($BC95=0,$C95=Tab_sel!$P$7,$D95=Tab_sel!$O$24,$E95=Tab_sel!$N$31,$F95=Tab_sel!$B$45),1,"")</f>
        <v>#N/A</v>
      </c>
      <c r="BP95" s="354" t="e">
        <f>IF(AND($BC95=0,$C95=Tab_sel!$P$7,$D95=Tab_sel!$O$24,$E95=Tab_sel!$N$31,$F95=Tab_sel!$N$40,$I95=Tab_sel!$B$61),1,"")</f>
        <v>#N/A</v>
      </c>
      <c r="BQ95" s="355" t="e">
        <f>IF(AND($BC95=0,$C95=Tab_sel!$P$7,$D95=Tab_sel!$O$24,$E95=Tab_sel!$N$31,$F95=Tab_sel!$N$40,$I95=Tab_sel!$B$62),1,"")</f>
        <v>#N/A</v>
      </c>
      <c r="BR95" s="355" t="e">
        <f>IF(AND($BC95=0,$C95=Tab_sel!$P$7,$D95=Tab_sel!$O$24,$E95=Tab_sel!$N$31,$F95=Tab_sel!$N$40,$I95=Tab_sel!$B$63),1,"")</f>
        <v>#N/A</v>
      </c>
      <c r="BS95" s="355" t="e">
        <f>IF(AND($BC95=0,$C95=Tab_sel!$P$7,$D95=Tab_sel!$O$24,$E95=Tab_sel!$N$31,$F95=Tab_sel!$N$40,$I95=Tab_sel!$B$64),1,"")</f>
        <v>#N/A</v>
      </c>
      <c r="BT95" s="356" t="e">
        <f>IF(AND($BC95=0,$C95=Tab_sel!$P$7,$D95=Tab_sel!$O$24,$E95=Tab_sel!$N$31,$F95=Tab_sel!$N$40,$I95=Tab_sel!$B$65),1,"")</f>
        <v>#N/A</v>
      </c>
      <c r="BU95" s="856" t="e">
        <f>IF(AND($BC95=0,$C95=Tab_sel!$P$7,$D95=Tab_sel!$O$24,$E95=Tab_sel!$N$31,$F95=Tab_sel!$N$40,$I95=Tab_sel!$P$61,$H95=Tab_sel!$B$77),1,"")</f>
        <v>#N/A</v>
      </c>
      <c r="BV95" s="883" t="e">
        <f>IF(AND($BC95=0,$C95=Tab_sel!$P$7,$D95=Tab_sel!$O$24,$E95=Tab_sel!$N$31,$F95=Tab_sel!$N$40,$I95=Tab_sel!$P$61,$H95=Tab_sel!$B$78),1,"")</f>
        <v>#N/A</v>
      </c>
      <c r="BW95" s="883" t="e">
        <f>IF(AND($BC95=0,$C95=Tab_sel!$P$7,$D95=Tab_sel!$O$24,$E95=Tab_sel!$N$31,$F95=Tab_sel!$N$40,$I95=Tab_sel!$P$61,$H95=Tab_sel!$B$79),1,"")</f>
        <v>#N/A</v>
      </c>
      <c r="BX95" s="883" t="e">
        <f>IF(AND($BC95=0,$C95=Tab_sel!$P$7,$D95=Tab_sel!$O$24,$E95=Tab_sel!$N$31,$F95=Tab_sel!$N$40,$I95=Tab_sel!$P$61,$H95=Tab_sel!$B$80),1,"")</f>
        <v>#N/A</v>
      </c>
      <c r="BY95" s="883" t="e">
        <f>IF(AND($BC95=0,$C95=Tab_sel!$P$7,$D95=Tab_sel!$O$24,$E95=Tab_sel!$N$31,$F95=Tab_sel!$N$40,$I95=Tab_sel!$P$61,$H95=Tab_sel!$B$81),1,"")</f>
        <v>#N/A</v>
      </c>
      <c r="BZ95" s="857" t="e">
        <f>IF(AND($BC95=0,$C95=Tab_sel!$P$7,$D95=Tab_sel!$O$24,$E95=Tab_sel!$N$31,$F95=Tab_sel!$N$40,$I95=Tab_sel!$P$61,$H95=Tab_sel!$B$82),1,"")</f>
        <v>#N/A</v>
      </c>
      <c r="CA95" s="359"/>
      <c r="CC95">
        <f t="shared" si="30"/>
        <v>0</v>
      </c>
      <c r="CD95" s="882">
        <f t="shared" si="31"/>
        <v>0</v>
      </c>
      <c r="CE95" s="882">
        <f t="shared" si="32"/>
        <v>0</v>
      </c>
      <c r="CH95" t="s">
        <v>2636</v>
      </c>
    </row>
    <row r="96" spans="2:88" ht="39" customHeight="1" x14ac:dyDescent="0.25">
      <c r="B96" s="791" t="s">
        <v>2001</v>
      </c>
      <c r="C96" s="771" t="s">
        <v>38</v>
      </c>
      <c r="D96" s="772" t="s">
        <v>34</v>
      </c>
      <c r="E96" s="771" t="str">
        <f>Det</f>
        <v>Données en transit</v>
      </c>
      <c r="F96" s="768" t="str">
        <f t="shared" si="42"/>
        <v>Divulgation de données</v>
      </c>
      <c r="G96" s="768" t="s">
        <v>1521</v>
      </c>
      <c r="H96" s="768"/>
      <c r="I96" s="771" t="s">
        <v>1810</v>
      </c>
      <c r="J96" s="769" t="s">
        <v>2373</v>
      </c>
      <c r="K96" s="769" t="s">
        <v>2457</v>
      </c>
      <c r="L96" s="769"/>
      <c r="M96" s="792"/>
      <c r="N96" s="767"/>
      <c r="O96" s="767"/>
      <c r="P96" s="772"/>
      <c r="Q96" s="803"/>
      <c r="R96" s="803"/>
      <c r="S96" s="804"/>
      <c r="T96" s="772"/>
      <c r="U96" s="772"/>
      <c r="V96" s="805"/>
      <c r="W96" s="767"/>
      <c r="X96" s="767"/>
      <c r="Y96" s="772"/>
      <c r="Z96" s="772"/>
      <c r="AA96" s="772"/>
      <c r="AB96" s="805"/>
      <c r="AC96" s="806"/>
      <c r="AD96" s="806"/>
      <c r="AE96" s="806"/>
      <c r="AF96" s="806"/>
      <c r="AG96" s="806"/>
      <c r="AH96" s="805"/>
      <c r="AI96" s="807" t="str">
        <f t="shared" si="2"/>
        <v/>
      </c>
      <c r="AJ96" s="805"/>
      <c r="AK96" s="359"/>
      <c r="AM96" t="str">
        <f t="shared" si="34"/>
        <v/>
      </c>
      <c r="AN96">
        <f t="shared" si="35"/>
        <v>0</v>
      </c>
      <c r="AW96" s="882">
        <f t="shared" si="29"/>
        <v>0</v>
      </c>
      <c r="AX96" s="882">
        <f t="shared" si="38"/>
        <v>1</v>
      </c>
      <c r="AY96" s="882">
        <f t="shared" si="39"/>
        <v>1</v>
      </c>
      <c r="AZ96" s="927">
        <f t="shared" si="27"/>
        <v>1</v>
      </c>
      <c r="BA96" s="882">
        <v>1</v>
      </c>
      <c r="BB96" s="925">
        <f t="shared" si="36"/>
        <v>0</v>
      </c>
      <c r="BC96" s="882">
        <f t="shared" si="40"/>
        <v>1</v>
      </c>
      <c r="BD96" s="342" t="e">
        <f>IF(AND($BC96=0,C96=Tab_sel!$P$7,$D96=Tab_sel!$O$24,$E96=Tab_sel!$B$31),1,"")</f>
        <v>#N/A</v>
      </c>
      <c r="BE96" s="322" t="e">
        <f>IF(AND($BC96=0,C96=Tab_sel!$P$7,$D96=Tab_sel!$O$24,$E96=Tab_sel!$B$32),1,"")</f>
        <v>#N/A</v>
      </c>
      <c r="BF96" s="322" t="e">
        <f>IF(AND($BC96=0,C96=Tab_sel!$P$7,$D96=Tab_sel!$O$24,$E96=Tab_sel!$B$33),1,"")</f>
        <v>#N/A</v>
      </c>
      <c r="BG96" s="322" t="e">
        <f>IF(AND($BC96=0,C96=Tab_sel!$P$7,$D96=Tab_sel!$O$24,$E96=Tab_sel!$B$34),1,"")</f>
        <v>#N/A</v>
      </c>
      <c r="BH96" s="322" t="e">
        <f>IF(AND($BC96=0,C96=Tab_sel!$P$7,$D96=Tab_sel!$O$24,$E96=Tab_sel!$B$35),1,"")</f>
        <v>#N/A</v>
      </c>
      <c r="BI96" s="343" t="e">
        <f>IF(AND($BC96=0,C96=Tab_sel!$P$7,$D96=Tab_sel!$O$24,$E96=Tab_sel!$B$36),1,"")</f>
        <v>#N/A</v>
      </c>
      <c r="BJ96" s="342" t="e">
        <f>IF(AND($BC96=0,$C96=Tab_sel!$P$7,$D96=Tab_sel!$O$24,$E96=Tab_sel!$N$31,$F96=Tab_sel!$B$40),1,"")</f>
        <v>#N/A</v>
      </c>
      <c r="BK96" s="322" t="e">
        <f>IF(AND($BC96=0,$C96=Tab_sel!$P$7,$D96=Tab_sel!$O$24,$E96=Tab_sel!$N$31,$F96=Tab_sel!$B$41),1,"")</f>
        <v>#N/A</v>
      </c>
      <c r="BL96" s="322" t="e">
        <f>IF(AND($BC96=0,$C96=Tab_sel!$P$7,$D96=Tab_sel!$O$24,$E96=Tab_sel!$N$31,$F96=Tab_sel!$B$42),1,"")</f>
        <v>#N/A</v>
      </c>
      <c r="BM96" s="322" t="e">
        <f>IF(AND($BC96=0,$C96=Tab_sel!$P$7,$D96=Tab_sel!$O$24,$E96=Tab_sel!$N$31,$F96=Tab_sel!$B$43),1,"")</f>
        <v>#N/A</v>
      </c>
      <c r="BN96" s="322" t="e">
        <f>IF(AND($BC96=0,$C96=Tab_sel!$P$7,$D96=Tab_sel!$O$24,$E96=Tab_sel!$N$31,$F96=Tab_sel!$B$44),1,"")</f>
        <v>#N/A</v>
      </c>
      <c r="BO96" s="343" t="e">
        <f>IF(AND($BC96=0,$C96=Tab_sel!$P$7,$D96=Tab_sel!$O$24,$E96=Tab_sel!$N$31,$F96=Tab_sel!$B$45),1,"")</f>
        <v>#N/A</v>
      </c>
      <c r="BP96" s="354" t="e">
        <f>IF(AND($BC96=0,$C96=Tab_sel!$P$7,$D96=Tab_sel!$O$24,$E96=Tab_sel!$N$31,$F96=Tab_sel!$N$40,$I96=Tab_sel!$B$61),1,"")</f>
        <v>#N/A</v>
      </c>
      <c r="BQ96" s="355" t="e">
        <f>IF(AND($BC96=0,$C96=Tab_sel!$P$7,$D96=Tab_sel!$O$24,$E96=Tab_sel!$N$31,$F96=Tab_sel!$N$40,$I96=Tab_sel!$B$62),1,"")</f>
        <v>#N/A</v>
      </c>
      <c r="BR96" s="355" t="e">
        <f>IF(AND($BC96=0,$C96=Tab_sel!$P$7,$D96=Tab_sel!$O$24,$E96=Tab_sel!$N$31,$F96=Tab_sel!$N$40,$I96=Tab_sel!$B$63),1,"")</f>
        <v>#N/A</v>
      </c>
      <c r="BS96" s="355" t="e">
        <f>IF(AND($BC96=0,$C96=Tab_sel!$P$7,$D96=Tab_sel!$O$24,$E96=Tab_sel!$N$31,$F96=Tab_sel!$N$40,$I96=Tab_sel!$B$64),1,"")</f>
        <v>#N/A</v>
      </c>
      <c r="BT96" s="356" t="e">
        <f>IF(AND($BC96=0,$C96=Tab_sel!$P$7,$D96=Tab_sel!$O$24,$E96=Tab_sel!$N$31,$F96=Tab_sel!$N$40,$I96=Tab_sel!$B$65),1,"")</f>
        <v>#N/A</v>
      </c>
      <c r="BU96" s="856" t="e">
        <f>IF(AND($BC96=0,$C96=Tab_sel!$P$7,$D96=Tab_sel!$O$24,$E96=Tab_sel!$N$31,$F96=Tab_sel!$N$40,$I96=Tab_sel!$P$61,$H96=Tab_sel!$B$77),1,"")</f>
        <v>#N/A</v>
      </c>
      <c r="BV96" s="883" t="e">
        <f>IF(AND($BC96=0,$C96=Tab_sel!$P$7,$D96=Tab_sel!$O$24,$E96=Tab_sel!$N$31,$F96=Tab_sel!$N$40,$I96=Tab_sel!$P$61,$H96=Tab_sel!$B$78),1,"")</f>
        <v>#N/A</v>
      </c>
      <c r="BW96" s="883" t="e">
        <f>IF(AND($BC96=0,$C96=Tab_sel!$P$7,$D96=Tab_sel!$O$24,$E96=Tab_sel!$N$31,$F96=Tab_sel!$N$40,$I96=Tab_sel!$P$61,$H96=Tab_sel!$B$79),1,"")</f>
        <v>#N/A</v>
      </c>
      <c r="BX96" s="883" t="e">
        <f>IF(AND($BC96=0,$C96=Tab_sel!$P$7,$D96=Tab_sel!$O$24,$E96=Tab_sel!$N$31,$F96=Tab_sel!$N$40,$I96=Tab_sel!$P$61,$H96=Tab_sel!$B$80),1,"")</f>
        <v>#N/A</v>
      </c>
      <c r="BY96" s="883" t="e">
        <f>IF(AND($BC96=0,$C96=Tab_sel!$P$7,$D96=Tab_sel!$O$24,$E96=Tab_sel!$N$31,$F96=Tab_sel!$N$40,$I96=Tab_sel!$P$61,$H96=Tab_sel!$B$81),1,"")</f>
        <v>#N/A</v>
      </c>
      <c r="BZ96" s="857" t="e">
        <f>IF(AND($BC96=0,$C96=Tab_sel!$P$7,$D96=Tab_sel!$O$24,$E96=Tab_sel!$N$31,$F96=Tab_sel!$N$40,$I96=Tab_sel!$P$61,$H96=Tab_sel!$B$82),1,"")</f>
        <v>#N/A</v>
      </c>
      <c r="CA96" s="359"/>
      <c r="CC96">
        <f t="shared" si="30"/>
        <v>0</v>
      </c>
      <c r="CD96" s="882">
        <f t="shared" si="31"/>
        <v>0</v>
      </c>
      <c r="CE96" s="882">
        <f t="shared" si="32"/>
        <v>0</v>
      </c>
      <c r="CG96" t="s">
        <v>2634</v>
      </c>
      <c r="CH96" t="s">
        <v>2651</v>
      </c>
    </row>
    <row r="97" spans="2:87" ht="39" customHeight="1" x14ac:dyDescent="0.25">
      <c r="B97" s="791" t="s">
        <v>2002</v>
      </c>
      <c r="C97" s="771" t="s">
        <v>38</v>
      </c>
      <c r="D97" s="772" t="s">
        <v>34</v>
      </c>
      <c r="E97" s="771" t="str">
        <f>Med</f>
        <v>Media support de données</v>
      </c>
      <c r="F97" s="768" t="str">
        <f t="shared" si="42"/>
        <v>Divulgation de données</v>
      </c>
      <c r="G97" s="768" t="s">
        <v>1077</v>
      </c>
      <c r="H97" s="768"/>
      <c r="I97" s="771" t="s">
        <v>1204</v>
      </c>
      <c r="J97" s="877" t="s">
        <v>2373</v>
      </c>
      <c r="K97" s="769" t="s">
        <v>2528</v>
      </c>
      <c r="L97" s="769"/>
      <c r="M97" s="795"/>
      <c r="N97" s="767"/>
      <c r="O97" s="767"/>
      <c r="P97" s="772"/>
      <c r="Q97" s="803"/>
      <c r="R97" s="803"/>
      <c r="S97" s="804"/>
      <c r="T97" s="772"/>
      <c r="U97" s="772"/>
      <c r="V97" s="805"/>
      <c r="W97" s="767"/>
      <c r="X97" s="767"/>
      <c r="Y97" s="772"/>
      <c r="Z97" s="772"/>
      <c r="AA97" s="772"/>
      <c r="AB97" s="805"/>
      <c r="AC97" s="806"/>
      <c r="AD97" s="806"/>
      <c r="AE97" s="806"/>
      <c r="AF97" s="806"/>
      <c r="AG97" s="806"/>
      <c r="AH97" s="805"/>
      <c r="AI97" s="807" t="str">
        <f t="shared" si="2"/>
        <v/>
      </c>
      <c r="AJ97" s="805"/>
      <c r="AK97" s="359"/>
      <c r="AM97" t="str">
        <f t="shared" si="34"/>
        <v/>
      </c>
      <c r="AN97">
        <f t="shared" si="35"/>
        <v>0</v>
      </c>
      <c r="AW97" s="882">
        <f t="shared" si="29"/>
        <v>0</v>
      </c>
      <c r="AX97" s="882">
        <f t="shared" si="38"/>
        <v>1</v>
      </c>
      <c r="AY97" s="882">
        <f t="shared" si="39"/>
        <v>1</v>
      </c>
      <c r="AZ97" s="927">
        <f t="shared" si="27"/>
        <v>1</v>
      </c>
      <c r="BA97" s="882">
        <v>1</v>
      </c>
      <c r="BB97" s="925">
        <f t="shared" si="36"/>
        <v>0</v>
      </c>
      <c r="BC97" s="882">
        <f t="shared" si="40"/>
        <v>1</v>
      </c>
      <c r="BD97" s="342" t="e">
        <f>IF(AND($BC97=0,C97=Tab_sel!$P$7,$D97=Tab_sel!$O$24,$E97=Tab_sel!$B$31),1,"")</f>
        <v>#N/A</v>
      </c>
      <c r="BE97" s="322" t="e">
        <f>IF(AND($BC97=0,C97=Tab_sel!$P$7,$D97=Tab_sel!$O$24,$E97=Tab_sel!$B$32),1,"")</f>
        <v>#N/A</v>
      </c>
      <c r="BF97" s="322" t="e">
        <f>IF(AND($BC97=0,C97=Tab_sel!$P$7,$D97=Tab_sel!$O$24,$E97=Tab_sel!$B$33),1,"")</f>
        <v>#N/A</v>
      </c>
      <c r="BG97" s="322" t="e">
        <f>IF(AND($BC97=0,C97=Tab_sel!$P$7,$D97=Tab_sel!$O$24,$E97=Tab_sel!$B$34),1,"")</f>
        <v>#N/A</v>
      </c>
      <c r="BH97" s="322" t="e">
        <f>IF(AND($BC97=0,C97=Tab_sel!$P$7,$D97=Tab_sel!$O$24,$E97=Tab_sel!$B$35),1,"")</f>
        <v>#N/A</v>
      </c>
      <c r="BI97" s="343" t="e">
        <f>IF(AND($BC97=0,C97=Tab_sel!$P$7,$D97=Tab_sel!$O$24,$E97=Tab_sel!$B$36),1,"")</f>
        <v>#N/A</v>
      </c>
      <c r="BJ97" s="342" t="e">
        <f>IF(AND($BC97=0,$C97=Tab_sel!$P$7,$D97=Tab_sel!$O$24,$E97=Tab_sel!$N$31,$F97=Tab_sel!$B$40),1,"")</f>
        <v>#N/A</v>
      </c>
      <c r="BK97" s="322" t="e">
        <f>IF(AND($BC97=0,$C97=Tab_sel!$P$7,$D97=Tab_sel!$O$24,$E97=Tab_sel!$N$31,$F97=Tab_sel!$B$41),1,"")</f>
        <v>#N/A</v>
      </c>
      <c r="BL97" s="322" t="e">
        <f>IF(AND($BC97=0,$C97=Tab_sel!$P$7,$D97=Tab_sel!$O$24,$E97=Tab_sel!$N$31,$F97=Tab_sel!$B$42),1,"")</f>
        <v>#N/A</v>
      </c>
      <c r="BM97" s="322" t="e">
        <f>IF(AND($BC97=0,$C97=Tab_sel!$P$7,$D97=Tab_sel!$O$24,$E97=Tab_sel!$N$31,$F97=Tab_sel!$B$43),1,"")</f>
        <v>#N/A</v>
      </c>
      <c r="BN97" s="322" t="e">
        <f>IF(AND($BC97=0,$C97=Tab_sel!$P$7,$D97=Tab_sel!$O$24,$E97=Tab_sel!$N$31,$F97=Tab_sel!$B$44),1,"")</f>
        <v>#N/A</v>
      </c>
      <c r="BO97" s="343" t="e">
        <f>IF(AND($BC97=0,$C97=Tab_sel!$P$7,$D97=Tab_sel!$O$24,$E97=Tab_sel!$N$31,$F97=Tab_sel!$B$45),1,"")</f>
        <v>#N/A</v>
      </c>
      <c r="BP97" s="354" t="e">
        <f>IF(AND($BC97=0,$C97=Tab_sel!$P$7,$D97=Tab_sel!$O$24,$E97=Tab_sel!$N$31,$F97=Tab_sel!$N$40,$I97=Tab_sel!$B$61),1,"")</f>
        <v>#N/A</v>
      </c>
      <c r="BQ97" s="355" t="e">
        <f>IF(AND($BC97=0,$C97=Tab_sel!$P$7,$D97=Tab_sel!$O$24,$E97=Tab_sel!$N$31,$F97=Tab_sel!$N$40,$I97=Tab_sel!$B$62),1,"")</f>
        <v>#N/A</v>
      </c>
      <c r="BR97" s="355" t="e">
        <f>IF(AND($BC97=0,$C97=Tab_sel!$P$7,$D97=Tab_sel!$O$24,$E97=Tab_sel!$N$31,$F97=Tab_sel!$N$40,$I97=Tab_sel!$B$63),1,"")</f>
        <v>#N/A</v>
      </c>
      <c r="BS97" s="355" t="e">
        <f>IF(AND($BC97=0,$C97=Tab_sel!$P$7,$D97=Tab_sel!$O$24,$E97=Tab_sel!$N$31,$F97=Tab_sel!$N$40,$I97=Tab_sel!$B$64),1,"")</f>
        <v>#N/A</v>
      </c>
      <c r="BT97" s="356" t="e">
        <f>IF(AND($BC97=0,$C97=Tab_sel!$P$7,$D97=Tab_sel!$O$24,$E97=Tab_sel!$N$31,$F97=Tab_sel!$N$40,$I97=Tab_sel!$B$65),1,"")</f>
        <v>#N/A</v>
      </c>
      <c r="BU97" s="856" t="e">
        <f>IF(AND($BC97=0,$C97=Tab_sel!$P$7,$D97=Tab_sel!$O$24,$E97=Tab_sel!$N$31,$F97=Tab_sel!$N$40,$I97=Tab_sel!$P$61,$H97=Tab_sel!$B$77),1,"")</f>
        <v>#N/A</v>
      </c>
      <c r="BV97" s="883" t="e">
        <f>IF(AND($BC97=0,$C97=Tab_sel!$P$7,$D97=Tab_sel!$O$24,$E97=Tab_sel!$N$31,$F97=Tab_sel!$N$40,$I97=Tab_sel!$P$61,$H97=Tab_sel!$B$78),1,"")</f>
        <v>#N/A</v>
      </c>
      <c r="BW97" s="883" t="e">
        <f>IF(AND($BC97=0,$C97=Tab_sel!$P$7,$D97=Tab_sel!$O$24,$E97=Tab_sel!$N$31,$F97=Tab_sel!$N$40,$I97=Tab_sel!$P$61,$H97=Tab_sel!$B$79),1,"")</f>
        <v>#N/A</v>
      </c>
      <c r="BX97" s="883" t="e">
        <f>IF(AND($BC97=0,$C97=Tab_sel!$P$7,$D97=Tab_sel!$O$24,$E97=Tab_sel!$N$31,$F97=Tab_sel!$N$40,$I97=Tab_sel!$P$61,$H97=Tab_sel!$B$80),1,"")</f>
        <v>#N/A</v>
      </c>
      <c r="BY97" s="883" t="e">
        <f>IF(AND($BC97=0,$C97=Tab_sel!$P$7,$D97=Tab_sel!$O$24,$E97=Tab_sel!$N$31,$F97=Tab_sel!$N$40,$I97=Tab_sel!$P$61,$H97=Tab_sel!$B$81),1,"")</f>
        <v>#N/A</v>
      </c>
      <c r="BZ97" s="857" t="e">
        <f>IF(AND($BC97=0,$C97=Tab_sel!$P$7,$D97=Tab_sel!$O$24,$E97=Tab_sel!$N$31,$F97=Tab_sel!$N$40,$I97=Tab_sel!$P$61,$H97=Tab_sel!$B$82),1,"")</f>
        <v>#N/A</v>
      </c>
      <c r="CA97" s="359"/>
      <c r="CC97">
        <f t="shared" si="30"/>
        <v>0</v>
      </c>
      <c r="CD97" s="882">
        <f t="shared" si="31"/>
        <v>0</v>
      </c>
      <c r="CE97" s="882">
        <f t="shared" si="32"/>
        <v>0</v>
      </c>
      <c r="CG97" t="s">
        <v>2634</v>
      </c>
      <c r="CH97" t="s">
        <v>2797</v>
      </c>
    </row>
    <row r="98" spans="2:87" ht="39" customHeight="1" x14ac:dyDescent="0.25">
      <c r="B98" s="791" t="s">
        <v>2394</v>
      </c>
      <c r="C98" s="874" t="s">
        <v>38</v>
      </c>
      <c r="D98" s="875" t="s">
        <v>34</v>
      </c>
      <c r="E98" s="771" t="str">
        <f>Med</f>
        <v>Media support de données</v>
      </c>
      <c r="F98" s="768" t="str">
        <f t="shared" si="42"/>
        <v>Divulgation de données</v>
      </c>
      <c r="G98" s="876" t="s">
        <v>1077</v>
      </c>
      <c r="H98" s="876" t="s">
        <v>2510</v>
      </c>
      <c r="I98" s="874" t="s">
        <v>1204</v>
      </c>
      <c r="J98" s="877" t="s">
        <v>2373</v>
      </c>
      <c r="K98" s="877" t="s">
        <v>1318</v>
      </c>
      <c r="L98" s="877"/>
      <c r="M98" s="795"/>
      <c r="N98" s="851"/>
      <c r="O98" s="851"/>
      <c r="P98" s="875"/>
      <c r="Q98" s="803"/>
      <c r="R98" s="803"/>
      <c r="S98" s="804"/>
      <c r="T98" s="875"/>
      <c r="U98" s="875"/>
      <c r="V98" s="805"/>
      <c r="W98" s="851"/>
      <c r="X98" s="851"/>
      <c r="Y98" s="875"/>
      <c r="Z98" s="875"/>
      <c r="AA98" s="875"/>
      <c r="AB98" s="805"/>
      <c r="AC98" s="806"/>
      <c r="AD98" s="806"/>
      <c r="AE98" s="806"/>
      <c r="AF98" s="806"/>
      <c r="AG98" s="806"/>
      <c r="AH98" s="805"/>
      <c r="AI98" s="807" t="str">
        <f t="shared" si="2"/>
        <v/>
      </c>
      <c r="AJ98" s="805"/>
      <c r="AK98" s="359"/>
      <c r="AM98" t="str">
        <f t="shared" si="34"/>
        <v/>
      </c>
      <c r="AN98">
        <f t="shared" si="35"/>
        <v>0</v>
      </c>
      <c r="AV98" s="882"/>
      <c r="AW98" s="882">
        <f t="shared" si="29"/>
        <v>0</v>
      </c>
      <c r="AX98" s="882">
        <f t="shared" si="38"/>
        <v>1</v>
      </c>
      <c r="AY98" s="882">
        <f t="shared" si="39"/>
        <v>1</v>
      </c>
      <c r="AZ98" s="927">
        <f t="shared" si="27"/>
        <v>1</v>
      </c>
      <c r="BA98" s="882">
        <v>0</v>
      </c>
      <c r="BB98" s="925">
        <f t="shared" si="36"/>
        <v>0</v>
      </c>
      <c r="BC98" s="882">
        <f t="shared" si="40"/>
        <v>1</v>
      </c>
      <c r="BD98" s="342" t="e">
        <f>IF(AND($BC98=0,C98=Tab_sel!$P$7,$D98=Tab_sel!$O$24,$E98=Tab_sel!$B$31),1,"")</f>
        <v>#N/A</v>
      </c>
      <c r="BE98" s="322" t="e">
        <f>IF(AND($BC98=0,C98=Tab_sel!$P$7,$D98=Tab_sel!$O$24,$E98=Tab_sel!$B$32),1,"")</f>
        <v>#N/A</v>
      </c>
      <c r="BF98" s="322" t="e">
        <f>IF(AND($BC98=0,C98=Tab_sel!$P$7,$D98=Tab_sel!$O$24,$E98=Tab_sel!$B$33),1,"")</f>
        <v>#N/A</v>
      </c>
      <c r="BG98" s="322" t="e">
        <f>IF(AND($BC98=0,C98=Tab_sel!$P$7,$D98=Tab_sel!$O$24,$E98=Tab_sel!$B$34),1,"")</f>
        <v>#N/A</v>
      </c>
      <c r="BH98" s="322" t="e">
        <f>IF(AND($BC98=0,C98=Tab_sel!$P$7,$D98=Tab_sel!$O$24,$E98=Tab_sel!$B$35),1,"")</f>
        <v>#N/A</v>
      </c>
      <c r="BI98" s="343" t="e">
        <f>IF(AND($BC98=0,C98=Tab_sel!$P$7,$D98=Tab_sel!$O$24,$E98=Tab_sel!$B$36),1,"")</f>
        <v>#N/A</v>
      </c>
      <c r="BJ98" s="342" t="e">
        <f>IF(AND($BC98=0,$C98=Tab_sel!$P$7,$D98=Tab_sel!$O$24,$E98=Tab_sel!$N$31,$F98=Tab_sel!$B$40),1,"")</f>
        <v>#N/A</v>
      </c>
      <c r="BK98" s="322" t="e">
        <f>IF(AND($BC98=0,$C98=Tab_sel!$P$7,$D98=Tab_sel!$O$24,$E98=Tab_sel!$N$31,$F98=Tab_sel!$B$41),1,"")</f>
        <v>#N/A</v>
      </c>
      <c r="BL98" s="322" t="e">
        <f>IF(AND($BC98=0,$C98=Tab_sel!$P$7,$D98=Tab_sel!$O$24,$E98=Tab_sel!$N$31,$F98=Tab_sel!$B$42),1,"")</f>
        <v>#N/A</v>
      </c>
      <c r="BM98" s="322" t="e">
        <f>IF(AND($BC98=0,$C98=Tab_sel!$P$7,$D98=Tab_sel!$O$24,$E98=Tab_sel!$N$31,$F98=Tab_sel!$B$43),1,"")</f>
        <v>#N/A</v>
      </c>
      <c r="BN98" s="322" t="e">
        <f>IF(AND($BC98=0,$C98=Tab_sel!$P$7,$D98=Tab_sel!$O$24,$E98=Tab_sel!$N$31,$F98=Tab_sel!$B$44),1,"")</f>
        <v>#N/A</v>
      </c>
      <c r="BO98" s="343" t="e">
        <f>IF(AND($BC98=0,$C98=Tab_sel!$P$7,$D98=Tab_sel!$O$24,$E98=Tab_sel!$N$31,$F98=Tab_sel!$B$45),1,"")</f>
        <v>#N/A</v>
      </c>
      <c r="BP98" s="354" t="e">
        <f>IF(AND($BC98=0,$C98=Tab_sel!$P$7,$D98=Tab_sel!$O$24,$E98=Tab_sel!$N$31,$F98=Tab_sel!$N$40,$I98=Tab_sel!$B$61),1,"")</f>
        <v>#N/A</v>
      </c>
      <c r="BQ98" s="355" t="e">
        <f>IF(AND($BC98=0,$C98=Tab_sel!$P$7,$D98=Tab_sel!$O$24,$E98=Tab_sel!$N$31,$F98=Tab_sel!$N$40,$I98=Tab_sel!$B$62),1,"")</f>
        <v>#N/A</v>
      </c>
      <c r="BR98" s="355" t="e">
        <f>IF(AND($BC98=0,$C98=Tab_sel!$P$7,$D98=Tab_sel!$O$24,$E98=Tab_sel!$N$31,$F98=Tab_sel!$N$40,$I98=Tab_sel!$B$63),1,"")</f>
        <v>#N/A</v>
      </c>
      <c r="BS98" s="355" t="e">
        <f>IF(AND($BC98=0,$C98=Tab_sel!$P$7,$D98=Tab_sel!$O$24,$E98=Tab_sel!$N$31,$F98=Tab_sel!$N$40,$I98=Tab_sel!$B$64),1,"")</f>
        <v>#N/A</v>
      </c>
      <c r="BT98" s="356" t="e">
        <f>IF(AND($BC98=0,$C98=Tab_sel!$P$7,$D98=Tab_sel!$O$24,$E98=Tab_sel!$N$31,$F98=Tab_sel!$N$40,$I98=Tab_sel!$B$65),1,"")</f>
        <v>#N/A</v>
      </c>
      <c r="BU98" s="856" t="e">
        <f>IF(AND($BC98=0,$C98=Tab_sel!$P$7,$D98=Tab_sel!$O$24,$E98=Tab_sel!$N$31,$F98=Tab_sel!$N$40,$I98=Tab_sel!$P$61,$H98=Tab_sel!$B$77),1,"")</f>
        <v>#N/A</v>
      </c>
      <c r="BV98" s="883" t="e">
        <f>IF(AND($BC98=0,$C98=Tab_sel!$P$7,$D98=Tab_sel!$O$24,$E98=Tab_sel!$N$31,$F98=Tab_sel!$N$40,$I98=Tab_sel!$P$61,$H98=Tab_sel!$B$78),1,"")</f>
        <v>#N/A</v>
      </c>
      <c r="BW98" s="883" t="e">
        <f>IF(AND($BC98=0,$C98=Tab_sel!$P$7,$D98=Tab_sel!$O$24,$E98=Tab_sel!$N$31,$F98=Tab_sel!$N$40,$I98=Tab_sel!$P$61,$H98=Tab_sel!$B$79),1,"")</f>
        <v>#N/A</v>
      </c>
      <c r="BX98" s="883" t="e">
        <f>IF(AND($BC98=0,$C98=Tab_sel!$P$7,$D98=Tab_sel!$O$24,$E98=Tab_sel!$N$31,$F98=Tab_sel!$N$40,$I98=Tab_sel!$P$61,$H98=Tab_sel!$B$80),1,"")</f>
        <v>#N/A</v>
      </c>
      <c r="BY98" s="883" t="e">
        <f>IF(AND($BC98=0,$C98=Tab_sel!$P$7,$D98=Tab_sel!$O$24,$E98=Tab_sel!$N$31,$F98=Tab_sel!$N$40,$I98=Tab_sel!$P$61,$H98=Tab_sel!$B$81),1,"")</f>
        <v>#N/A</v>
      </c>
      <c r="BZ98" s="857" t="e">
        <f>IF(AND($BC98=0,$C98=Tab_sel!$P$7,$D98=Tab_sel!$O$24,$E98=Tab_sel!$N$31,$F98=Tab_sel!$N$40,$I98=Tab_sel!$P$61,$H98=Tab_sel!$B$82),1,"")</f>
        <v>#N/A</v>
      </c>
      <c r="CA98" s="359"/>
      <c r="CC98">
        <f t="shared" si="30"/>
        <v>0</v>
      </c>
      <c r="CD98" s="882">
        <f t="shared" si="31"/>
        <v>0</v>
      </c>
      <c r="CE98" s="882">
        <f t="shared" si="32"/>
        <v>0</v>
      </c>
      <c r="CG98" t="s">
        <v>2634</v>
      </c>
      <c r="CH98" t="s">
        <v>2645</v>
      </c>
    </row>
    <row r="99" spans="2:87" ht="39" customHeight="1" x14ac:dyDescent="0.25">
      <c r="B99" s="791" t="s">
        <v>2395</v>
      </c>
      <c r="C99" s="874" t="s">
        <v>38</v>
      </c>
      <c r="D99" s="875" t="s">
        <v>34</v>
      </c>
      <c r="E99" s="771" t="str">
        <f>Med</f>
        <v>Media support de données</v>
      </c>
      <c r="F99" s="768" t="str">
        <f t="shared" si="42"/>
        <v>Divulgation de données</v>
      </c>
      <c r="G99" s="876" t="s">
        <v>1077</v>
      </c>
      <c r="H99" s="876" t="s">
        <v>2396</v>
      </c>
      <c r="I99" s="874" t="s">
        <v>1204</v>
      </c>
      <c r="J99" s="877" t="s">
        <v>2373</v>
      </c>
      <c r="K99" s="877" t="s">
        <v>2470</v>
      </c>
      <c r="L99" s="877"/>
      <c r="M99" s="795"/>
      <c r="N99" s="851"/>
      <c r="O99" s="851"/>
      <c r="P99" s="875"/>
      <c r="Q99" s="803"/>
      <c r="R99" s="803"/>
      <c r="S99" s="804"/>
      <c r="T99" s="875"/>
      <c r="U99" s="875"/>
      <c r="V99" s="805"/>
      <c r="W99" s="851"/>
      <c r="X99" s="851"/>
      <c r="Y99" s="875"/>
      <c r="Z99" s="875"/>
      <c r="AA99" s="875"/>
      <c r="AB99" s="805"/>
      <c r="AC99" s="806"/>
      <c r="AD99" s="806"/>
      <c r="AE99" s="806"/>
      <c r="AF99" s="806"/>
      <c r="AG99" s="806"/>
      <c r="AH99" s="805"/>
      <c r="AI99" s="807" t="str">
        <f t="shared" si="2"/>
        <v/>
      </c>
      <c r="AJ99" s="805"/>
      <c r="AK99" s="359"/>
      <c r="AM99" t="str">
        <f t="shared" si="34"/>
        <v/>
      </c>
      <c r="AN99">
        <f t="shared" si="35"/>
        <v>0</v>
      </c>
      <c r="AV99" s="882"/>
      <c r="AW99" s="882">
        <f t="shared" si="29"/>
        <v>0</v>
      </c>
      <c r="AX99" s="882">
        <f t="shared" si="38"/>
        <v>1</v>
      </c>
      <c r="AY99" s="882">
        <f t="shared" si="39"/>
        <v>1</v>
      </c>
      <c r="AZ99" s="927">
        <f t="shared" si="27"/>
        <v>1</v>
      </c>
      <c r="BA99" s="882">
        <v>0</v>
      </c>
      <c r="BB99" s="925">
        <f t="shared" si="36"/>
        <v>0</v>
      </c>
      <c r="BC99" s="882">
        <f t="shared" si="40"/>
        <v>1</v>
      </c>
      <c r="BD99" s="342" t="e">
        <f>IF(AND($BC99=0,C99=Tab_sel!$P$7,$D99=Tab_sel!$O$24,$E99=Tab_sel!$B$31),1,"")</f>
        <v>#N/A</v>
      </c>
      <c r="BE99" s="322" t="e">
        <f>IF(AND($BC99=0,C99=Tab_sel!$P$7,$D99=Tab_sel!$O$24,$E99=Tab_sel!$B$32),1,"")</f>
        <v>#N/A</v>
      </c>
      <c r="BF99" s="322" t="e">
        <f>IF(AND($BC99=0,C99=Tab_sel!$P$7,$D99=Tab_sel!$O$24,$E99=Tab_sel!$B$33),1,"")</f>
        <v>#N/A</v>
      </c>
      <c r="BG99" s="322" t="e">
        <f>IF(AND($BC99=0,C99=Tab_sel!$P$7,$D99=Tab_sel!$O$24,$E99=Tab_sel!$B$34),1,"")</f>
        <v>#N/A</v>
      </c>
      <c r="BH99" s="322" t="e">
        <f>IF(AND($BC99=0,C99=Tab_sel!$P$7,$D99=Tab_sel!$O$24,$E99=Tab_sel!$B$35),1,"")</f>
        <v>#N/A</v>
      </c>
      <c r="BI99" s="343" t="e">
        <f>IF(AND($BC99=0,C99=Tab_sel!$P$7,$D99=Tab_sel!$O$24,$E99=Tab_sel!$B$36),1,"")</f>
        <v>#N/A</v>
      </c>
      <c r="BJ99" s="342" t="e">
        <f>IF(AND($BC99=0,$C99=Tab_sel!$P$7,$D99=Tab_sel!$O$24,$E99=Tab_sel!$N$31,$F99=Tab_sel!$B$40),1,"")</f>
        <v>#N/A</v>
      </c>
      <c r="BK99" s="322" t="e">
        <f>IF(AND($BC99=0,$C99=Tab_sel!$P$7,$D99=Tab_sel!$O$24,$E99=Tab_sel!$N$31,$F99=Tab_sel!$B$41),1,"")</f>
        <v>#N/A</v>
      </c>
      <c r="BL99" s="322" t="e">
        <f>IF(AND($BC99=0,$C99=Tab_sel!$P$7,$D99=Tab_sel!$O$24,$E99=Tab_sel!$N$31,$F99=Tab_sel!$B$42),1,"")</f>
        <v>#N/A</v>
      </c>
      <c r="BM99" s="322" t="e">
        <f>IF(AND($BC99=0,$C99=Tab_sel!$P$7,$D99=Tab_sel!$O$24,$E99=Tab_sel!$N$31,$F99=Tab_sel!$B$43),1,"")</f>
        <v>#N/A</v>
      </c>
      <c r="BN99" s="322" t="e">
        <f>IF(AND($BC99=0,$C99=Tab_sel!$P$7,$D99=Tab_sel!$O$24,$E99=Tab_sel!$N$31,$F99=Tab_sel!$B$44),1,"")</f>
        <v>#N/A</v>
      </c>
      <c r="BO99" s="343" t="e">
        <f>IF(AND($BC99=0,$C99=Tab_sel!$P$7,$D99=Tab_sel!$O$24,$E99=Tab_sel!$N$31,$F99=Tab_sel!$B$45),1,"")</f>
        <v>#N/A</v>
      </c>
      <c r="BP99" s="354" t="e">
        <f>IF(AND($BC99=0,$C99=Tab_sel!$P$7,$D99=Tab_sel!$O$24,$E99=Tab_sel!$N$31,$F99=Tab_sel!$N$40,$I99=Tab_sel!$B$61),1,"")</f>
        <v>#N/A</v>
      </c>
      <c r="BQ99" s="355" t="e">
        <f>IF(AND($BC99=0,$C99=Tab_sel!$P$7,$D99=Tab_sel!$O$24,$E99=Tab_sel!$N$31,$F99=Tab_sel!$N$40,$I99=Tab_sel!$B$62),1,"")</f>
        <v>#N/A</v>
      </c>
      <c r="BR99" s="355" t="e">
        <f>IF(AND($BC99=0,$C99=Tab_sel!$P$7,$D99=Tab_sel!$O$24,$E99=Tab_sel!$N$31,$F99=Tab_sel!$N$40,$I99=Tab_sel!$B$63),1,"")</f>
        <v>#N/A</v>
      </c>
      <c r="BS99" s="355" t="e">
        <f>IF(AND($BC99=0,$C99=Tab_sel!$P$7,$D99=Tab_sel!$O$24,$E99=Tab_sel!$N$31,$F99=Tab_sel!$N$40,$I99=Tab_sel!$B$64),1,"")</f>
        <v>#N/A</v>
      </c>
      <c r="BT99" s="356" t="e">
        <f>IF(AND($BC99=0,$C99=Tab_sel!$P$7,$D99=Tab_sel!$O$24,$E99=Tab_sel!$N$31,$F99=Tab_sel!$N$40,$I99=Tab_sel!$B$65),1,"")</f>
        <v>#N/A</v>
      </c>
      <c r="BU99" s="856" t="e">
        <f>IF(AND($BC99=0,$C99=Tab_sel!$P$7,$D99=Tab_sel!$O$24,$E99=Tab_sel!$N$31,$F99=Tab_sel!$N$40,$I99=Tab_sel!$P$61,$H99=Tab_sel!$B$77),1,"")</f>
        <v>#N/A</v>
      </c>
      <c r="BV99" s="883" t="e">
        <f>IF(AND($BC99=0,$C99=Tab_sel!$P$7,$D99=Tab_sel!$O$24,$E99=Tab_sel!$N$31,$F99=Tab_sel!$N$40,$I99=Tab_sel!$P$61,$H99=Tab_sel!$B$78),1,"")</f>
        <v>#N/A</v>
      </c>
      <c r="BW99" s="883" t="e">
        <f>IF(AND($BC99=0,$C99=Tab_sel!$P$7,$D99=Tab_sel!$O$24,$E99=Tab_sel!$N$31,$F99=Tab_sel!$N$40,$I99=Tab_sel!$P$61,$H99=Tab_sel!$B$79),1,"")</f>
        <v>#N/A</v>
      </c>
      <c r="BX99" s="883" t="e">
        <f>IF(AND($BC99=0,$C99=Tab_sel!$P$7,$D99=Tab_sel!$O$24,$E99=Tab_sel!$N$31,$F99=Tab_sel!$N$40,$I99=Tab_sel!$P$61,$H99=Tab_sel!$B$80),1,"")</f>
        <v>#N/A</v>
      </c>
      <c r="BY99" s="883" t="e">
        <f>IF(AND($BC99=0,$C99=Tab_sel!$P$7,$D99=Tab_sel!$O$24,$E99=Tab_sel!$N$31,$F99=Tab_sel!$N$40,$I99=Tab_sel!$P$61,$H99=Tab_sel!$B$81),1,"")</f>
        <v>#N/A</v>
      </c>
      <c r="BZ99" s="857" t="e">
        <f>IF(AND($BC99=0,$C99=Tab_sel!$P$7,$D99=Tab_sel!$O$24,$E99=Tab_sel!$N$31,$F99=Tab_sel!$N$40,$I99=Tab_sel!$P$61,$H99=Tab_sel!$B$82),1,"")</f>
        <v>#N/A</v>
      </c>
      <c r="CA99" s="359"/>
      <c r="CC99">
        <f t="shared" si="30"/>
        <v>0</v>
      </c>
      <c r="CD99" s="882">
        <f t="shared" si="31"/>
        <v>0</v>
      </c>
      <c r="CE99" s="882">
        <f t="shared" si="32"/>
        <v>0</v>
      </c>
      <c r="CG99" t="s">
        <v>2634</v>
      </c>
      <c r="CH99" t="s">
        <v>2652</v>
      </c>
    </row>
    <row r="100" spans="2:87" ht="39" customHeight="1" x14ac:dyDescent="0.25">
      <c r="B100" s="791" t="s">
        <v>2397</v>
      </c>
      <c r="C100" s="874" t="s">
        <v>38</v>
      </c>
      <c r="D100" s="875" t="s">
        <v>34</v>
      </c>
      <c r="E100" s="771" t="str">
        <f>Med</f>
        <v>Media support de données</v>
      </c>
      <c r="F100" s="768" t="str">
        <f t="shared" si="42"/>
        <v>Divulgation de données</v>
      </c>
      <c r="G100" s="876" t="s">
        <v>1077</v>
      </c>
      <c r="H100" s="876" t="s">
        <v>2398</v>
      </c>
      <c r="I100" s="874" t="s">
        <v>1204</v>
      </c>
      <c r="J100" s="877"/>
      <c r="K100" s="877" t="s">
        <v>2529</v>
      </c>
      <c r="L100" s="877"/>
      <c r="M100" s="795"/>
      <c r="N100" s="851"/>
      <c r="O100" s="851"/>
      <c r="P100" s="875"/>
      <c r="Q100" s="803"/>
      <c r="R100" s="803"/>
      <c r="S100" s="804"/>
      <c r="T100" s="875"/>
      <c r="U100" s="875"/>
      <c r="V100" s="805"/>
      <c r="W100" s="851"/>
      <c r="X100" s="851"/>
      <c r="Y100" s="875"/>
      <c r="Z100" s="875"/>
      <c r="AA100" s="875"/>
      <c r="AB100" s="805"/>
      <c r="AC100" s="806"/>
      <c r="AD100" s="806"/>
      <c r="AE100" s="806"/>
      <c r="AF100" s="806"/>
      <c r="AG100" s="806"/>
      <c r="AH100" s="805"/>
      <c r="AI100" s="807" t="str">
        <f t="shared" si="2"/>
        <v/>
      </c>
      <c r="AJ100" s="805"/>
      <c r="AK100" s="359"/>
      <c r="AM100" t="str">
        <f t="shared" si="34"/>
        <v/>
      </c>
      <c r="AN100">
        <f t="shared" si="35"/>
        <v>0</v>
      </c>
      <c r="AV100" s="882"/>
      <c r="AW100" s="882">
        <f t="shared" si="29"/>
        <v>0</v>
      </c>
      <c r="AX100" s="882">
        <f t="shared" si="38"/>
        <v>1</v>
      </c>
      <c r="AY100" s="882">
        <f t="shared" si="39"/>
        <v>1</v>
      </c>
      <c r="AZ100" s="927">
        <f t="shared" si="27"/>
        <v>1</v>
      </c>
      <c r="BA100" s="882">
        <v>0</v>
      </c>
      <c r="BB100" s="925">
        <f t="shared" si="36"/>
        <v>0</v>
      </c>
      <c r="BC100" s="882">
        <f t="shared" si="40"/>
        <v>1</v>
      </c>
      <c r="BD100" s="342" t="e">
        <f>IF(AND($BC100=0,C100=Tab_sel!$P$7,$D100=Tab_sel!$O$24,$E100=Tab_sel!$B$31),1,"")</f>
        <v>#N/A</v>
      </c>
      <c r="BE100" s="322" t="e">
        <f>IF(AND($BC100=0,C100=Tab_sel!$P$7,$D100=Tab_sel!$O$24,$E100=Tab_sel!$B$32),1,"")</f>
        <v>#N/A</v>
      </c>
      <c r="BF100" s="322" t="e">
        <f>IF(AND($BC100=0,C100=Tab_sel!$P$7,$D100=Tab_sel!$O$24,$E100=Tab_sel!$B$33),1,"")</f>
        <v>#N/A</v>
      </c>
      <c r="BG100" s="322" t="e">
        <f>IF(AND($BC100=0,C100=Tab_sel!$P$7,$D100=Tab_sel!$O$24,$E100=Tab_sel!$B$34),1,"")</f>
        <v>#N/A</v>
      </c>
      <c r="BH100" s="322" t="e">
        <f>IF(AND($BC100=0,C100=Tab_sel!$P$7,$D100=Tab_sel!$O$24,$E100=Tab_sel!$B$35),1,"")</f>
        <v>#N/A</v>
      </c>
      <c r="BI100" s="343" t="e">
        <f>IF(AND($BC100=0,C100=Tab_sel!$P$7,$D100=Tab_sel!$O$24,$E100=Tab_sel!$B$36),1,"")</f>
        <v>#N/A</v>
      </c>
      <c r="BJ100" s="342" t="e">
        <f>IF(AND($BC100=0,$C100=Tab_sel!$P$7,$D100=Tab_sel!$O$24,$E100=Tab_sel!$N$31,$F100=Tab_sel!$B$40),1,"")</f>
        <v>#N/A</v>
      </c>
      <c r="BK100" s="322" t="e">
        <f>IF(AND($BC100=0,$C100=Tab_sel!$P$7,$D100=Tab_sel!$O$24,$E100=Tab_sel!$N$31,$F100=Tab_sel!$B$41),1,"")</f>
        <v>#N/A</v>
      </c>
      <c r="BL100" s="322" t="e">
        <f>IF(AND($BC100=0,$C100=Tab_sel!$P$7,$D100=Tab_sel!$O$24,$E100=Tab_sel!$N$31,$F100=Tab_sel!$B$42),1,"")</f>
        <v>#N/A</v>
      </c>
      <c r="BM100" s="322" t="e">
        <f>IF(AND($BC100=0,$C100=Tab_sel!$P$7,$D100=Tab_sel!$O$24,$E100=Tab_sel!$N$31,$F100=Tab_sel!$B$43),1,"")</f>
        <v>#N/A</v>
      </c>
      <c r="BN100" s="322" t="e">
        <f>IF(AND($BC100=0,$C100=Tab_sel!$P$7,$D100=Tab_sel!$O$24,$E100=Tab_sel!$N$31,$F100=Tab_sel!$B$44),1,"")</f>
        <v>#N/A</v>
      </c>
      <c r="BO100" s="343" t="e">
        <f>IF(AND($BC100=0,$C100=Tab_sel!$P$7,$D100=Tab_sel!$O$24,$E100=Tab_sel!$N$31,$F100=Tab_sel!$B$45),1,"")</f>
        <v>#N/A</v>
      </c>
      <c r="BP100" s="354" t="e">
        <f>IF(AND($BC100=0,$C100=Tab_sel!$P$7,$D100=Tab_sel!$O$24,$E100=Tab_sel!$N$31,$F100=Tab_sel!$N$40,$I100=Tab_sel!$B$61),1,"")</f>
        <v>#N/A</v>
      </c>
      <c r="BQ100" s="355" t="e">
        <f>IF(AND($BC100=0,$C100=Tab_sel!$P$7,$D100=Tab_sel!$O$24,$E100=Tab_sel!$N$31,$F100=Tab_sel!$N$40,$I100=Tab_sel!$B$62),1,"")</f>
        <v>#N/A</v>
      </c>
      <c r="BR100" s="355" t="e">
        <f>IF(AND($BC100=0,$C100=Tab_sel!$P$7,$D100=Tab_sel!$O$24,$E100=Tab_sel!$N$31,$F100=Tab_sel!$N$40,$I100=Tab_sel!$B$63),1,"")</f>
        <v>#N/A</v>
      </c>
      <c r="BS100" s="355" t="e">
        <f>IF(AND($BC100=0,$C100=Tab_sel!$P$7,$D100=Tab_sel!$O$24,$E100=Tab_sel!$N$31,$F100=Tab_sel!$N$40,$I100=Tab_sel!$B$64),1,"")</f>
        <v>#N/A</v>
      </c>
      <c r="BT100" s="356" t="e">
        <f>IF(AND($BC100=0,$C100=Tab_sel!$P$7,$D100=Tab_sel!$O$24,$E100=Tab_sel!$N$31,$F100=Tab_sel!$N$40,$I100=Tab_sel!$B$65),1,"")</f>
        <v>#N/A</v>
      </c>
      <c r="BU100" s="856" t="e">
        <f>IF(AND($BC100=0,$C100=Tab_sel!$P$7,$D100=Tab_sel!$O$24,$E100=Tab_sel!$N$31,$F100=Tab_sel!$N$40,$I100=Tab_sel!$P$61,$H100=Tab_sel!$B$77),1,"")</f>
        <v>#N/A</v>
      </c>
      <c r="BV100" s="883" t="e">
        <f>IF(AND($BC100=0,$C100=Tab_sel!$P$7,$D100=Tab_sel!$O$24,$E100=Tab_sel!$N$31,$F100=Tab_sel!$N$40,$I100=Tab_sel!$P$61,$H100=Tab_sel!$B$78),1,"")</f>
        <v>#N/A</v>
      </c>
      <c r="BW100" s="883" t="e">
        <f>IF(AND($BC100=0,$C100=Tab_sel!$P$7,$D100=Tab_sel!$O$24,$E100=Tab_sel!$N$31,$F100=Tab_sel!$N$40,$I100=Tab_sel!$P$61,$H100=Tab_sel!$B$79),1,"")</f>
        <v>#N/A</v>
      </c>
      <c r="BX100" s="883" t="e">
        <f>IF(AND($BC100=0,$C100=Tab_sel!$P$7,$D100=Tab_sel!$O$24,$E100=Tab_sel!$N$31,$F100=Tab_sel!$N$40,$I100=Tab_sel!$P$61,$H100=Tab_sel!$B$80),1,"")</f>
        <v>#N/A</v>
      </c>
      <c r="BY100" s="883" t="e">
        <f>IF(AND($BC100=0,$C100=Tab_sel!$P$7,$D100=Tab_sel!$O$24,$E100=Tab_sel!$N$31,$F100=Tab_sel!$N$40,$I100=Tab_sel!$P$61,$H100=Tab_sel!$B$81),1,"")</f>
        <v>#N/A</v>
      </c>
      <c r="BZ100" s="857" t="e">
        <f>IF(AND($BC100=0,$C100=Tab_sel!$P$7,$D100=Tab_sel!$O$24,$E100=Tab_sel!$N$31,$F100=Tab_sel!$N$40,$I100=Tab_sel!$P$61,$H100=Tab_sel!$B$82),1,"")</f>
        <v>#N/A</v>
      </c>
      <c r="CA100" s="359"/>
      <c r="CC100">
        <f t="shared" si="30"/>
        <v>0</v>
      </c>
      <c r="CD100" s="882">
        <f t="shared" si="31"/>
        <v>0</v>
      </c>
      <c r="CE100" s="882">
        <f t="shared" si="32"/>
        <v>0</v>
      </c>
      <c r="CH100" t="s">
        <v>2798</v>
      </c>
    </row>
    <row r="101" spans="2:87" x14ac:dyDescent="0.25">
      <c r="B101" s="825" t="s">
        <v>1124</v>
      </c>
      <c r="C101" s="1024" t="str">
        <f>Iei</f>
        <v>Informations écrites ou imprimées</v>
      </c>
      <c r="D101" s="1024"/>
      <c r="E101" s="1024"/>
      <c r="F101" s="1024"/>
      <c r="G101" s="1024"/>
      <c r="H101" s="1024"/>
      <c r="I101" s="1024"/>
      <c r="J101" s="1024"/>
      <c r="K101" s="1024"/>
      <c r="L101" s="1024"/>
      <c r="M101" s="1025"/>
      <c r="N101" s="826"/>
      <c r="O101" s="826"/>
      <c r="P101" s="827"/>
      <c r="Q101" s="828"/>
      <c r="R101" s="828"/>
      <c r="S101" s="829"/>
      <c r="T101" s="827"/>
      <c r="U101" s="827"/>
      <c r="V101" s="830"/>
      <c r="W101" s="826"/>
      <c r="X101" s="826"/>
      <c r="Y101" s="827"/>
      <c r="Z101" s="827"/>
      <c r="AA101" s="827"/>
      <c r="AB101" s="830"/>
      <c r="AC101" s="831"/>
      <c r="AD101" s="831"/>
      <c r="AE101" s="831"/>
      <c r="AF101" s="831"/>
      <c r="AG101" s="831"/>
      <c r="AH101" s="830"/>
      <c r="AI101" s="807" t="str">
        <f t="shared" si="2"/>
        <v/>
      </c>
      <c r="AJ101" s="830"/>
      <c r="AK101" s="359"/>
      <c r="AW101" s="882"/>
      <c r="AX101" s="882"/>
      <c r="AY101" s="882"/>
      <c r="AZ101" s="927"/>
      <c r="BA101" s="882"/>
      <c r="BB101" s="925"/>
      <c r="BC101" s="882"/>
      <c r="BD101" s="342"/>
      <c r="BE101" s="322"/>
      <c r="BF101" s="322"/>
      <c r="BG101" s="322"/>
      <c r="BH101" s="322"/>
      <c r="BI101" s="343"/>
      <c r="BJ101" s="342"/>
      <c r="BK101" s="322"/>
      <c r="BL101" s="322"/>
      <c r="BM101" s="322"/>
      <c r="BN101" s="322"/>
      <c r="BO101" s="343"/>
      <c r="BP101" s="354"/>
      <c r="BQ101" s="355"/>
      <c r="BR101" s="355"/>
      <c r="BS101" s="355"/>
      <c r="BT101" s="356"/>
      <c r="BU101" s="856"/>
      <c r="BV101" s="883"/>
      <c r="BW101" s="883"/>
      <c r="BX101" s="883"/>
      <c r="BY101" s="883"/>
      <c r="BZ101" s="857"/>
      <c r="CA101" s="359"/>
      <c r="CC101">
        <f t="shared" si="30"/>
        <v>0</v>
      </c>
      <c r="CD101" s="882">
        <f t="shared" si="31"/>
        <v>0</v>
      </c>
      <c r="CE101" s="882">
        <f t="shared" si="32"/>
        <v>0</v>
      </c>
    </row>
    <row r="102" spans="2:87" ht="43.5" customHeight="1" x14ac:dyDescent="0.25">
      <c r="B102" s="791" t="s">
        <v>1415</v>
      </c>
      <c r="C102" s="771" t="s">
        <v>39</v>
      </c>
      <c r="D102" s="772" t="s">
        <v>76</v>
      </c>
      <c r="E102" s="771" t="str">
        <f t="shared" ref="E102:E114" si="43">Doc</f>
        <v>Document</v>
      </c>
      <c r="F102" s="773" t="str">
        <f>Disp</f>
        <v>Disparition</v>
      </c>
      <c r="G102" s="773" t="s">
        <v>1125</v>
      </c>
      <c r="H102" s="773"/>
      <c r="I102" s="771" t="s">
        <v>1204</v>
      </c>
      <c r="J102" s="769" t="s">
        <v>2373</v>
      </c>
      <c r="K102" s="769" t="s">
        <v>2513</v>
      </c>
      <c r="L102" s="774"/>
      <c r="M102" s="788"/>
      <c r="N102" s="767"/>
      <c r="O102" s="767"/>
      <c r="P102" s="772"/>
      <c r="Q102" s="803"/>
      <c r="R102" s="803"/>
      <c r="S102" s="804"/>
      <c r="T102" s="772"/>
      <c r="U102" s="772"/>
      <c r="V102" s="805"/>
      <c r="W102" s="767"/>
      <c r="X102" s="767"/>
      <c r="Y102" s="772"/>
      <c r="Z102" s="772"/>
      <c r="AA102" s="772"/>
      <c r="AB102" s="805"/>
      <c r="AC102" s="806"/>
      <c r="AD102" s="806"/>
      <c r="AE102" s="806"/>
      <c r="AF102" s="806"/>
      <c r="AG102" s="806"/>
      <c r="AH102" s="805"/>
      <c r="AI102" s="807" t="str">
        <f t="shared" si="2"/>
        <v/>
      </c>
      <c r="AJ102" s="805"/>
      <c r="AK102" s="359"/>
      <c r="AM102" t="str">
        <f t="shared" si="34"/>
        <v/>
      </c>
      <c r="AN102">
        <f t="shared" si="35"/>
        <v>0</v>
      </c>
      <c r="AW102" s="882">
        <f t="shared" si="29"/>
        <v>0</v>
      </c>
      <c r="AX102" s="882">
        <f t="shared" ref="AX102:AX114" si="44">VLOOKUP(E102,Tab_ActS,2,FALSE)</f>
        <v>1</v>
      </c>
      <c r="AY102" s="882">
        <f t="shared" ref="AY102:AY114" si="45">VLOOKUP(F102,Tab_SDom,3,FALSE)</f>
        <v>1</v>
      </c>
      <c r="AZ102" s="927">
        <f t="shared" ref="AZ102:AZ114" si="46">VLOOKUP($I102,Tabexpo,8,FALSE)</f>
        <v>1</v>
      </c>
      <c r="BA102" s="882">
        <v>1</v>
      </c>
      <c r="BB102" s="925">
        <f t="shared" si="36"/>
        <v>0</v>
      </c>
      <c r="BC102" s="882">
        <f t="shared" ref="BC102:BC114" si="47">IF(IndS=FALSE,IF(BB102=1,0,1),IF(BB102=0,1,AV102))</f>
        <v>1</v>
      </c>
      <c r="BD102" s="342" t="e">
        <f>IF(AND($BC102=0,C102=Tab_sel!$P$7,$D102=Tab_sel!$O$24,$E102=Tab_sel!$B$31),1,"")</f>
        <v>#N/A</v>
      </c>
      <c r="BE102" s="322" t="e">
        <f>IF(AND($BC102=0,C102=Tab_sel!$P$7,$D102=Tab_sel!$O$24,$E102=Tab_sel!$B$32),1,"")</f>
        <v>#N/A</v>
      </c>
      <c r="BF102" s="322" t="e">
        <f>IF(AND($BC102=0,C102=Tab_sel!$P$7,$D102=Tab_sel!$O$24,$E102=Tab_sel!$B$33),1,"")</f>
        <v>#N/A</v>
      </c>
      <c r="BG102" s="322" t="e">
        <f>IF(AND($BC102=0,C102=Tab_sel!$P$7,$D102=Tab_sel!$O$24,$E102=Tab_sel!$B$34),1,"")</f>
        <v>#N/A</v>
      </c>
      <c r="BH102" s="322" t="e">
        <f>IF(AND($BC102=0,C102=Tab_sel!$P$7,$D102=Tab_sel!$O$24,$E102=Tab_sel!$B$35),1,"")</f>
        <v>#N/A</v>
      </c>
      <c r="BI102" s="343" t="e">
        <f>IF(AND($BC102=0,C102=Tab_sel!$P$7,$D102=Tab_sel!$O$24,$E102=Tab_sel!$B$36),1,"")</f>
        <v>#N/A</v>
      </c>
      <c r="BJ102" s="342" t="e">
        <f>IF(AND($BC102=0,$C102=Tab_sel!$P$7,$D102=Tab_sel!$O$24,$E102=Tab_sel!$N$31,$F102=Tab_sel!$B$40),1,"")</f>
        <v>#N/A</v>
      </c>
      <c r="BK102" s="322" t="e">
        <f>IF(AND($BC102=0,$C102=Tab_sel!$P$7,$D102=Tab_sel!$O$24,$E102=Tab_sel!$N$31,$F102=Tab_sel!$B$41),1,"")</f>
        <v>#N/A</v>
      </c>
      <c r="BL102" s="322" t="e">
        <f>IF(AND($BC102=0,$C102=Tab_sel!$P$7,$D102=Tab_sel!$O$24,$E102=Tab_sel!$N$31,$F102=Tab_sel!$B$42),1,"")</f>
        <v>#N/A</v>
      </c>
      <c r="BM102" s="322" t="e">
        <f>IF(AND($BC102=0,$C102=Tab_sel!$P$7,$D102=Tab_sel!$O$24,$E102=Tab_sel!$N$31,$F102=Tab_sel!$B$43),1,"")</f>
        <v>#N/A</v>
      </c>
      <c r="BN102" s="322" t="e">
        <f>IF(AND($BC102=0,$C102=Tab_sel!$P$7,$D102=Tab_sel!$O$24,$E102=Tab_sel!$N$31,$F102=Tab_sel!$B$44),1,"")</f>
        <v>#N/A</v>
      </c>
      <c r="BO102" s="343" t="e">
        <f>IF(AND($BC102=0,$C102=Tab_sel!$P$7,$D102=Tab_sel!$O$24,$E102=Tab_sel!$N$31,$F102=Tab_sel!$B$45),1,"")</f>
        <v>#N/A</v>
      </c>
      <c r="BP102" s="354" t="e">
        <f>IF(AND($BC102=0,$C102=Tab_sel!$P$7,$D102=Tab_sel!$O$24,$E102=Tab_sel!$N$31,$F102=Tab_sel!$N$40,$I102=Tab_sel!$B$61),1,"")</f>
        <v>#N/A</v>
      </c>
      <c r="BQ102" s="355" t="e">
        <f>IF(AND($BC102=0,$C102=Tab_sel!$P$7,$D102=Tab_sel!$O$24,$E102=Tab_sel!$N$31,$F102=Tab_sel!$N$40,$I102=Tab_sel!$B$62),1,"")</f>
        <v>#N/A</v>
      </c>
      <c r="BR102" s="355" t="e">
        <f>IF(AND($BC102=0,$C102=Tab_sel!$P$7,$D102=Tab_sel!$O$24,$E102=Tab_sel!$N$31,$F102=Tab_sel!$N$40,$I102=Tab_sel!$B$63),1,"")</f>
        <v>#N/A</v>
      </c>
      <c r="BS102" s="355" t="e">
        <f>IF(AND($BC102=0,$C102=Tab_sel!$P$7,$D102=Tab_sel!$O$24,$E102=Tab_sel!$N$31,$F102=Tab_sel!$N$40,$I102=Tab_sel!$B$64),1,"")</f>
        <v>#N/A</v>
      </c>
      <c r="BT102" s="356" t="e">
        <f>IF(AND($BC102=0,$C102=Tab_sel!$P$7,$D102=Tab_sel!$O$24,$E102=Tab_sel!$N$31,$F102=Tab_sel!$N$40,$I102=Tab_sel!$B$65),1,"")</f>
        <v>#N/A</v>
      </c>
      <c r="BU102" s="856" t="e">
        <f>IF(AND($BC102=0,$C102=Tab_sel!$P$7,$D102=Tab_sel!$O$24,$E102=Tab_sel!$N$31,$F102=Tab_sel!$N$40,$I102=Tab_sel!$P$61,$H102=Tab_sel!$B$77),1,"")</f>
        <v>#N/A</v>
      </c>
      <c r="BV102" s="883" t="e">
        <f>IF(AND($BC102=0,$C102=Tab_sel!$P$7,$D102=Tab_sel!$O$24,$E102=Tab_sel!$N$31,$F102=Tab_sel!$N$40,$I102=Tab_sel!$P$61,$H102=Tab_sel!$B$78),1,"")</f>
        <v>#N/A</v>
      </c>
      <c r="BW102" s="883" t="e">
        <f>IF(AND($BC102=0,$C102=Tab_sel!$P$7,$D102=Tab_sel!$O$24,$E102=Tab_sel!$N$31,$F102=Tab_sel!$N$40,$I102=Tab_sel!$P$61,$H102=Tab_sel!$B$79),1,"")</f>
        <v>#N/A</v>
      </c>
      <c r="BX102" s="883" t="e">
        <f>IF(AND($BC102=0,$C102=Tab_sel!$P$7,$D102=Tab_sel!$O$24,$E102=Tab_sel!$N$31,$F102=Tab_sel!$N$40,$I102=Tab_sel!$P$61,$H102=Tab_sel!$B$80),1,"")</f>
        <v>#N/A</v>
      </c>
      <c r="BY102" s="883" t="e">
        <f>IF(AND($BC102=0,$C102=Tab_sel!$P$7,$D102=Tab_sel!$O$24,$E102=Tab_sel!$N$31,$F102=Tab_sel!$N$40,$I102=Tab_sel!$P$61,$H102=Tab_sel!$B$81),1,"")</f>
        <v>#N/A</v>
      </c>
      <c r="BZ102" s="857" t="e">
        <f>IF(AND($BC102=0,$C102=Tab_sel!$P$7,$D102=Tab_sel!$O$24,$E102=Tab_sel!$N$31,$F102=Tab_sel!$N$40,$I102=Tab_sel!$P$61,$H102=Tab_sel!$B$82),1,"")</f>
        <v>#N/A</v>
      </c>
      <c r="CA102" s="359"/>
      <c r="CC102">
        <f t="shared" si="30"/>
        <v>0</v>
      </c>
      <c r="CD102" s="882">
        <f t="shared" si="31"/>
        <v>0</v>
      </c>
      <c r="CE102" s="882">
        <f t="shared" si="32"/>
        <v>0</v>
      </c>
      <c r="CG102" t="s">
        <v>2634</v>
      </c>
      <c r="CH102" t="s">
        <v>2653</v>
      </c>
    </row>
    <row r="103" spans="2:87" ht="43.5" customHeight="1" x14ac:dyDescent="0.25">
      <c r="B103" s="791" t="s">
        <v>2399</v>
      </c>
      <c r="C103" s="874" t="s">
        <v>39</v>
      </c>
      <c r="D103" s="875" t="s">
        <v>76</v>
      </c>
      <c r="E103" s="771" t="str">
        <f t="shared" si="43"/>
        <v>Document</v>
      </c>
      <c r="F103" s="773" t="str">
        <f>Disp</f>
        <v>Disparition</v>
      </c>
      <c r="G103" s="889" t="s">
        <v>1125</v>
      </c>
      <c r="H103" s="876" t="s">
        <v>2502</v>
      </c>
      <c r="I103" s="874" t="s">
        <v>1204</v>
      </c>
      <c r="J103" s="769" t="s">
        <v>2373</v>
      </c>
      <c r="K103" s="769" t="s">
        <v>1353</v>
      </c>
      <c r="L103" s="887" t="s">
        <v>2350</v>
      </c>
      <c r="M103" s="788" t="s">
        <v>2350</v>
      </c>
      <c r="N103" s="851"/>
      <c r="O103" s="851"/>
      <c r="P103" s="875"/>
      <c r="Q103" s="803"/>
      <c r="R103" s="803"/>
      <c r="S103" s="804"/>
      <c r="T103" s="875"/>
      <c r="U103" s="875"/>
      <c r="V103" s="805"/>
      <c r="W103" s="851"/>
      <c r="X103" s="851"/>
      <c r="Y103" s="875"/>
      <c r="Z103" s="875"/>
      <c r="AA103" s="875"/>
      <c r="AB103" s="805"/>
      <c r="AC103" s="806"/>
      <c r="AD103" s="806"/>
      <c r="AE103" s="806"/>
      <c r="AF103" s="806"/>
      <c r="AG103" s="806"/>
      <c r="AH103" s="805"/>
      <c r="AI103" s="807" t="str">
        <f>IF(ISBLANK(AH103),"",CONCATENATE("R",AH103))</f>
        <v/>
      </c>
      <c r="AJ103" s="805"/>
      <c r="AK103" s="359"/>
      <c r="AM103" t="str">
        <f t="shared" si="34"/>
        <v/>
      </c>
      <c r="AN103">
        <f t="shared" si="35"/>
        <v>0</v>
      </c>
      <c r="AV103" s="892"/>
      <c r="AW103" s="892">
        <f>IF(ISNUMBER(IF(D103="D",VLOOKUP(C103,Tab_ActP,4,FALSE),IF(D103="I",VLOOKUP(C103,Tab_ActP,5,FALSE),IF(D103="C",VLOOKUP(C103,Tab_ActP,6,FALSE),VLOOKUP(C103,Tab_ActP,7,FALSE))))),1,0)</f>
        <v>0</v>
      </c>
      <c r="AX103" s="892">
        <f>VLOOKUP(E103,Tab_ActS,2,FALSE)</f>
        <v>1</v>
      </c>
      <c r="AY103" s="892">
        <f>VLOOKUP(F103,Tab_SDom,3,FALSE)</f>
        <v>1</v>
      </c>
      <c r="AZ103" s="927">
        <f t="shared" si="46"/>
        <v>1</v>
      </c>
      <c r="BA103" s="892">
        <v>0</v>
      </c>
      <c r="BB103" s="925">
        <f t="shared" si="36"/>
        <v>0</v>
      </c>
      <c r="BC103" s="892">
        <f>IF(IndS=FALSE,IF(BB103=1,0,1),IF(BB103=0,1,AV103))</f>
        <v>1</v>
      </c>
      <c r="BD103" s="342" t="e">
        <f>IF(AND($BC103=0,C103=Tab_sel!$P$7,$D103=Tab_sel!$O$24,$E103=Tab_sel!$B$31),1,"")</f>
        <v>#N/A</v>
      </c>
      <c r="BE103" s="322" t="e">
        <f>IF(AND($BC103=0,C103=Tab_sel!$P$7,$D103=Tab_sel!$O$24,$E103=Tab_sel!$B$32),1,"")</f>
        <v>#N/A</v>
      </c>
      <c r="BF103" s="322" t="e">
        <f>IF(AND($BC103=0,C103=Tab_sel!$P$7,$D103=Tab_sel!$O$24,$E103=Tab_sel!$B$33),1,"")</f>
        <v>#N/A</v>
      </c>
      <c r="BG103" s="322" t="e">
        <f>IF(AND($BC103=0,C103=Tab_sel!$P$7,$D103=Tab_sel!$O$24,$E103=Tab_sel!$B$34),1,"")</f>
        <v>#N/A</v>
      </c>
      <c r="BH103" s="322" t="e">
        <f>IF(AND($BC103=0,C103=Tab_sel!$P$7,$D103=Tab_sel!$O$24,$E103=Tab_sel!$B$35),1,"")</f>
        <v>#N/A</v>
      </c>
      <c r="BI103" s="343" t="e">
        <f>IF(AND($BC103=0,C103=Tab_sel!$P$7,$D103=Tab_sel!$O$24,$E103=Tab_sel!$B$36),1,"")</f>
        <v>#N/A</v>
      </c>
      <c r="BJ103" s="342" t="e">
        <f>IF(AND($BC103=0,$C103=Tab_sel!$P$7,$D103=Tab_sel!$O$24,$E103=Tab_sel!$N$31,$F103=Tab_sel!$B$40),1,"")</f>
        <v>#N/A</v>
      </c>
      <c r="BK103" s="322" t="e">
        <f>IF(AND($BC103=0,$C103=Tab_sel!$P$7,$D103=Tab_sel!$O$24,$E103=Tab_sel!$N$31,$F103=Tab_sel!$B$41),1,"")</f>
        <v>#N/A</v>
      </c>
      <c r="BL103" s="322" t="e">
        <f>IF(AND($BC103=0,$C103=Tab_sel!$P$7,$D103=Tab_sel!$O$24,$E103=Tab_sel!$N$31,$F103=Tab_sel!$B$42),1,"")</f>
        <v>#N/A</v>
      </c>
      <c r="BM103" s="322" t="e">
        <f>IF(AND($BC103=0,$C103=Tab_sel!$P$7,$D103=Tab_sel!$O$24,$E103=Tab_sel!$N$31,$F103=Tab_sel!$B$43),1,"")</f>
        <v>#N/A</v>
      </c>
      <c r="BN103" s="322" t="e">
        <f>IF(AND($BC103=0,$C103=Tab_sel!$P$7,$D103=Tab_sel!$O$24,$E103=Tab_sel!$N$31,$F103=Tab_sel!$B$44),1,"")</f>
        <v>#N/A</v>
      </c>
      <c r="BO103" s="343" t="e">
        <f>IF(AND($BC103=0,$C103=Tab_sel!$P$7,$D103=Tab_sel!$O$24,$E103=Tab_sel!$N$31,$F103=Tab_sel!$B$45),1,"")</f>
        <v>#N/A</v>
      </c>
      <c r="BP103" s="354" t="e">
        <f>IF(AND($BC103=0,$C103=Tab_sel!$P$7,$D103=Tab_sel!$O$24,$E103=Tab_sel!$N$31,$F103=Tab_sel!$N$40,$I103=Tab_sel!$B$61),1,"")</f>
        <v>#N/A</v>
      </c>
      <c r="BQ103" s="355" t="e">
        <f>IF(AND($BC103=0,$C103=Tab_sel!$P$7,$D103=Tab_sel!$O$24,$E103=Tab_sel!$N$31,$F103=Tab_sel!$N$40,$I103=Tab_sel!$B$62),1,"")</f>
        <v>#N/A</v>
      </c>
      <c r="BR103" s="355" t="e">
        <f>IF(AND($BC103=0,$C103=Tab_sel!$P$7,$D103=Tab_sel!$O$24,$E103=Tab_sel!$N$31,$F103=Tab_sel!$N$40,$I103=Tab_sel!$B$63),1,"")</f>
        <v>#N/A</v>
      </c>
      <c r="BS103" s="355" t="e">
        <f>IF(AND($BC103=0,$C103=Tab_sel!$P$7,$D103=Tab_sel!$O$24,$E103=Tab_sel!$N$31,$F103=Tab_sel!$N$40,$I103=Tab_sel!$B$64),1,"")</f>
        <v>#N/A</v>
      </c>
      <c r="BT103" s="356" t="e">
        <f>IF(AND($BC103=0,$C103=Tab_sel!$P$7,$D103=Tab_sel!$O$24,$E103=Tab_sel!$N$31,$F103=Tab_sel!$N$40,$I103=Tab_sel!$B$65),1,"")</f>
        <v>#N/A</v>
      </c>
      <c r="BU103" s="856" t="e">
        <f>IF(AND($BC103=0,$C103=Tab_sel!$P$7,$D103=Tab_sel!$O$24,$E103=Tab_sel!$N$31,$F103=Tab_sel!$N$40,$I103=Tab_sel!$P$61,$H103=Tab_sel!$B$77),1,"")</f>
        <v>#N/A</v>
      </c>
      <c r="BV103" s="893" t="e">
        <f>IF(AND($BC103=0,$C103=Tab_sel!$P$7,$D103=Tab_sel!$O$24,$E103=Tab_sel!$N$31,$F103=Tab_sel!$N$40,$I103=Tab_sel!$P$61,$H103=Tab_sel!$B$78),1,"")</f>
        <v>#N/A</v>
      </c>
      <c r="BW103" s="893" t="e">
        <f>IF(AND($BC103=0,$C103=Tab_sel!$P$7,$D103=Tab_sel!$O$24,$E103=Tab_sel!$N$31,$F103=Tab_sel!$N$40,$I103=Tab_sel!$P$61,$H103=Tab_sel!$B$79),1,"")</f>
        <v>#N/A</v>
      </c>
      <c r="BX103" s="893" t="e">
        <f>IF(AND($BC103=0,$C103=Tab_sel!$P$7,$D103=Tab_sel!$O$24,$E103=Tab_sel!$N$31,$F103=Tab_sel!$N$40,$I103=Tab_sel!$P$61,$H103=Tab_sel!$B$80),1,"")</f>
        <v>#N/A</v>
      </c>
      <c r="BY103" s="893" t="e">
        <f>IF(AND($BC103=0,$C103=Tab_sel!$P$7,$D103=Tab_sel!$O$24,$E103=Tab_sel!$N$31,$F103=Tab_sel!$N$40,$I103=Tab_sel!$P$61,$H103=Tab_sel!$B$81),1,"")</f>
        <v>#N/A</v>
      </c>
      <c r="BZ103" s="857" t="e">
        <f>IF(AND($BC103=0,$C103=Tab_sel!$P$7,$D103=Tab_sel!$O$24,$E103=Tab_sel!$N$31,$F103=Tab_sel!$N$40,$I103=Tab_sel!$P$61,$H103=Tab_sel!$B$82),1,"")</f>
        <v>#N/A</v>
      </c>
      <c r="CA103" s="359"/>
      <c r="CC103">
        <f>IF(OR(AK103=1,AH103="",NOT(AB103="-")),0,1)</f>
        <v>0</v>
      </c>
      <c r="CD103" s="892">
        <f>IF(OR(AK103=1,AB103="-",AH103=""),0,1)</f>
        <v>0</v>
      </c>
      <c r="CE103" s="892">
        <f>IF(NOT(AK103=1),AB103)</f>
        <v>0</v>
      </c>
      <c r="CG103" t="s">
        <v>2634</v>
      </c>
      <c r="CH103" t="s">
        <v>2638</v>
      </c>
    </row>
    <row r="104" spans="2:87" ht="43.5" customHeight="1" x14ac:dyDescent="0.25">
      <c r="B104" s="791" t="s">
        <v>2400</v>
      </c>
      <c r="C104" s="874" t="s">
        <v>39</v>
      </c>
      <c r="D104" s="875" t="s">
        <v>76</v>
      </c>
      <c r="E104" s="771" t="str">
        <f t="shared" si="43"/>
        <v>Document</v>
      </c>
      <c r="F104" s="773" t="str">
        <f>Disp</f>
        <v>Disparition</v>
      </c>
      <c r="G104" s="889" t="s">
        <v>1125</v>
      </c>
      <c r="H104" s="889" t="s">
        <v>2512</v>
      </c>
      <c r="I104" s="874" t="s">
        <v>1204</v>
      </c>
      <c r="J104" s="769" t="s">
        <v>2373</v>
      </c>
      <c r="K104" s="769" t="s">
        <v>2447</v>
      </c>
      <c r="L104" s="887" t="s">
        <v>2350</v>
      </c>
      <c r="M104" s="788" t="s">
        <v>2350</v>
      </c>
      <c r="N104" s="851"/>
      <c r="O104" s="851"/>
      <c r="P104" s="875"/>
      <c r="Q104" s="803"/>
      <c r="R104" s="803"/>
      <c r="S104" s="804"/>
      <c r="T104" s="875"/>
      <c r="U104" s="875"/>
      <c r="V104" s="805"/>
      <c r="W104" s="851"/>
      <c r="X104" s="851"/>
      <c r="Y104" s="875"/>
      <c r="Z104" s="875"/>
      <c r="AA104" s="875"/>
      <c r="AB104" s="805"/>
      <c r="AC104" s="806"/>
      <c r="AD104" s="806"/>
      <c r="AE104" s="806"/>
      <c r="AF104" s="806"/>
      <c r="AG104" s="806"/>
      <c r="AH104" s="805"/>
      <c r="AI104" s="807" t="str">
        <f t="shared" si="2"/>
        <v/>
      </c>
      <c r="AJ104" s="805"/>
      <c r="AK104" s="359"/>
      <c r="AM104" t="str">
        <f t="shared" si="34"/>
        <v/>
      </c>
      <c r="AN104">
        <f t="shared" si="35"/>
        <v>0</v>
      </c>
      <c r="AV104" s="882"/>
      <c r="AW104" s="882">
        <f t="shared" si="29"/>
        <v>0</v>
      </c>
      <c r="AX104" s="882">
        <f t="shared" si="44"/>
        <v>1</v>
      </c>
      <c r="AY104" s="882">
        <f t="shared" si="45"/>
        <v>1</v>
      </c>
      <c r="AZ104" s="927">
        <f t="shared" si="46"/>
        <v>1</v>
      </c>
      <c r="BA104" s="882">
        <v>0</v>
      </c>
      <c r="BB104" s="925">
        <f t="shared" si="36"/>
        <v>0</v>
      </c>
      <c r="BC104" s="882">
        <f t="shared" si="47"/>
        <v>1</v>
      </c>
      <c r="BD104" s="342" t="e">
        <f>IF(AND($BC104=0,C104=Tab_sel!$P$7,$D104=Tab_sel!$O$24,$E104=Tab_sel!$B$31),1,"")</f>
        <v>#N/A</v>
      </c>
      <c r="BE104" s="322" t="e">
        <f>IF(AND($BC104=0,C104=Tab_sel!$P$7,$D104=Tab_sel!$O$24,$E104=Tab_sel!$B$32),1,"")</f>
        <v>#N/A</v>
      </c>
      <c r="BF104" s="322" t="e">
        <f>IF(AND($BC104=0,C104=Tab_sel!$P$7,$D104=Tab_sel!$O$24,$E104=Tab_sel!$B$33),1,"")</f>
        <v>#N/A</v>
      </c>
      <c r="BG104" s="322" t="e">
        <f>IF(AND($BC104=0,C104=Tab_sel!$P$7,$D104=Tab_sel!$O$24,$E104=Tab_sel!$B$34),1,"")</f>
        <v>#N/A</v>
      </c>
      <c r="BH104" s="322" t="e">
        <f>IF(AND($BC104=0,C104=Tab_sel!$P$7,$D104=Tab_sel!$O$24,$E104=Tab_sel!$B$35),1,"")</f>
        <v>#N/A</v>
      </c>
      <c r="BI104" s="343" t="e">
        <f>IF(AND($BC104=0,C104=Tab_sel!$P$7,$D104=Tab_sel!$O$24,$E104=Tab_sel!$B$36),1,"")</f>
        <v>#N/A</v>
      </c>
      <c r="BJ104" s="342" t="e">
        <f>IF(AND($BC104=0,$C104=Tab_sel!$P$7,$D104=Tab_sel!$O$24,$E104=Tab_sel!$N$31,$F104=Tab_sel!$B$40),1,"")</f>
        <v>#N/A</v>
      </c>
      <c r="BK104" s="322" t="e">
        <f>IF(AND($BC104=0,$C104=Tab_sel!$P$7,$D104=Tab_sel!$O$24,$E104=Tab_sel!$N$31,$F104=Tab_sel!$B$41),1,"")</f>
        <v>#N/A</v>
      </c>
      <c r="BL104" s="322" t="e">
        <f>IF(AND($BC104=0,$C104=Tab_sel!$P$7,$D104=Tab_sel!$O$24,$E104=Tab_sel!$N$31,$F104=Tab_sel!$B$42),1,"")</f>
        <v>#N/A</v>
      </c>
      <c r="BM104" s="322" t="e">
        <f>IF(AND($BC104=0,$C104=Tab_sel!$P$7,$D104=Tab_sel!$O$24,$E104=Tab_sel!$N$31,$F104=Tab_sel!$B$43),1,"")</f>
        <v>#N/A</v>
      </c>
      <c r="BN104" s="322" t="e">
        <f>IF(AND($BC104=0,$C104=Tab_sel!$P$7,$D104=Tab_sel!$O$24,$E104=Tab_sel!$N$31,$F104=Tab_sel!$B$44),1,"")</f>
        <v>#N/A</v>
      </c>
      <c r="BO104" s="343" t="e">
        <f>IF(AND($BC104=0,$C104=Tab_sel!$P$7,$D104=Tab_sel!$O$24,$E104=Tab_sel!$N$31,$F104=Tab_sel!$B$45),1,"")</f>
        <v>#N/A</v>
      </c>
      <c r="BP104" s="354" t="e">
        <f>IF(AND($BC104=0,$C104=Tab_sel!$P$7,$D104=Tab_sel!$O$24,$E104=Tab_sel!$N$31,$F104=Tab_sel!$N$40,$I104=Tab_sel!$B$61),1,"")</f>
        <v>#N/A</v>
      </c>
      <c r="BQ104" s="355" t="e">
        <f>IF(AND($BC104=0,$C104=Tab_sel!$P$7,$D104=Tab_sel!$O$24,$E104=Tab_sel!$N$31,$F104=Tab_sel!$N$40,$I104=Tab_sel!$B$62),1,"")</f>
        <v>#N/A</v>
      </c>
      <c r="BR104" s="355" t="e">
        <f>IF(AND($BC104=0,$C104=Tab_sel!$P$7,$D104=Tab_sel!$O$24,$E104=Tab_sel!$N$31,$F104=Tab_sel!$N$40,$I104=Tab_sel!$B$63),1,"")</f>
        <v>#N/A</v>
      </c>
      <c r="BS104" s="355" t="e">
        <f>IF(AND($BC104=0,$C104=Tab_sel!$P$7,$D104=Tab_sel!$O$24,$E104=Tab_sel!$N$31,$F104=Tab_sel!$N$40,$I104=Tab_sel!$B$64),1,"")</f>
        <v>#N/A</v>
      </c>
      <c r="BT104" s="356" t="e">
        <f>IF(AND($BC104=0,$C104=Tab_sel!$P$7,$D104=Tab_sel!$O$24,$E104=Tab_sel!$N$31,$F104=Tab_sel!$N$40,$I104=Tab_sel!$B$65),1,"")</f>
        <v>#N/A</v>
      </c>
      <c r="BU104" s="856" t="e">
        <f>IF(AND($BC104=0,$C104=Tab_sel!$P$7,$D104=Tab_sel!$O$24,$E104=Tab_sel!$N$31,$F104=Tab_sel!$N$40,$I104=Tab_sel!$P$61,$H104=Tab_sel!$B$77),1,"")</f>
        <v>#N/A</v>
      </c>
      <c r="BV104" s="883" t="e">
        <f>IF(AND($BC104=0,$C104=Tab_sel!$P$7,$D104=Tab_sel!$O$24,$E104=Tab_sel!$N$31,$F104=Tab_sel!$N$40,$I104=Tab_sel!$P$61,$H104=Tab_sel!$B$78),1,"")</f>
        <v>#N/A</v>
      </c>
      <c r="BW104" s="883" t="e">
        <f>IF(AND($BC104=0,$C104=Tab_sel!$P$7,$D104=Tab_sel!$O$24,$E104=Tab_sel!$N$31,$F104=Tab_sel!$N$40,$I104=Tab_sel!$P$61,$H104=Tab_sel!$B$79),1,"")</f>
        <v>#N/A</v>
      </c>
      <c r="BX104" s="883" t="e">
        <f>IF(AND($BC104=0,$C104=Tab_sel!$P$7,$D104=Tab_sel!$O$24,$E104=Tab_sel!$N$31,$F104=Tab_sel!$N$40,$I104=Tab_sel!$P$61,$H104=Tab_sel!$B$80),1,"")</f>
        <v>#N/A</v>
      </c>
      <c r="BY104" s="883" t="e">
        <f>IF(AND($BC104=0,$C104=Tab_sel!$P$7,$D104=Tab_sel!$O$24,$E104=Tab_sel!$N$31,$F104=Tab_sel!$N$40,$I104=Tab_sel!$P$61,$H104=Tab_sel!$B$81),1,"")</f>
        <v>#N/A</v>
      </c>
      <c r="BZ104" s="857" t="e">
        <f>IF(AND($BC104=0,$C104=Tab_sel!$P$7,$D104=Tab_sel!$O$24,$E104=Tab_sel!$N$31,$F104=Tab_sel!$N$40,$I104=Tab_sel!$P$61,$H104=Tab_sel!$B$82),1,"")</f>
        <v>#N/A</v>
      </c>
      <c r="CA104" s="359"/>
      <c r="CC104">
        <f t="shared" si="30"/>
        <v>0</v>
      </c>
      <c r="CD104" s="882">
        <f t="shared" si="31"/>
        <v>0</v>
      </c>
      <c r="CE104" s="882">
        <f t="shared" si="32"/>
        <v>0</v>
      </c>
      <c r="CG104" t="s">
        <v>2634</v>
      </c>
      <c r="CH104" t="s">
        <v>2637</v>
      </c>
    </row>
    <row r="105" spans="2:87" ht="43.5" customHeight="1" x14ac:dyDescent="0.25">
      <c r="B105" s="791" t="s">
        <v>2511</v>
      </c>
      <c r="C105" s="874" t="s">
        <v>39</v>
      </c>
      <c r="D105" s="875" t="s">
        <v>76</v>
      </c>
      <c r="E105" s="771" t="str">
        <f t="shared" si="43"/>
        <v>Document</v>
      </c>
      <c r="F105" s="773" t="str">
        <f>Disp</f>
        <v>Disparition</v>
      </c>
      <c r="G105" s="889" t="s">
        <v>1125</v>
      </c>
      <c r="H105" s="889" t="s">
        <v>2401</v>
      </c>
      <c r="I105" s="874" t="s">
        <v>1204</v>
      </c>
      <c r="J105" s="877" t="s">
        <v>2350</v>
      </c>
      <c r="K105" s="877" t="s">
        <v>1358</v>
      </c>
      <c r="L105" s="887" t="s">
        <v>2350</v>
      </c>
      <c r="M105" s="788" t="s">
        <v>2350</v>
      </c>
      <c r="N105" s="851"/>
      <c r="O105" s="851"/>
      <c r="P105" s="875"/>
      <c r="Q105" s="803"/>
      <c r="R105" s="803"/>
      <c r="S105" s="804"/>
      <c r="T105" s="875"/>
      <c r="U105" s="875"/>
      <c r="V105" s="805"/>
      <c r="W105" s="851"/>
      <c r="X105" s="851"/>
      <c r="Y105" s="875"/>
      <c r="Z105" s="875"/>
      <c r="AA105" s="875"/>
      <c r="AB105" s="805"/>
      <c r="AC105" s="806"/>
      <c r="AD105" s="806"/>
      <c r="AE105" s="806"/>
      <c r="AF105" s="806"/>
      <c r="AG105" s="806"/>
      <c r="AH105" s="805"/>
      <c r="AI105" s="807" t="str">
        <f t="shared" si="2"/>
        <v/>
      </c>
      <c r="AJ105" s="805"/>
      <c r="AK105" s="359"/>
      <c r="AM105" t="str">
        <f t="shared" si="34"/>
        <v/>
      </c>
      <c r="AN105">
        <f t="shared" si="35"/>
        <v>0</v>
      </c>
      <c r="AV105" s="882"/>
      <c r="AW105" s="882">
        <f t="shared" si="29"/>
        <v>0</v>
      </c>
      <c r="AX105" s="882">
        <f t="shared" si="44"/>
        <v>1</v>
      </c>
      <c r="AY105" s="882">
        <f t="shared" si="45"/>
        <v>1</v>
      </c>
      <c r="AZ105" s="927">
        <f t="shared" si="46"/>
        <v>1</v>
      </c>
      <c r="BA105" s="882">
        <v>0</v>
      </c>
      <c r="BB105" s="925">
        <f t="shared" si="36"/>
        <v>0</v>
      </c>
      <c r="BC105" s="882">
        <f t="shared" si="47"/>
        <v>1</v>
      </c>
      <c r="BD105" s="342" t="e">
        <f>IF(AND($BC105=0,C105=Tab_sel!$P$7,$D105=Tab_sel!$O$24,$E105=Tab_sel!$B$31),1,"")</f>
        <v>#N/A</v>
      </c>
      <c r="BE105" s="322" t="e">
        <f>IF(AND($BC105=0,C105=Tab_sel!$P$7,$D105=Tab_sel!$O$24,$E105=Tab_sel!$B$32),1,"")</f>
        <v>#N/A</v>
      </c>
      <c r="BF105" s="322" t="e">
        <f>IF(AND($BC105=0,C105=Tab_sel!$P$7,$D105=Tab_sel!$O$24,$E105=Tab_sel!$B$33),1,"")</f>
        <v>#N/A</v>
      </c>
      <c r="BG105" s="322" t="e">
        <f>IF(AND($BC105=0,C105=Tab_sel!$P$7,$D105=Tab_sel!$O$24,$E105=Tab_sel!$B$34),1,"")</f>
        <v>#N/A</v>
      </c>
      <c r="BH105" s="322" t="e">
        <f>IF(AND($BC105=0,C105=Tab_sel!$P$7,$D105=Tab_sel!$O$24,$E105=Tab_sel!$B$35),1,"")</f>
        <v>#N/A</v>
      </c>
      <c r="BI105" s="343" t="e">
        <f>IF(AND($BC105=0,C105=Tab_sel!$P$7,$D105=Tab_sel!$O$24,$E105=Tab_sel!$B$36),1,"")</f>
        <v>#N/A</v>
      </c>
      <c r="BJ105" s="342" t="e">
        <f>IF(AND($BC105=0,$C105=Tab_sel!$P$7,$D105=Tab_sel!$O$24,$E105=Tab_sel!$N$31,$F105=Tab_sel!$B$40),1,"")</f>
        <v>#N/A</v>
      </c>
      <c r="BK105" s="322" t="e">
        <f>IF(AND($BC105=0,$C105=Tab_sel!$P$7,$D105=Tab_sel!$O$24,$E105=Tab_sel!$N$31,$F105=Tab_sel!$B$41),1,"")</f>
        <v>#N/A</v>
      </c>
      <c r="BL105" s="322" t="e">
        <f>IF(AND($BC105=0,$C105=Tab_sel!$P$7,$D105=Tab_sel!$O$24,$E105=Tab_sel!$N$31,$F105=Tab_sel!$B$42),1,"")</f>
        <v>#N/A</v>
      </c>
      <c r="BM105" s="322" t="e">
        <f>IF(AND($BC105=0,$C105=Tab_sel!$P$7,$D105=Tab_sel!$O$24,$E105=Tab_sel!$N$31,$F105=Tab_sel!$B$43),1,"")</f>
        <v>#N/A</v>
      </c>
      <c r="BN105" s="322" t="e">
        <f>IF(AND($BC105=0,$C105=Tab_sel!$P$7,$D105=Tab_sel!$O$24,$E105=Tab_sel!$N$31,$F105=Tab_sel!$B$44),1,"")</f>
        <v>#N/A</v>
      </c>
      <c r="BO105" s="343" t="e">
        <f>IF(AND($BC105=0,$C105=Tab_sel!$P$7,$D105=Tab_sel!$O$24,$E105=Tab_sel!$N$31,$F105=Tab_sel!$B$45),1,"")</f>
        <v>#N/A</v>
      </c>
      <c r="BP105" s="354" t="e">
        <f>IF(AND($BC105=0,$C105=Tab_sel!$P$7,$D105=Tab_sel!$O$24,$E105=Tab_sel!$N$31,$F105=Tab_sel!$N$40,$I105=Tab_sel!$B$61),1,"")</f>
        <v>#N/A</v>
      </c>
      <c r="BQ105" s="355" t="e">
        <f>IF(AND($BC105=0,$C105=Tab_sel!$P$7,$D105=Tab_sel!$O$24,$E105=Tab_sel!$N$31,$F105=Tab_sel!$N$40,$I105=Tab_sel!$B$62),1,"")</f>
        <v>#N/A</v>
      </c>
      <c r="BR105" s="355" t="e">
        <f>IF(AND($BC105=0,$C105=Tab_sel!$P$7,$D105=Tab_sel!$O$24,$E105=Tab_sel!$N$31,$F105=Tab_sel!$N$40,$I105=Tab_sel!$B$63),1,"")</f>
        <v>#N/A</v>
      </c>
      <c r="BS105" s="355" t="e">
        <f>IF(AND($BC105=0,$C105=Tab_sel!$P$7,$D105=Tab_sel!$O$24,$E105=Tab_sel!$N$31,$F105=Tab_sel!$N$40,$I105=Tab_sel!$B$64),1,"")</f>
        <v>#N/A</v>
      </c>
      <c r="BT105" s="356" t="e">
        <f>IF(AND($BC105=0,$C105=Tab_sel!$P$7,$D105=Tab_sel!$O$24,$E105=Tab_sel!$N$31,$F105=Tab_sel!$N$40,$I105=Tab_sel!$B$65),1,"")</f>
        <v>#N/A</v>
      </c>
      <c r="BU105" s="856" t="e">
        <f>IF(AND($BC105=0,$C105=Tab_sel!$P$7,$D105=Tab_sel!$O$24,$E105=Tab_sel!$N$31,$F105=Tab_sel!$N$40,$I105=Tab_sel!$P$61,$H105=Tab_sel!$B$77),1,"")</f>
        <v>#N/A</v>
      </c>
      <c r="BV105" s="883" t="e">
        <f>IF(AND($BC105=0,$C105=Tab_sel!$P$7,$D105=Tab_sel!$O$24,$E105=Tab_sel!$N$31,$F105=Tab_sel!$N$40,$I105=Tab_sel!$P$61,$H105=Tab_sel!$B$78),1,"")</f>
        <v>#N/A</v>
      </c>
      <c r="BW105" s="883" t="e">
        <f>IF(AND($BC105=0,$C105=Tab_sel!$P$7,$D105=Tab_sel!$O$24,$E105=Tab_sel!$N$31,$F105=Tab_sel!$N$40,$I105=Tab_sel!$P$61,$H105=Tab_sel!$B$79),1,"")</f>
        <v>#N/A</v>
      </c>
      <c r="BX105" s="883" t="e">
        <f>IF(AND($BC105=0,$C105=Tab_sel!$P$7,$D105=Tab_sel!$O$24,$E105=Tab_sel!$N$31,$F105=Tab_sel!$N$40,$I105=Tab_sel!$P$61,$H105=Tab_sel!$B$80),1,"")</f>
        <v>#N/A</v>
      </c>
      <c r="BY105" s="883" t="e">
        <f>IF(AND($BC105=0,$C105=Tab_sel!$P$7,$D105=Tab_sel!$O$24,$E105=Tab_sel!$N$31,$F105=Tab_sel!$N$40,$I105=Tab_sel!$P$61,$H105=Tab_sel!$B$81),1,"")</f>
        <v>#N/A</v>
      </c>
      <c r="BZ105" s="857" t="e">
        <f>IF(AND($BC105=0,$C105=Tab_sel!$P$7,$D105=Tab_sel!$O$24,$E105=Tab_sel!$N$31,$F105=Tab_sel!$N$40,$I105=Tab_sel!$P$61,$H105=Tab_sel!$B$82),1,"")</f>
        <v>#N/A</v>
      </c>
      <c r="CA105" s="359"/>
      <c r="CC105">
        <f t="shared" si="30"/>
        <v>0</v>
      </c>
      <c r="CD105" s="882">
        <f t="shared" si="31"/>
        <v>0</v>
      </c>
      <c r="CE105" s="882">
        <f t="shared" si="32"/>
        <v>0</v>
      </c>
      <c r="CH105" t="s">
        <v>2654</v>
      </c>
    </row>
    <row r="106" spans="2:87" ht="56.25" customHeight="1" x14ac:dyDescent="0.25">
      <c r="B106" s="791" t="s">
        <v>1416</v>
      </c>
      <c r="C106" s="771" t="s">
        <v>39</v>
      </c>
      <c r="D106" s="772" t="s">
        <v>76</v>
      </c>
      <c r="E106" s="771" t="str">
        <f t="shared" si="43"/>
        <v>Document</v>
      </c>
      <c r="F106" s="783" t="str">
        <f>Endp</f>
        <v>Endommagement physique</v>
      </c>
      <c r="G106" s="780" t="s">
        <v>1811</v>
      </c>
      <c r="H106" s="780"/>
      <c r="I106" s="771" t="s">
        <v>1813</v>
      </c>
      <c r="J106" s="775"/>
      <c r="K106" s="775" t="s">
        <v>1353</v>
      </c>
      <c r="L106" s="775" t="s">
        <v>1257</v>
      </c>
      <c r="M106" s="788"/>
      <c r="N106" s="767"/>
      <c r="O106" s="767"/>
      <c r="P106" s="772"/>
      <c r="Q106" s="803"/>
      <c r="R106" s="803"/>
      <c r="S106" s="804"/>
      <c r="T106" s="772"/>
      <c r="U106" s="772"/>
      <c r="V106" s="805"/>
      <c r="W106" s="767"/>
      <c r="X106" s="767"/>
      <c r="Y106" s="772"/>
      <c r="Z106" s="772"/>
      <c r="AA106" s="772"/>
      <c r="AB106" s="805"/>
      <c r="AC106" s="806"/>
      <c r="AD106" s="806"/>
      <c r="AE106" s="806"/>
      <c r="AF106" s="806"/>
      <c r="AG106" s="806"/>
      <c r="AH106" s="805"/>
      <c r="AI106" s="807" t="str">
        <f t="shared" si="2"/>
        <v/>
      </c>
      <c r="AJ106" s="805"/>
      <c r="AK106" s="359"/>
      <c r="AM106" t="str">
        <f t="shared" si="34"/>
        <v/>
      </c>
      <c r="AN106">
        <f t="shared" si="35"/>
        <v>0</v>
      </c>
      <c r="AW106" s="882">
        <f t="shared" si="29"/>
        <v>0</v>
      </c>
      <c r="AX106" s="882">
        <f t="shared" si="44"/>
        <v>1</v>
      </c>
      <c r="AY106" s="882">
        <f t="shared" si="45"/>
        <v>1</v>
      </c>
      <c r="AZ106" s="927">
        <f t="shared" si="46"/>
        <v>1</v>
      </c>
      <c r="BA106" s="882">
        <v>1</v>
      </c>
      <c r="BB106" s="925">
        <f t="shared" si="36"/>
        <v>0</v>
      </c>
      <c r="BC106" s="882">
        <f t="shared" si="47"/>
        <v>1</v>
      </c>
      <c r="BD106" s="342" t="e">
        <f>IF(AND($BC106=0,C106=Tab_sel!$P$7,$D106=Tab_sel!$O$24,$E106=Tab_sel!$B$31),1,"")</f>
        <v>#N/A</v>
      </c>
      <c r="BE106" s="322" t="e">
        <f>IF(AND($BC106=0,C106=Tab_sel!$P$7,$D106=Tab_sel!$O$24,$E106=Tab_sel!$B$32),1,"")</f>
        <v>#N/A</v>
      </c>
      <c r="BF106" s="322" t="e">
        <f>IF(AND($BC106=0,C106=Tab_sel!$P$7,$D106=Tab_sel!$O$24,$E106=Tab_sel!$B$33),1,"")</f>
        <v>#N/A</v>
      </c>
      <c r="BG106" s="322" t="e">
        <f>IF(AND($BC106=0,C106=Tab_sel!$P$7,$D106=Tab_sel!$O$24,$E106=Tab_sel!$B$34),1,"")</f>
        <v>#N/A</v>
      </c>
      <c r="BH106" s="322" t="e">
        <f>IF(AND($BC106=0,C106=Tab_sel!$P$7,$D106=Tab_sel!$O$24,$E106=Tab_sel!$B$35),1,"")</f>
        <v>#N/A</v>
      </c>
      <c r="BI106" s="343" t="e">
        <f>IF(AND($BC106=0,C106=Tab_sel!$P$7,$D106=Tab_sel!$O$24,$E106=Tab_sel!$B$36),1,"")</f>
        <v>#N/A</v>
      </c>
      <c r="BJ106" s="342" t="e">
        <f>IF(AND($BC106=0,$C106=Tab_sel!$P$7,$D106=Tab_sel!$O$24,$E106=Tab_sel!$N$31,$F106=Tab_sel!$B$40),1,"")</f>
        <v>#N/A</v>
      </c>
      <c r="BK106" s="322" t="e">
        <f>IF(AND($BC106=0,$C106=Tab_sel!$P$7,$D106=Tab_sel!$O$24,$E106=Tab_sel!$N$31,$F106=Tab_sel!$B$41),1,"")</f>
        <v>#N/A</v>
      </c>
      <c r="BL106" s="322" t="e">
        <f>IF(AND($BC106=0,$C106=Tab_sel!$P$7,$D106=Tab_sel!$O$24,$E106=Tab_sel!$N$31,$F106=Tab_sel!$B$42),1,"")</f>
        <v>#N/A</v>
      </c>
      <c r="BM106" s="322" t="e">
        <f>IF(AND($BC106=0,$C106=Tab_sel!$P$7,$D106=Tab_sel!$O$24,$E106=Tab_sel!$N$31,$F106=Tab_sel!$B$43),1,"")</f>
        <v>#N/A</v>
      </c>
      <c r="BN106" s="322" t="e">
        <f>IF(AND($BC106=0,$C106=Tab_sel!$P$7,$D106=Tab_sel!$O$24,$E106=Tab_sel!$N$31,$F106=Tab_sel!$B$44),1,"")</f>
        <v>#N/A</v>
      </c>
      <c r="BO106" s="343" t="e">
        <f>IF(AND($BC106=0,$C106=Tab_sel!$P$7,$D106=Tab_sel!$O$24,$E106=Tab_sel!$N$31,$F106=Tab_sel!$B$45),1,"")</f>
        <v>#N/A</v>
      </c>
      <c r="BP106" s="354" t="e">
        <f>IF(AND($BC106=0,$C106=Tab_sel!$P$7,$D106=Tab_sel!$O$24,$E106=Tab_sel!$N$31,$F106=Tab_sel!$N$40,$I106=Tab_sel!$B$61),1,"")</f>
        <v>#N/A</v>
      </c>
      <c r="BQ106" s="355" t="e">
        <f>IF(AND($BC106=0,$C106=Tab_sel!$P$7,$D106=Tab_sel!$O$24,$E106=Tab_sel!$N$31,$F106=Tab_sel!$N$40,$I106=Tab_sel!$B$62),1,"")</f>
        <v>#N/A</v>
      </c>
      <c r="BR106" s="355" t="e">
        <f>IF(AND($BC106=0,$C106=Tab_sel!$P$7,$D106=Tab_sel!$O$24,$E106=Tab_sel!$N$31,$F106=Tab_sel!$N$40,$I106=Tab_sel!$B$63),1,"")</f>
        <v>#N/A</v>
      </c>
      <c r="BS106" s="355" t="e">
        <f>IF(AND($BC106=0,$C106=Tab_sel!$P$7,$D106=Tab_sel!$O$24,$E106=Tab_sel!$N$31,$F106=Tab_sel!$N$40,$I106=Tab_sel!$B$64),1,"")</f>
        <v>#N/A</v>
      </c>
      <c r="BT106" s="356" t="e">
        <f>IF(AND($BC106=0,$C106=Tab_sel!$P$7,$D106=Tab_sel!$O$24,$E106=Tab_sel!$N$31,$F106=Tab_sel!$N$40,$I106=Tab_sel!$B$65),1,"")</f>
        <v>#N/A</v>
      </c>
      <c r="BU106" s="856" t="e">
        <f>IF(AND($BC106=0,$C106=Tab_sel!$P$7,$D106=Tab_sel!$O$24,$E106=Tab_sel!$N$31,$F106=Tab_sel!$N$40,$I106=Tab_sel!$P$61,$H106=Tab_sel!$B$77),1,"")</f>
        <v>#N/A</v>
      </c>
      <c r="BV106" s="883" t="e">
        <f>IF(AND($BC106=0,$C106=Tab_sel!$P$7,$D106=Tab_sel!$O$24,$E106=Tab_sel!$N$31,$F106=Tab_sel!$N$40,$I106=Tab_sel!$P$61,$H106=Tab_sel!$B$78),1,"")</f>
        <v>#N/A</v>
      </c>
      <c r="BW106" s="883" t="e">
        <f>IF(AND($BC106=0,$C106=Tab_sel!$P$7,$D106=Tab_sel!$O$24,$E106=Tab_sel!$N$31,$F106=Tab_sel!$N$40,$I106=Tab_sel!$P$61,$H106=Tab_sel!$B$79),1,"")</f>
        <v>#N/A</v>
      </c>
      <c r="BX106" s="883" t="e">
        <f>IF(AND($BC106=0,$C106=Tab_sel!$P$7,$D106=Tab_sel!$O$24,$E106=Tab_sel!$N$31,$F106=Tab_sel!$N$40,$I106=Tab_sel!$P$61,$H106=Tab_sel!$B$80),1,"")</f>
        <v>#N/A</v>
      </c>
      <c r="BY106" s="883" t="e">
        <f>IF(AND($BC106=0,$C106=Tab_sel!$P$7,$D106=Tab_sel!$O$24,$E106=Tab_sel!$N$31,$F106=Tab_sel!$N$40,$I106=Tab_sel!$P$61,$H106=Tab_sel!$B$81),1,"")</f>
        <v>#N/A</v>
      </c>
      <c r="BZ106" s="857" t="e">
        <f>IF(AND($BC106=0,$C106=Tab_sel!$P$7,$D106=Tab_sel!$O$24,$E106=Tab_sel!$N$31,$F106=Tab_sel!$N$40,$I106=Tab_sel!$P$61,$H106=Tab_sel!$B$82),1,"")</f>
        <v>#N/A</v>
      </c>
      <c r="CA106" s="359"/>
      <c r="CC106">
        <f t="shared" si="30"/>
        <v>0</v>
      </c>
      <c r="CD106" s="882">
        <f t="shared" si="31"/>
        <v>0</v>
      </c>
      <c r="CE106" s="882">
        <f t="shared" si="32"/>
        <v>0</v>
      </c>
      <c r="CH106" t="s">
        <v>2638</v>
      </c>
      <c r="CI106" t="s">
        <v>2686</v>
      </c>
    </row>
    <row r="107" spans="2:87" ht="48" customHeight="1" x14ac:dyDescent="0.25">
      <c r="B107" s="791" t="s">
        <v>1417</v>
      </c>
      <c r="C107" s="771" t="s">
        <v>39</v>
      </c>
      <c r="D107" s="772" t="s">
        <v>76</v>
      </c>
      <c r="E107" s="771" t="str">
        <f t="shared" si="43"/>
        <v>Document</v>
      </c>
      <c r="F107" s="783" t="str">
        <f>Endp</f>
        <v>Endommagement physique</v>
      </c>
      <c r="G107" s="780" t="s">
        <v>1111</v>
      </c>
      <c r="H107" s="780"/>
      <c r="I107" s="771" t="s">
        <v>1206</v>
      </c>
      <c r="J107" s="775"/>
      <c r="K107" s="775" t="s">
        <v>1353</v>
      </c>
      <c r="L107" s="775"/>
      <c r="M107" s="788"/>
      <c r="N107" s="767"/>
      <c r="O107" s="767"/>
      <c r="P107" s="772"/>
      <c r="Q107" s="803"/>
      <c r="R107" s="803"/>
      <c r="S107" s="804"/>
      <c r="T107" s="772"/>
      <c r="U107" s="772"/>
      <c r="V107" s="805"/>
      <c r="W107" s="767"/>
      <c r="X107" s="767"/>
      <c r="Y107" s="772"/>
      <c r="Z107" s="772"/>
      <c r="AA107" s="772"/>
      <c r="AB107" s="805"/>
      <c r="AC107" s="806"/>
      <c r="AD107" s="806"/>
      <c r="AE107" s="806"/>
      <c r="AF107" s="806"/>
      <c r="AG107" s="806"/>
      <c r="AH107" s="805"/>
      <c r="AI107" s="807" t="str">
        <f t="shared" si="2"/>
        <v/>
      </c>
      <c r="AJ107" s="805"/>
      <c r="AK107" s="359"/>
      <c r="AM107" t="str">
        <f t="shared" si="34"/>
        <v/>
      </c>
      <c r="AN107">
        <f t="shared" si="35"/>
        <v>0</v>
      </c>
      <c r="AW107" s="882">
        <f t="shared" si="29"/>
        <v>0</v>
      </c>
      <c r="AX107" s="882">
        <f t="shared" si="44"/>
        <v>1</v>
      </c>
      <c r="AY107" s="882">
        <f t="shared" si="45"/>
        <v>1</v>
      </c>
      <c r="AZ107" s="927">
        <f t="shared" si="46"/>
        <v>1</v>
      </c>
      <c r="BA107" s="882">
        <v>1</v>
      </c>
      <c r="BB107" s="925">
        <f t="shared" si="36"/>
        <v>0</v>
      </c>
      <c r="BC107" s="882">
        <f t="shared" si="47"/>
        <v>1</v>
      </c>
      <c r="BD107" s="342" t="e">
        <f>IF(AND($BC107=0,C107=Tab_sel!$P$7,$D107=Tab_sel!$O$24,$E107=Tab_sel!$B$31),1,"")</f>
        <v>#N/A</v>
      </c>
      <c r="BE107" s="322" t="e">
        <f>IF(AND($BC107=0,C107=Tab_sel!$P$7,$D107=Tab_sel!$O$24,$E107=Tab_sel!$B$32),1,"")</f>
        <v>#N/A</v>
      </c>
      <c r="BF107" s="322" t="e">
        <f>IF(AND($BC107=0,C107=Tab_sel!$P$7,$D107=Tab_sel!$O$24,$E107=Tab_sel!$B$33),1,"")</f>
        <v>#N/A</v>
      </c>
      <c r="BG107" s="322" t="e">
        <f>IF(AND($BC107=0,C107=Tab_sel!$P$7,$D107=Tab_sel!$O$24,$E107=Tab_sel!$B$34),1,"")</f>
        <v>#N/A</v>
      </c>
      <c r="BH107" s="322" t="e">
        <f>IF(AND($BC107=0,C107=Tab_sel!$P$7,$D107=Tab_sel!$O$24,$E107=Tab_sel!$B$35),1,"")</f>
        <v>#N/A</v>
      </c>
      <c r="BI107" s="343" t="e">
        <f>IF(AND($BC107=0,C107=Tab_sel!$P$7,$D107=Tab_sel!$O$24,$E107=Tab_sel!$B$36),1,"")</f>
        <v>#N/A</v>
      </c>
      <c r="BJ107" s="342" t="e">
        <f>IF(AND($BC107=0,$C107=Tab_sel!$P$7,$D107=Tab_sel!$O$24,$E107=Tab_sel!$N$31,$F107=Tab_sel!$B$40),1,"")</f>
        <v>#N/A</v>
      </c>
      <c r="BK107" s="322" t="e">
        <f>IF(AND($BC107=0,$C107=Tab_sel!$P$7,$D107=Tab_sel!$O$24,$E107=Tab_sel!$N$31,$F107=Tab_sel!$B$41),1,"")</f>
        <v>#N/A</v>
      </c>
      <c r="BL107" s="322" t="e">
        <f>IF(AND($BC107=0,$C107=Tab_sel!$P$7,$D107=Tab_sel!$O$24,$E107=Tab_sel!$N$31,$F107=Tab_sel!$B$42),1,"")</f>
        <v>#N/A</v>
      </c>
      <c r="BM107" s="322" t="e">
        <f>IF(AND($BC107=0,$C107=Tab_sel!$P$7,$D107=Tab_sel!$O$24,$E107=Tab_sel!$N$31,$F107=Tab_sel!$B$43),1,"")</f>
        <v>#N/A</v>
      </c>
      <c r="BN107" s="322" t="e">
        <f>IF(AND($BC107=0,$C107=Tab_sel!$P$7,$D107=Tab_sel!$O$24,$E107=Tab_sel!$N$31,$F107=Tab_sel!$B$44),1,"")</f>
        <v>#N/A</v>
      </c>
      <c r="BO107" s="343" t="e">
        <f>IF(AND($BC107=0,$C107=Tab_sel!$P$7,$D107=Tab_sel!$O$24,$E107=Tab_sel!$N$31,$F107=Tab_sel!$B$45),1,"")</f>
        <v>#N/A</v>
      </c>
      <c r="BP107" s="354" t="e">
        <f>IF(AND($BC107=0,$C107=Tab_sel!$P$7,$D107=Tab_sel!$O$24,$E107=Tab_sel!$N$31,$F107=Tab_sel!$N$40,$I107=Tab_sel!$B$61),1,"")</f>
        <v>#N/A</v>
      </c>
      <c r="BQ107" s="355" t="e">
        <f>IF(AND($BC107=0,$C107=Tab_sel!$P$7,$D107=Tab_sel!$O$24,$E107=Tab_sel!$N$31,$F107=Tab_sel!$N$40,$I107=Tab_sel!$B$62),1,"")</f>
        <v>#N/A</v>
      </c>
      <c r="BR107" s="355" t="e">
        <f>IF(AND($BC107=0,$C107=Tab_sel!$P$7,$D107=Tab_sel!$O$24,$E107=Tab_sel!$N$31,$F107=Tab_sel!$N$40,$I107=Tab_sel!$B$63),1,"")</f>
        <v>#N/A</v>
      </c>
      <c r="BS107" s="355" t="e">
        <f>IF(AND($BC107=0,$C107=Tab_sel!$P$7,$D107=Tab_sel!$O$24,$E107=Tab_sel!$N$31,$F107=Tab_sel!$N$40,$I107=Tab_sel!$B$64),1,"")</f>
        <v>#N/A</v>
      </c>
      <c r="BT107" s="356" t="e">
        <f>IF(AND($BC107=0,$C107=Tab_sel!$P$7,$D107=Tab_sel!$O$24,$E107=Tab_sel!$N$31,$F107=Tab_sel!$N$40,$I107=Tab_sel!$B$65),1,"")</f>
        <v>#N/A</v>
      </c>
      <c r="BU107" s="856" t="e">
        <f>IF(AND($BC107=0,$C107=Tab_sel!$P$7,$D107=Tab_sel!$O$24,$E107=Tab_sel!$N$31,$F107=Tab_sel!$N$40,$I107=Tab_sel!$P$61,$H107=Tab_sel!$B$77),1,"")</f>
        <v>#N/A</v>
      </c>
      <c r="BV107" s="883" t="e">
        <f>IF(AND($BC107=0,$C107=Tab_sel!$P$7,$D107=Tab_sel!$O$24,$E107=Tab_sel!$N$31,$F107=Tab_sel!$N$40,$I107=Tab_sel!$P$61,$H107=Tab_sel!$B$78),1,"")</f>
        <v>#N/A</v>
      </c>
      <c r="BW107" s="883" t="e">
        <f>IF(AND($BC107=0,$C107=Tab_sel!$P$7,$D107=Tab_sel!$O$24,$E107=Tab_sel!$N$31,$F107=Tab_sel!$N$40,$I107=Tab_sel!$P$61,$H107=Tab_sel!$B$79),1,"")</f>
        <v>#N/A</v>
      </c>
      <c r="BX107" s="883" t="e">
        <f>IF(AND($BC107=0,$C107=Tab_sel!$P$7,$D107=Tab_sel!$O$24,$E107=Tab_sel!$N$31,$F107=Tab_sel!$N$40,$I107=Tab_sel!$P$61,$H107=Tab_sel!$B$80),1,"")</f>
        <v>#N/A</v>
      </c>
      <c r="BY107" s="883" t="e">
        <f>IF(AND($BC107=0,$C107=Tab_sel!$P$7,$D107=Tab_sel!$O$24,$E107=Tab_sel!$N$31,$F107=Tab_sel!$N$40,$I107=Tab_sel!$P$61,$H107=Tab_sel!$B$81),1,"")</f>
        <v>#N/A</v>
      </c>
      <c r="BZ107" s="857" t="e">
        <f>IF(AND($BC107=0,$C107=Tab_sel!$P$7,$D107=Tab_sel!$O$24,$E107=Tab_sel!$N$31,$F107=Tab_sel!$N$40,$I107=Tab_sel!$P$61,$H107=Tab_sel!$B$82),1,"")</f>
        <v>#N/A</v>
      </c>
      <c r="CA107" s="359"/>
      <c r="CC107">
        <f t="shared" si="30"/>
        <v>0</v>
      </c>
      <c r="CD107" s="882">
        <f t="shared" si="31"/>
        <v>0</v>
      </c>
      <c r="CE107" s="882">
        <f t="shared" si="32"/>
        <v>0</v>
      </c>
      <c r="CH107" t="s">
        <v>2638</v>
      </c>
    </row>
    <row r="108" spans="2:87" ht="56.25" customHeight="1" x14ac:dyDescent="0.25">
      <c r="B108" s="791" t="s">
        <v>1484</v>
      </c>
      <c r="C108" s="771" t="s">
        <v>39</v>
      </c>
      <c r="D108" s="772" t="s">
        <v>23</v>
      </c>
      <c r="E108" s="771" t="str">
        <f t="shared" si="43"/>
        <v>Document</v>
      </c>
      <c r="F108" s="768" t="str">
        <f>Crfx</f>
        <v>Création de faux</v>
      </c>
      <c r="G108" s="780" t="s">
        <v>2597</v>
      </c>
      <c r="H108" s="780"/>
      <c r="I108" s="771" t="s">
        <v>1203</v>
      </c>
      <c r="J108" s="769" t="s">
        <v>2373</v>
      </c>
      <c r="K108" s="781" t="s">
        <v>2447</v>
      </c>
      <c r="L108" s="775"/>
      <c r="M108" s="788"/>
      <c r="N108" s="767"/>
      <c r="O108" s="767"/>
      <c r="P108" s="772"/>
      <c r="Q108" s="803"/>
      <c r="R108" s="803"/>
      <c r="S108" s="804"/>
      <c r="T108" s="772"/>
      <c r="U108" s="772"/>
      <c r="V108" s="805"/>
      <c r="W108" s="767"/>
      <c r="X108" s="767"/>
      <c r="Y108" s="772"/>
      <c r="Z108" s="772"/>
      <c r="AA108" s="772"/>
      <c r="AB108" s="805"/>
      <c r="AC108" s="806"/>
      <c r="AD108" s="806"/>
      <c r="AE108" s="806"/>
      <c r="AF108" s="806"/>
      <c r="AG108" s="806"/>
      <c r="AH108" s="805"/>
      <c r="AI108" s="807" t="str">
        <f t="shared" si="2"/>
        <v/>
      </c>
      <c r="AJ108" s="805"/>
      <c r="AK108" s="359"/>
      <c r="AM108" t="str">
        <f t="shared" si="34"/>
        <v/>
      </c>
      <c r="AN108">
        <f t="shared" si="35"/>
        <v>0</v>
      </c>
      <c r="AW108" s="882">
        <f t="shared" si="29"/>
        <v>0</v>
      </c>
      <c r="AX108" s="882">
        <f t="shared" si="44"/>
        <v>1</v>
      </c>
      <c r="AY108" s="882">
        <f t="shared" si="45"/>
        <v>1</v>
      </c>
      <c r="AZ108" s="927">
        <f t="shared" si="46"/>
        <v>1</v>
      </c>
      <c r="BA108" s="882">
        <v>1</v>
      </c>
      <c r="BB108" s="925">
        <f t="shared" si="36"/>
        <v>0</v>
      </c>
      <c r="BC108" s="882">
        <f t="shared" si="47"/>
        <v>1</v>
      </c>
      <c r="BD108" s="342" t="e">
        <f>IF(AND($BC108=0,C108=Tab_sel!$P$7,$D108=Tab_sel!$O$24,$E108=Tab_sel!$B$31),1,"")</f>
        <v>#N/A</v>
      </c>
      <c r="BE108" s="322" t="e">
        <f>IF(AND($BC108=0,C108=Tab_sel!$P$7,$D108=Tab_sel!$O$24,$E108=Tab_sel!$B$32),1,"")</f>
        <v>#N/A</v>
      </c>
      <c r="BF108" s="322" t="e">
        <f>IF(AND($BC108=0,C108=Tab_sel!$P$7,$D108=Tab_sel!$O$24,$E108=Tab_sel!$B$33),1,"")</f>
        <v>#N/A</v>
      </c>
      <c r="BG108" s="322" t="e">
        <f>IF(AND($BC108=0,C108=Tab_sel!$P$7,$D108=Tab_sel!$O$24,$E108=Tab_sel!$B$34),1,"")</f>
        <v>#N/A</v>
      </c>
      <c r="BH108" s="322" t="e">
        <f>IF(AND($BC108=0,C108=Tab_sel!$P$7,$D108=Tab_sel!$O$24,$E108=Tab_sel!$B$35),1,"")</f>
        <v>#N/A</v>
      </c>
      <c r="BI108" s="343" t="e">
        <f>IF(AND($BC108=0,C108=Tab_sel!$P$7,$D108=Tab_sel!$O$24,$E108=Tab_sel!$B$36),1,"")</f>
        <v>#N/A</v>
      </c>
      <c r="BJ108" s="342" t="e">
        <f>IF(AND($BC108=0,$C108=Tab_sel!$P$7,$D108=Tab_sel!$O$24,$E108=Tab_sel!$N$31,$F108=Tab_sel!$B$40),1,"")</f>
        <v>#N/A</v>
      </c>
      <c r="BK108" s="322" t="e">
        <f>IF(AND($BC108=0,$C108=Tab_sel!$P$7,$D108=Tab_sel!$O$24,$E108=Tab_sel!$N$31,$F108=Tab_sel!$B$41),1,"")</f>
        <v>#N/A</v>
      </c>
      <c r="BL108" s="322" t="e">
        <f>IF(AND($BC108=0,$C108=Tab_sel!$P$7,$D108=Tab_sel!$O$24,$E108=Tab_sel!$N$31,$F108=Tab_sel!$B$42),1,"")</f>
        <v>#N/A</v>
      </c>
      <c r="BM108" s="322" t="e">
        <f>IF(AND($BC108=0,$C108=Tab_sel!$P$7,$D108=Tab_sel!$O$24,$E108=Tab_sel!$N$31,$F108=Tab_sel!$B$43),1,"")</f>
        <v>#N/A</v>
      </c>
      <c r="BN108" s="322" t="e">
        <f>IF(AND($BC108=0,$C108=Tab_sel!$P$7,$D108=Tab_sel!$O$24,$E108=Tab_sel!$N$31,$F108=Tab_sel!$B$44),1,"")</f>
        <v>#N/A</v>
      </c>
      <c r="BO108" s="343" t="e">
        <f>IF(AND($BC108=0,$C108=Tab_sel!$P$7,$D108=Tab_sel!$O$24,$E108=Tab_sel!$N$31,$F108=Tab_sel!$B$45),1,"")</f>
        <v>#N/A</v>
      </c>
      <c r="BP108" s="354" t="e">
        <f>IF(AND($BC108=0,$C108=Tab_sel!$P$7,$D108=Tab_sel!$O$24,$E108=Tab_sel!$N$31,$F108=Tab_sel!$N$40,$I108=Tab_sel!$B$61),1,"")</f>
        <v>#N/A</v>
      </c>
      <c r="BQ108" s="355" t="e">
        <f>IF(AND($BC108=0,$C108=Tab_sel!$P$7,$D108=Tab_sel!$O$24,$E108=Tab_sel!$N$31,$F108=Tab_sel!$N$40,$I108=Tab_sel!$B$62),1,"")</f>
        <v>#N/A</v>
      </c>
      <c r="BR108" s="355" t="e">
        <f>IF(AND($BC108=0,$C108=Tab_sel!$P$7,$D108=Tab_sel!$O$24,$E108=Tab_sel!$N$31,$F108=Tab_sel!$N$40,$I108=Tab_sel!$B$63),1,"")</f>
        <v>#N/A</v>
      </c>
      <c r="BS108" s="355" t="e">
        <f>IF(AND($BC108=0,$C108=Tab_sel!$P$7,$D108=Tab_sel!$O$24,$E108=Tab_sel!$N$31,$F108=Tab_sel!$N$40,$I108=Tab_sel!$B$64),1,"")</f>
        <v>#N/A</v>
      </c>
      <c r="BT108" s="356" t="e">
        <f>IF(AND($BC108=0,$C108=Tab_sel!$P$7,$D108=Tab_sel!$O$24,$E108=Tab_sel!$N$31,$F108=Tab_sel!$N$40,$I108=Tab_sel!$B$65),1,"")</f>
        <v>#N/A</v>
      </c>
      <c r="BU108" s="856" t="e">
        <f>IF(AND($BC108=0,$C108=Tab_sel!$P$7,$D108=Tab_sel!$O$24,$E108=Tab_sel!$N$31,$F108=Tab_sel!$N$40,$I108=Tab_sel!$P$61,$H108=Tab_sel!$B$77),1,"")</f>
        <v>#N/A</v>
      </c>
      <c r="BV108" s="883" t="e">
        <f>IF(AND($BC108=0,$C108=Tab_sel!$P$7,$D108=Tab_sel!$O$24,$E108=Tab_sel!$N$31,$F108=Tab_sel!$N$40,$I108=Tab_sel!$P$61,$H108=Tab_sel!$B$78),1,"")</f>
        <v>#N/A</v>
      </c>
      <c r="BW108" s="883" t="e">
        <f>IF(AND($BC108=0,$C108=Tab_sel!$P$7,$D108=Tab_sel!$O$24,$E108=Tab_sel!$N$31,$F108=Tab_sel!$N$40,$I108=Tab_sel!$P$61,$H108=Tab_sel!$B$79),1,"")</f>
        <v>#N/A</v>
      </c>
      <c r="BX108" s="883" t="e">
        <f>IF(AND($BC108=0,$C108=Tab_sel!$P$7,$D108=Tab_sel!$O$24,$E108=Tab_sel!$N$31,$F108=Tab_sel!$N$40,$I108=Tab_sel!$P$61,$H108=Tab_sel!$B$80),1,"")</f>
        <v>#N/A</v>
      </c>
      <c r="BY108" s="883" t="e">
        <f>IF(AND($BC108=0,$C108=Tab_sel!$P$7,$D108=Tab_sel!$O$24,$E108=Tab_sel!$N$31,$F108=Tab_sel!$N$40,$I108=Tab_sel!$P$61,$H108=Tab_sel!$B$81),1,"")</f>
        <v>#N/A</v>
      </c>
      <c r="BZ108" s="857" t="e">
        <f>IF(AND($BC108=0,$C108=Tab_sel!$P$7,$D108=Tab_sel!$O$24,$E108=Tab_sel!$N$31,$F108=Tab_sel!$N$40,$I108=Tab_sel!$P$61,$H108=Tab_sel!$B$82),1,"")</f>
        <v>#N/A</v>
      </c>
      <c r="CA108" s="359"/>
      <c r="CC108">
        <f t="shared" si="30"/>
        <v>0</v>
      </c>
      <c r="CD108" s="882">
        <f t="shared" si="31"/>
        <v>0</v>
      </c>
      <c r="CE108" s="882">
        <f t="shared" si="32"/>
        <v>0</v>
      </c>
      <c r="CG108" t="s">
        <v>2634</v>
      </c>
      <c r="CH108" t="s">
        <v>2637</v>
      </c>
    </row>
    <row r="109" spans="2:87" ht="66" x14ac:dyDescent="0.25">
      <c r="B109" s="791" t="s">
        <v>1418</v>
      </c>
      <c r="C109" s="771" t="s">
        <v>39</v>
      </c>
      <c r="D109" s="772" t="s">
        <v>34</v>
      </c>
      <c r="E109" s="771" t="str">
        <f t="shared" si="43"/>
        <v>Document</v>
      </c>
      <c r="F109" s="768" t="str">
        <f t="shared" ref="F109:F114" si="48">Dive</f>
        <v>Divulgation de données</v>
      </c>
      <c r="G109" s="773" t="s">
        <v>2514</v>
      </c>
      <c r="H109" s="773"/>
      <c r="I109" s="771" t="s">
        <v>1204</v>
      </c>
      <c r="J109" s="769" t="s">
        <v>2373</v>
      </c>
      <c r="K109" s="781" t="s">
        <v>2513</v>
      </c>
      <c r="L109" s="771"/>
      <c r="M109" s="832"/>
      <c r="N109" s="767"/>
      <c r="O109" s="767"/>
      <c r="P109" s="772"/>
      <c r="Q109" s="803"/>
      <c r="R109" s="803"/>
      <c r="S109" s="804"/>
      <c r="T109" s="772"/>
      <c r="U109" s="772"/>
      <c r="V109" s="805"/>
      <c r="W109" s="767"/>
      <c r="X109" s="767"/>
      <c r="Y109" s="772"/>
      <c r="Z109" s="772"/>
      <c r="AA109" s="772"/>
      <c r="AB109" s="805"/>
      <c r="AC109" s="806"/>
      <c r="AD109" s="806"/>
      <c r="AE109" s="806"/>
      <c r="AF109" s="806"/>
      <c r="AG109" s="806"/>
      <c r="AH109" s="805"/>
      <c r="AI109" s="807" t="str">
        <f t="shared" si="2"/>
        <v/>
      </c>
      <c r="AJ109" s="805"/>
      <c r="AK109" s="359"/>
      <c r="AM109" t="str">
        <f t="shared" si="34"/>
        <v/>
      </c>
      <c r="AN109">
        <f t="shared" si="35"/>
        <v>0</v>
      </c>
      <c r="AW109" s="882">
        <f t="shared" si="29"/>
        <v>0</v>
      </c>
      <c r="AX109" s="882">
        <f t="shared" si="44"/>
        <v>1</v>
      </c>
      <c r="AY109" s="882">
        <f t="shared" si="45"/>
        <v>1</v>
      </c>
      <c r="AZ109" s="927">
        <f t="shared" si="46"/>
        <v>1</v>
      </c>
      <c r="BA109" s="882">
        <v>1</v>
      </c>
      <c r="BB109" s="925">
        <f t="shared" si="36"/>
        <v>0</v>
      </c>
      <c r="BC109" s="882">
        <f t="shared" si="47"/>
        <v>1</v>
      </c>
      <c r="BD109" s="342" t="e">
        <f>IF(AND($BC109=0,C109=Tab_sel!$P$7,$D109=Tab_sel!$O$24,$E109=Tab_sel!$B$31),1,"")</f>
        <v>#N/A</v>
      </c>
      <c r="BE109" s="322" t="e">
        <f>IF(AND($BC109=0,C109=Tab_sel!$P$7,$D109=Tab_sel!$O$24,$E109=Tab_sel!$B$32),1,"")</f>
        <v>#N/A</v>
      </c>
      <c r="BF109" s="322" t="e">
        <f>IF(AND($BC109=0,C109=Tab_sel!$P$7,$D109=Tab_sel!$O$24,$E109=Tab_sel!$B$33),1,"")</f>
        <v>#N/A</v>
      </c>
      <c r="BG109" s="322" t="e">
        <f>IF(AND($BC109=0,C109=Tab_sel!$P$7,$D109=Tab_sel!$O$24,$E109=Tab_sel!$B$34),1,"")</f>
        <v>#N/A</v>
      </c>
      <c r="BH109" s="322" t="e">
        <f>IF(AND($BC109=0,C109=Tab_sel!$P$7,$D109=Tab_sel!$O$24,$E109=Tab_sel!$B$35),1,"")</f>
        <v>#N/A</v>
      </c>
      <c r="BI109" s="343" t="e">
        <f>IF(AND($BC109=0,C109=Tab_sel!$P$7,$D109=Tab_sel!$O$24,$E109=Tab_sel!$B$36),1,"")</f>
        <v>#N/A</v>
      </c>
      <c r="BJ109" s="342" t="e">
        <f>IF(AND($BC109=0,$C109=Tab_sel!$P$7,$D109=Tab_sel!$O$24,$E109=Tab_sel!$N$31,$F109=Tab_sel!$B$40),1,"")</f>
        <v>#N/A</v>
      </c>
      <c r="BK109" s="322" t="e">
        <f>IF(AND($BC109=0,$C109=Tab_sel!$P$7,$D109=Tab_sel!$O$24,$E109=Tab_sel!$N$31,$F109=Tab_sel!$B$41),1,"")</f>
        <v>#N/A</v>
      </c>
      <c r="BL109" s="322" t="e">
        <f>IF(AND($BC109=0,$C109=Tab_sel!$P$7,$D109=Tab_sel!$O$24,$E109=Tab_sel!$N$31,$F109=Tab_sel!$B$42),1,"")</f>
        <v>#N/A</v>
      </c>
      <c r="BM109" s="322" t="e">
        <f>IF(AND($BC109=0,$C109=Tab_sel!$P$7,$D109=Tab_sel!$O$24,$E109=Tab_sel!$N$31,$F109=Tab_sel!$B$43),1,"")</f>
        <v>#N/A</v>
      </c>
      <c r="BN109" s="322" t="e">
        <f>IF(AND($BC109=0,$C109=Tab_sel!$P$7,$D109=Tab_sel!$O$24,$E109=Tab_sel!$N$31,$F109=Tab_sel!$B$44),1,"")</f>
        <v>#N/A</v>
      </c>
      <c r="BO109" s="343" t="e">
        <f>IF(AND($BC109=0,$C109=Tab_sel!$P$7,$D109=Tab_sel!$O$24,$E109=Tab_sel!$N$31,$F109=Tab_sel!$B$45),1,"")</f>
        <v>#N/A</v>
      </c>
      <c r="BP109" s="354" t="e">
        <f>IF(AND($BC109=0,$C109=Tab_sel!$P$7,$D109=Tab_sel!$O$24,$E109=Tab_sel!$N$31,$F109=Tab_sel!$N$40,$I109=Tab_sel!$B$61),1,"")</f>
        <v>#N/A</v>
      </c>
      <c r="BQ109" s="355" t="e">
        <f>IF(AND($BC109=0,$C109=Tab_sel!$P$7,$D109=Tab_sel!$O$24,$E109=Tab_sel!$N$31,$F109=Tab_sel!$N$40,$I109=Tab_sel!$B$62),1,"")</f>
        <v>#N/A</v>
      </c>
      <c r="BR109" s="355" t="e">
        <f>IF(AND($BC109=0,$C109=Tab_sel!$P$7,$D109=Tab_sel!$O$24,$E109=Tab_sel!$N$31,$F109=Tab_sel!$N$40,$I109=Tab_sel!$B$63),1,"")</f>
        <v>#N/A</v>
      </c>
      <c r="BS109" s="355" t="e">
        <f>IF(AND($BC109=0,$C109=Tab_sel!$P$7,$D109=Tab_sel!$O$24,$E109=Tab_sel!$N$31,$F109=Tab_sel!$N$40,$I109=Tab_sel!$B$64),1,"")</f>
        <v>#N/A</v>
      </c>
      <c r="BT109" s="356" t="e">
        <f>IF(AND($BC109=0,$C109=Tab_sel!$P$7,$D109=Tab_sel!$O$24,$E109=Tab_sel!$N$31,$F109=Tab_sel!$N$40,$I109=Tab_sel!$B$65),1,"")</f>
        <v>#N/A</v>
      </c>
      <c r="BU109" s="856" t="e">
        <f>IF(AND($BC109=0,$C109=Tab_sel!$P$7,$D109=Tab_sel!$O$24,$E109=Tab_sel!$N$31,$F109=Tab_sel!$N$40,$I109=Tab_sel!$P$61,$H109=Tab_sel!$B$77),1,"")</f>
        <v>#N/A</v>
      </c>
      <c r="BV109" s="883" t="e">
        <f>IF(AND($BC109=0,$C109=Tab_sel!$P$7,$D109=Tab_sel!$O$24,$E109=Tab_sel!$N$31,$F109=Tab_sel!$N$40,$I109=Tab_sel!$P$61,$H109=Tab_sel!$B$78),1,"")</f>
        <v>#N/A</v>
      </c>
      <c r="BW109" s="883" t="e">
        <f>IF(AND($BC109=0,$C109=Tab_sel!$P$7,$D109=Tab_sel!$O$24,$E109=Tab_sel!$N$31,$F109=Tab_sel!$N$40,$I109=Tab_sel!$P$61,$H109=Tab_sel!$B$79),1,"")</f>
        <v>#N/A</v>
      </c>
      <c r="BX109" s="883" t="e">
        <f>IF(AND($BC109=0,$C109=Tab_sel!$P$7,$D109=Tab_sel!$O$24,$E109=Tab_sel!$N$31,$F109=Tab_sel!$N$40,$I109=Tab_sel!$P$61,$H109=Tab_sel!$B$80),1,"")</f>
        <v>#N/A</v>
      </c>
      <c r="BY109" s="883" t="e">
        <f>IF(AND($BC109=0,$C109=Tab_sel!$P$7,$D109=Tab_sel!$O$24,$E109=Tab_sel!$N$31,$F109=Tab_sel!$N$40,$I109=Tab_sel!$P$61,$H109=Tab_sel!$B$81),1,"")</f>
        <v>#N/A</v>
      </c>
      <c r="BZ109" s="857" t="e">
        <f>IF(AND($BC109=0,$C109=Tab_sel!$P$7,$D109=Tab_sel!$O$24,$E109=Tab_sel!$N$31,$F109=Tab_sel!$N$40,$I109=Tab_sel!$P$61,$H109=Tab_sel!$B$82),1,"")</f>
        <v>#N/A</v>
      </c>
      <c r="CA109" s="359"/>
      <c r="CC109">
        <f t="shared" si="30"/>
        <v>0</v>
      </c>
      <c r="CD109" s="882">
        <f t="shared" si="31"/>
        <v>0</v>
      </c>
      <c r="CE109" s="882">
        <f t="shared" si="32"/>
        <v>0</v>
      </c>
      <c r="CG109" t="s">
        <v>2634</v>
      </c>
      <c r="CH109" t="s">
        <v>2653</v>
      </c>
    </row>
    <row r="110" spans="2:87" ht="39.6" x14ac:dyDescent="0.25">
      <c r="B110" s="791" t="s">
        <v>2402</v>
      </c>
      <c r="C110" s="874" t="s">
        <v>39</v>
      </c>
      <c r="D110" s="875" t="s">
        <v>34</v>
      </c>
      <c r="E110" s="771" t="str">
        <f t="shared" si="43"/>
        <v>Document</v>
      </c>
      <c r="F110" s="768" t="str">
        <f t="shared" si="48"/>
        <v>Divulgation de données</v>
      </c>
      <c r="G110" s="773" t="s">
        <v>2514</v>
      </c>
      <c r="H110" s="889" t="s">
        <v>2403</v>
      </c>
      <c r="I110" s="874" t="s">
        <v>1204</v>
      </c>
      <c r="J110" s="877" t="s">
        <v>2373</v>
      </c>
      <c r="K110" s="781" t="s">
        <v>2447</v>
      </c>
      <c r="L110" s="874" t="s">
        <v>2350</v>
      </c>
      <c r="M110" s="832" t="s">
        <v>2350</v>
      </c>
      <c r="N110" s="851"/>
      <c r="O110" s="851"/>
      <c r="P110" s="875"/>
      <c r="Q110" s="803"/>
      <c r="R110" s="803"/>
      <c r="S110" s="804"/>
      <c r="T110" s="875"/>
      <c r="U110" s="875"/>
      <c r="V110" s="805"/>
      <c r="W110" s="851"/>
      <c r="X110" s="851"/>
      <c r="Y110" s="875"/>
      <c r="Z110" s="875"/>
      <c r="AA110" s="875"/>
      <c r="AB110" s="805"/>
      <c r="AC110" s="806"/>
      <c r="AD110" s="806"/>
      <c r="AE110" s="806"/>
      <c r="AF110" s="806"/>
      <c r="AG110" s="806"/>
      <c r="AH110" s="805"/>
      <c r="AI110" s="807" t="str">
        <f t="shared" si="2"/>
        <v/>
      </c>
      <c r="AJ110" s="805"/>
      <c r="AK110" s="359"/>
      <c r="AM110" t="str">
        <f t="shared" si="34"/>
        <v/>
      </c>
      <c r="AN110">
        <f t="shared" si="35"/>
        <v>0</v>
      </c>
      <c r="AV110" s="882"/>
      <c r="AW110" s="882">
        <f t="shared" si="29"/>
        <v>0</v>
      </c>
      <c r="AX110" s="882">
        <f t="shared" si="44"/>
        <v>1</v>
      </c>
      <c r="AY110" s="882">
        <f t="shared" si="45"/>
        <v>1</v>
      </c>
      <c r="AZ110" s="927">
        <f t="shared" si="46"/>
        <v>1</v>
      </c>
      <c r="BA110" s="882">
        <v>0</v>
      </c>
      <c r="BB110" s="925">
        <f t="shared" si="36"/>
        <v>0</v>
      </c>
      <c r="BC110" s="882">
        <f t="shared" si="47"/>
        <v>1</v>
      </c>
      <c r="BD110" s="342" t="e">
        <f>IF(AND($BC110=0,C110=Tab_sel!$P$7,$D110=Tab_sel!$O$24,$E110=Tab_sel!$B$31),1,"")</f>
        <v>#N/A</v>
      </c>
      <c r="BE110" s="322" t="e">
        <f>IF(AND($BC110=0,C110=Tab_sel!$P$7,$D110=Tab_sel!$O$24,$E110=Tab_sel!$B$32),1,"")</f>
        <v>#N/A</v>
      </c>
      <c r="BF110" s="322" t="e">
        <f>IF(AND($BC110=0,C110=Tab_sel!$P$7,$D110=Tab_sel!$O$24,$E110=Tab_sel!$B$33),1,"")</f>
        <v>#N/A</v>
      </c>
      <c r="BG110" s="322" t="e">
        <f>IF(AND($BC110=0,C110=Tab_sel!$P$7,$D110=Tab_sel!$O$24,$E110=Tab_sel!$B$34),1,"")</f>
        <v>#N/A</v>
      </c>
      <c r="BH110" s="322" t="e">
        <f>IF(AND($BC110=0,C110=Tab_sel!$P$7,$D110=Tab_sel!$O$24,$E110=Tab_sel!$B$35),1,"")</f>
        <v>#N/A</v>
      </c>
      <c r="BI110" s="343" t="e">
        <f>IF(AND($BC110=0,C110=Tab_sel!$P$7,$D110=Tab_sel!$O$24,$E110=Tab_sel!$B$36),1,"")</f>
        <v>#N/A</v>
      </c>
      <c r="BJ110" s="342" t="e">
        <f>IF(AND($BC110=0,$C110=Tab_sel!$P$7,$D110=Tab_sel!$O$24,$E110=Tab_sel!$N$31,$F110=Tab_sel!$B$40),1,"")</f>
        <v>#N/A</v>
      </c>
      <c r="BK110" s="322" t="e">
        <f>IF(AND($BC110=0,$C110=Tab_sel!$P$7,$D110=Tab_sel!$O$24,$E110=Tab_sel!$N$31,$F110=Tab_sel!$B$41),1,"")</f>
        <v>#N/A</v>
      </c>
      <c r="BL110" s="322" t="e">
        <f>IF(AND($BC110=0,$C110=Tab_sel!$P$7,$D110=Tab_sel!$O$24,$E110=Tab_sel!$N$31,$F110=Tab_sel!$B$42),1,"")</f>
        <v>#N/A</v>
      </c>
      <c r="BM110" s="322" t="e">
        <f>IF(AND($BC110=0,$C110=Tab_sel!$P$7,$D110=Tab_sel!$O$24,$E110=Tab_sel!$N$31,$F110=Tab_sel!$B$43),1,"")</f>
        <v>#N/A</v>
      </c>
      <c r="BN110" s="322" t="e">
        <f>IF(AND($BC110=0,$C110=Tab_sel!$P$7,$D110=Tab_sel!$O$24,$E110=Tab_sel!$N$31,$F110=Tab_sel!$B$44),1,"")</f>
        <v>#N/A</v>
      </c>
      <c r="BO110" s="343" t="e">
        <f>IF(AND($BC110=0,$C110=Tab_sel!$P$7,$D110=Tab_sel!$O$24,$E110=Tab_sel!$N$31,$F110=Tab_sel!$B$45),1,"")</f>
        <v>#N/A</v>
      </c>
      <c r="BP110" s="354" t="e">
        <f>IF(AND($BC110=0,$C110=Tab_sel!$P$7,$D110=Tab_sel!$O$24,$E110=Tab_sel!$N$31,$F110=Tab_sel!$N$40,$I110=Tab_sel!$B$61),1,"")</f>
        <v>#N/A</v>
      </c>
      <c r="BQ110" s="355" t="e">
        <f>IF(AND($BC110=0,$C110=Tab_sel!$P$7,$D110=Tab_sel!$O$24,$E110=Tab_sel!$N$31,$F110=Tab_sel!$N$40,$I110=Tab_sel!$B$62),1,"")</f>
        <v>#N/A</v>
      </c>
      <c r="BR110" s="355" t="e">
        <f>IF(AND($BC110=0,$C110=Tab_sel!$P$7,$D110=Tab_sel!$O$24,$E110=Tab_sel!$N$31,$F110=Tab_sel!$N$40,$I110=Tab_sel!$B$63),1,"")</f>
        <v>#N/A</v>
      </c>
      <c r="BS110" s="355" t="e">
        <f>IF(AND($BC110=0,$C110=Tab_sel!$P$7,$D110=Tab_sel!$O$24,$E110=Tab_sel!$N$31,$F110=Tab_sel!$N$40,$I110=Tab_sel!$B$64),1,"")</f>
        <v>#N/A</v>
      </c>
      <c r="BT110" s="356" t="e">
        <f>IF(AND($BC110=0,$C110=Tab_sel!$P$7,$D110=Tab_sel!$O$24,$E110=Tab_sel!$N$31,$F110=Tab_sel!$N$40,$I110=Tab_sel!$B$65),1,"")</f>
        <v>#N/A</v>
      </c>
      <c r="BU110" s="856" t="e">
        <f>IF(AND($BC110=0,$C110=Tab_sel!$P$7,$D110=Tab_sel!$O$24,$E110=Tab_sel!$N$31,$F110=Tab_sel!$N$40,$I110=Tab_sel!$P$61,$H110=Tab_sel!$B$77),1,"")</f>
        <v>#N/A</v>
      </c>
      <c r="BV110" s="883" t="e">
        <f>IF(AND($BC110=0,$C110=Tab_sel!$P$7,$D110=Tab_sel!$O$24,$E110=Tab_sel!$N$31,$F110=Tab_sel!$N$40,$I110=Tab_sel!$P$61,$H110=Tab_sel!$B$78),1,"")</f>
        <v>#N/A</v>
      </c>
      <c r="BW110" s="883" t="e">
        <f>IF(AND($BC110=0,$C110=Tab_sel!$P$7,$D110=Tab_sel!$O$24,$E110=Tab_sel!$N$31,$F110=Tab_sel!$N$40,$I110=Tab_sel!$P$61,$H110=Tab_sel!$B$79),1,"")</f>
        <v>#N/A</v>
      </c>
      <c r="BX110" s="883" t="e">
        <f>IF(AND($BC110=0,$C110=Tab_sel!$P$7,$D110=Tab_sel!$O$24,$E110=Tab_sel!$N$31,$F110=Tab_sel!$N$40,$I110=Tab_sel!$P$61,$H110=Tab_sel!$B$80),1,"")</f>
        <v>#N/A</v>
      </c>
      <c r="BY110" s="883" t="e">
        <f>IF(AND($BC110=0,$C110=Tab_sel!$P$7,$D110=Tab_sel!$O$24,$E110=Tab_sel!$N$31,$F110=Tab_sel!$N$40,$I110=Tab_sel!$P$61,$H110=Tab_sel!$B$81),1,"")</f>
        <v>#N/A</v>
      </c>
      <c r="BZ110" s="857" t="e">
        <f>IF(AND($BC110=0,$C110=Tab_sel!$P$7,$D110=Tab_sel!$O$24,$E110=Tab_sel!$N$31,$F110=Tab_sel!$N$40,$I110=Tab_sel!$P$61,$H110=Tab_sel!$B$82),1,"")</f>
        <v>#N/A</v>
      </c>
      <c r="CA110" s="359"/>
      <c r="CC110">
        <f t="shared" si="30"/>
        <v>0</v>
      </c>
      <c r="CD110" s="882">
        <f t="shared" si="31"/>
        <v>0</v>
      </c>
      <c r="CE110" s="882">
        <f t="shared" si="32"/>
        <v>0</v>
      </c>
      <c r="CG110" t="s">
        <v>2634</v>
      </c>
      <c r="CH110" t="s">
        <v>2637</v>
      </c>
    </row>
    <row r="111" spans="2:87" ht="26.25" customHeight="1" x14ac:dyDescent="0.25">
      <c r="B111" s="791" t="s">
        <v>2404</v>
      </c>
      <c r="C111" s="874" t="s">
        <v>39</v>
      </c>
      <c r="D111" s="875" t="s">
        <v>34</v>
      </c>
      <c r="E111" s="771" t="str">
        <f t="shared" si="43"/>
        <v>Document</v>
      </c>
      <c r="F111" s="768" t="str">
        <f t="shared" si="48"/>
        <v>Divulgation de données</v>
      </c>
      <c r="G111" s="773" t="s">
        <v>2514</v>
      </c>
      <c r="H111" s="876" t="s">
        <v>2502</v>
      </c>
      <c r="I111" s="874" t="s">
        <v>1204</v>
      </c>
      <c r="J111" s="877" t="s">
        <v>2373</v>
      </c>
      <c r="K111" s="877" t="s">
        <v>1353</v>
      </c>
      <c r="L111" s="874" t="s">
        <v>2350</v>
      </c>
      <c r="M111" s="832" t="s">
        <v>2350</v>
      </c>
      <c r="N111" s="851"/>
      <c r="O111" s="851"/>
      <c r="P111" s="875"/>
      <c r="Q111" s="803"/>
      <c r="R111" s="803"/>
      <c r="S111" s="804"/>
      <c r="T111" s="875"/>
      <c r="U111" s="875"/>
      <c r="V111" s="805"/>
      <c r="W111" s="851"/>
      <c r="X111" s="851"/>
      <c r="Y111" s="875"/>
      <c r="Z111" s="875"/>
      <c r="AA111" s="875"/>
      <c r="AB111" s="805"/>
      <c r="AC111" s="806"/>
      <c r="AD111" s="806"/>
      <c r="AE111" s="806"/>
      <c r="AF111" s="806"/>
      <c r="AG111" s="806"/>
      <c r="AH111" s="805"/>
      <c r="AI111" s="807" t="str">
        <f t="shared" si="2"/>
        <v/>
      </c>
      <c r="AJ111" s="805"/>
      <c r="AK111" s="359"/>
      <c r="AM111" t="str">
        <f t="shared" si="34"/>
        <v/>
      </c>
      <c r="AN111">
        <f t="shared" si="35"/>
        <v>0</v>
      </c>
      <c r="AV111" s="882"/>
      <c r="AW111" s="882">
        <f t="shared" si="29"/>
        <v>0</v>
      </c>
      <c r="AX111" s="882">
        <f t="shared" si="44"/>
        <v>1</v>
      </c>
      <c r="AY111" s="882">
        <f t="shared" si="45"/>
        <v>1</v>
      </c>
      <c r="AZ111" s="927">
        <f t="shared" si="46"/>
        <v>1</v>
      </c>
      <c r="BA111" s="882">
        <v>0</v>
      </c>
      <c r="BB111" s="925">
        <f t="shared" si="36"/>
        <v>0</v>
      </c>
      <c r="BC111" s="882">
        <f t="shared" si="47"/>
        <v>1</v>
      </c>
      <c r="BD111" s="342" t="e">
        <f>IF(AND($BC111=0,C111=Tab_sel!$P$7,$D111=Tab_sel!$O$24,$E111=Tab_sel!$B$31),1,"")</f>
        <v>#N/A</v>
      </c>
      <c r="BE111" s="322" t="e">
        <f>IF(AND($BC111=0,C111=Tab_sel!$P$7,$D111=Tab_sel!$O$24,$E111=Tab_sel!$B$32),1,"")</f>
        <v>#N/A</v>
      </c>
      <c r="BF111" s="322" t="e">
        <f>IF(AND($BC111=0,C111=Tab_sel!$P$7,$D111=Tab_sel!$O$24,$E111=Tab_sel!$B$33),1,"")</f>
        <v>#N/A</v>
      </c>
      <c r="BG111" s="322" t="e">
        <f>IF(AND($BC111=0,C111=Tab_sel!$P$7,$D111=Tab_sel!$O$24,$E111=Tab_sel!$B$34),1,"")</f>
        <v>#N/A</v>
      </c>
      <c r="BH111" s="322" t="e">
        <f>IF(AND($BC111=0,C111=Tab_sel!$P$7,$D111=Tab_sel!$O$24,$E111=Tab_sel!$B$35),1,"")</f>
        <v>#N/A</v>
      </c>
      <c r="BI111" s="343" t="e">
        <f>IF(AND($BC111=0,C111=Tab_sel!$P$7,$D111=Tab_sel!$O$24,$E111=Tab_sel!$B$36),1,"")</f>
        <v>#N/A</v>
      </c>
      <c r="BJ111" s="342" t="e">
        <f>IF(AND($BC111=0,$C111=Tab_sel!$P$7,$D111=Tab_sel!$O$24,$E111=Tab_sel!$N$31,$F111=Tab_sel!$B$40),1,"")</f>
        <v>#N/A</v>
      </c>
      <c r="BK111" s="322" t="e">
        <f>IF(AND($BC111=0,$C111=Tab_sel!$P$7,$D111=Tab_sel!$O$24,$E111=Tab_sel!$N$31,$F111=Tab_sel!$B$41),1,"")</f>
        <v>#N/A</v>
      </c>
      <c r="BL111" s="322" t="e">
        <f>IF(AND($BC111=0,$C111=Tab_sel!$P$7,$D111=Tab_sel!$O$24,$E111=Tab_sel!$N$31,$F111=Tab_sel!$B$42),1,"")</f>
        <v>#N/A</v>
      </c>
      <c r="BM111" s="322" t="e">
        <f>IF(AND($BC111=0,$C111=Tab_sel!$P$7,$D111=Tab_sel!$O$24,$E111=Tab_sel!$N$31,$F111=Tab_sel!$B$43),1,"")</f>
        <v>#N/A</v>
      </c>
      <c r="BN111" s="322" t="e">
        <f>IF(AND($BC111=0,$C111=Tab_sel!$P$7,$D111=Tab_sel!$O$24,$E111=Tab_sel!$N$31,$F111=Tab_sel!$B$44),1,"")</f>
        <v>#N/A</v>
      </c>
      <c r="BO111" s="343" t="e">
        <f>IF(AND($BC111=0,$C111=Tab_sel!$P$7,$D111=Tab_sel!$O$24,$E111=Tab_sel!$N$31,$F111=Tab_sel!$B$45),1,"")</f>
        <v>#N/A</v>
      </c>
      <c r="BP111" s="354" t="e">
        <f>IF(AND($BC111=0,$C111=Tab_sel!$P$7,$D111=Tab_sel!$O$24,$E111=Tab_sel!$N$31,$F111=Tab_sel!$N$40,$I111=Tab_sel!$B$61),1,"")</f>
        <v>#N/A</v>
      </c>
      <c r="BQ111" s="355" t="e">
        <f>IF(AND($BC111=0,$C111=Tab_sel!$P$7,$D111=Tab_sel!$O$24,$E111=Tab_sel!$N$31,$F111=Tab_sel!$N$40,$I111=Tab_sel!$B$62),1,"")</f>
        <v>#N/A</v>
      </c>
      <c r="BR111" s="355" t="e">
        <f>IF(AND($BC111=0,$C111=Tab_sel!$P$7,$D111=Tab_sel!$O$24,$E111=Tab_sel!$N$31,$F111=Tab_sel!$N$40,$I111=Tab_sel!$B$63),1,"")</f>
        <v>#N/A</v>
      </c>
      <c r="BS111" s="355" t="e">
        <f>IF(AND($BC111=0,$C111=Tab_sel!$P$7,$D111=Tab_sel!$O$24,$E111=Tab_sel!$N$31,$F111=Tab_sel!$N$40,$I111=Tab_sel!$B$64),1,"")</f>
        <v>#N/A</v>
      </c>
      <c r="BT111" s="356" t="e">
        <f>IF(AND($BC111=0,$C111=Tab_sel!$P$7,$D111=Tab_sel!$O$24,$E111=Tab_sel!$N$31,$F111=Tab_sel!$N$40,$I111=Tab_sel!$B$65),1,"")</f>
        <v>#N/A</v>
      </c>
      <c r="BU111" s="856" t="e">
        <f>IF(AND($BC111=0,$C111=Tab_sel!$P$7,$D111=Tab_sel!$O$24,$E111=Tab_sel!$N$31,$F111=Tab_sel!$N$40,$I111=Tab_sel!$P$61,$H111=Tab_sel!$B$77),1,"")</f>
        <v>#N/A</v>
      </c>
      <c r="BV111" s="883" t="e">
        <f>IF(AND($BC111=0,$C111=Tab_sel!$P$7,$D111=Tab_sel!$O$24,$E111=Tab_sel!$N$31,$F111=Tab_sel!$N$40,$I111=Tab_sel!$P$61,$H111=Tab_sel!$B$78),1,"")</f>
        <v>#N/A</v>
      </c>
      <c r="BW111" s="883" t="e">
        <f>IF(AND($BC111=0,$C111=Tab_sel!$P$7,$D111=Tab_sel!$O$24,$E111=Tab_sel!$N$31,$F111=Tab_sel!$N$40,$I111=Tab_sel!$P$61,$H111=Tab_sel!$B$79),1,"")</f>
        <v>#N/A</v>
      </c>
      <c r="BX111" s="883" t="e">
        <f>IF(AND($BC111=0,$C111=Tab_sel!$P$7,$D111=Tab_sel!$O$24,$E111=Tab_sel!$N$31,$F111=Tab_sel!$N$40,$I111=Tab_sel!$P$61,$H111=Tab_sel!$B$80),1,"")</f>
        <v>#N/A</v>
      </c>
      <c r="BY111" s="883" t="e">
        <f>IF(AND($BC111=0,$C111=Tab_sel!$P$7,$D111=Tab_sel!$O$24,$E111=Tab_sel!$N$31,$F111=Tab_sel!$N$40,$I111=Tab_sel!$P$61,$H111=Tab_sel!$B$81),1,"")</f>
        <v>#N/A</v>
      </c>
      <c r="BZ111" s="857" t="e">
        <f>IF(AND($BC111=0,$C111=Tab_sel!$P$7,$D111=Tab_sel!$O$24,$E111=Tab_sel!$N$31,$F111=Tab_sel!$N$40,$I111=Tab_sel!$P$61,$H111=Tab_sel!$B$82),1,"")</f>
        <v>#N/A</v>
      </c>
      <c r="CA111" s="359"/>
      <c r="CC111">
        <f t="shared" si="30"/>
        <v>0</v>
      </c>
      <c r="CD111" s="882">
        <f t="shared" si="31"/>
        <v>0</v>
      </c>
      <c r="CE111" s="882">
        <f t="shared" si="32"/>
        <v>0</v>
      </c>
      <c r="CG111" t="s">
        <v>2634</v>
      </c>
      <c r="CH111" t="s">
        <v>2638</v>
      </c>
    </row>
    <row r="112" spans="2:87" ht="39.6" x14ac:dyDescent="0.25">
      <c r="B112" s="791" t="s">
        <v>2405</v>
      </c>
      <c r="C112" s="874" t="s">
        <v>39</v>
      </c>
      <c r="D112" s="875" t="s">
        <v>34</v>
      </c>
      <c r="E112" s="771" t="str">
        <f t="shared" si="43"/>
        <v>Document</v>
      </c>
      <c r="F112" s="768" t="str">
        <f t="shared" si="48"/>
        <v>Divulgation de données</v>
      </c>
      <c r="G112" s="773" t="s">
        <v>2514</v>
      </c>
      <c r="H112" s="889" t="s">
        <v>2401</v>
      </c>
      <c r="I112" s="874" t="s">
        <v>1204</v>
      </c>
      <c r="J112" s="877" t="s">
        <v>2350</v>
      </c>
      <c r="K112" s="877" t="s">
        <v>1358</v>
      </c>
      <c r="L112" s="874" t="s">
        <v>2350</v>
      </c>
      <c r="M112" s="832" t="s">
        <v>2350</v>
      </c>
      <c r="N112" s="851"/>
      <c r="O112" s="851"/>
      <c r="P112" s="875"/>
      <c r="Q112" s="803"/>
      <c r="R112" s="803"/>
      <c r="S112" s="804"/>
      <c r="T112" s="875"/>
      <c r="U112" s="875"/>
      <c r="V112" s="805"/>
      <c r="W112" s="851"/>
      <c r="X112" s="851"/>
      <c r="Y112" s="875"/>
      <c r="Z112" s="875"/>
      <c r="AA112" s="875"/>
      <c r="AB112" s="805"/>
      <c r="AC112" s="806"/>
      <c r="AD112" s="806"/>
      <c r="AE112" s="806"/>
      <c r="AF112" s="806"/>
      <c r="AG112" s="806"/>
      <c r="AH112" s="805"/>
      <c r="AI112" s="807" t="str">
        <f t="shared" si="2"/>
        <v/>
      </c>
      <c r="AJ112" s="805"/>
      <c r="AK112" s="359"/>
      <c r="AM112" t="str">
        <f t="shared" si="34"/>
        <v/>
      </c>
      <c r="AN112">
        <f t="shared" si="35"/>
        <v>0</v>
      </c>
      <c r="AV112" s="882"/>
      <c r="AW112" s="882">
        <f t="shared" si="29"/>
        <v>0</v>
      </c>
      <c r="AX112" s="882">
        <f t="shared" si="44"/>
        <v>1</v>
      </c>
      <c r="AY112" s="882">
        <f t="shared" si="45"/>
        <v>1</v>
      </c>
      <c r="AZ112" s="927">
        <f t="shared" si="46"/>
        <v>1</v>
      </c>
      <c r="BA112" s="882">
        <v>0</v>
      </c>
      <c r="BB112" s="925">
        <f t="shared" si="36"/>
        <v>0</v>
      </c>
      <c r="BC112" s="882">
        <f t="shared" si="47"/>
        <v>1</v>
      </c>
      <c r="BD112" s="342" t="e">
        <f>IF(AND($BC112=0,C112=Tab_sel!$P$7,$D112=Tab_sel!$O$24,$E112=Tab_sel!$B$31),1,"")</f>
        <v>#N/A</v>
      </c>
      <c r="BE112" s="322" t="e">
        <f>IF(AND($BC112=0,C112=Tab_sel!$P$7,$D112=Tab_sel!$O$24,$E112=Tab_sel!$B$32),1,"")</f>
        <v>#N/A</v>
      </c>
      <c r="BF112" s="322" t="e">
        <f>IF(AND($BC112=0,C112=Tab_sel!$P$7,$D112=Tab_sel!$O$24,$E112=Tab_sel!$B$33),1,"")</f>
        <v>#N/A</v>
      </c>
      <c r="BG112" s="322" t="e">
        <f>IF(AND($BC112=0,C112=Tab_sel!$P$7,$D112=Tab_sel!$O$24,$E112=Tab_sel!$B$34),1,"")</f>
        <v>#N/A</v>
      </c>
      <c r="BH112" s="322" t="e">
        <f>IF(AND($BC112=0,C112=Tab_sel!$P$7,$D112=Tab_sel!$O$24,$E112=Tab_sel!$B$35),1,"")</f>
        <v>#N/A</v>
      </c>
      <c r="BI112" s="343" t="e">
        <f>IF(AND($BC112=0,C112=Tab_sel!$P$7,$D112=Tab_sel!$O$24,$E112=Tab_sel!$B$36),1,"")</f>
        <v>#N/A</v>
      </c>
      <c r="BJ112" s="342" t="e">
        <f>IF(AND($BC112=0,$C112=Tab_sel!$P$7,$D112=Tab_sel!$O$24,$E112=Tab_sel!$N$31,$F112=Tab_sel!$B$40),1,"")</f>
        <v>#N/A</v>
      </c>
      <c r="BK112" s="322" t="e">
        <f>IF(AND($BC112=0,$C112=Tab_sel!$P$7,$D112=Tab_sel!$O$24,$E112=Tab_sel!$N$31,$F112=Tab_sel!$B$41),1,"")</f>
        <v>#N/A</v>
      </c>
      <c r="BL112" s="322" t="e">
        <f>IF(AND($BC112=0,$C112=Tab_sel!$P$7,$D112=Tab_sel!$O$24,$E112=Tab_sel!$N$31,$F112=Tab_sel!$B$42),1,"")</f>
        <v>#N/A</v>
      </c>
      <c r="BM112" s="322" t="e">
        <f>IF(AND($BC112=0,$C112=Tab_sel!$P$7,$D112=Tab_sel!$O$24,$E112=Tab_sel!$N$31,$F112=Tab_sel!$B$43),1,"")</f>
        <v>#N/A</v>
      </c>
      <c r="BN112" s="322" t="e">
        <f>IF(AND($BC112=0,$C112=Tab_sel!$P$7,$D112=Tab_sel!$O$24,$E112=Tab_sel!$N$31,$F112=Tab_sel!$B$44),1,"")</f>
        <v>#N/A</v>
      </c>
      <c r="BO112" s="343" t="e">
        <f>IF(AND($BC112=0,$C112=Tab_sel!$P$7,$D112=Tab_sel!$O$24,$E112=Tab_sel!$N$31,$F112=Tab_sel!$B$45),1,"")</f>
        <v>#N/A</v>
      </c>
      <c r="BP112" s="354" t="e">
        <f>IF(AND($BC112=0,$C112=Tab_sel!$P$7,$D112=Tab_sel!$O$24,$E112=Tab_sel!$N$31,$F112=Tab_sel!$N$40,$I112=Tab_sel!$B$61),1,"")</f>
        <v>#N/A</v>
      </c>
      <c r="BQ112" s="355" t="e">
        <f>IF(AND($BC112=0,$C112=Tab_sel!$P$7,$D112=Tab_sel!$O$24,$E112=Tab_sel!$N$31,$F112=Tab_sel!$N$40,$I112=Tab_sel!$B$62),1,"")</f>
        <v>#N/A</v>
      </c>
      <c r="BR112" s="355" t="e">
        <f>IF(AND($BC112=0,$C112=Tab_sel!$P$7,$D112=Tab_sel!$O$24,$E112=Tab_sel!$N$31,$F112=Tab_sel!$N$40,$I112=Tab_sel!$B$63),1,"")</f>
        <v>#N/A</v>
      </c>
      <c r="BS112" s="355" t="e">
        <f>IF(AND($BC112=0,$C112=Tab_sel!$P$7,$D112=Tab_sel!$O$24,$E112=Tab_sel!$N$31,$F112=Tab_sel!$N$40,$I112=Tab_sel!$B$64),1,"")</f>
        <v>#N/A</v>
      </c>
      <c r="BT112" s="356" t="e">
        <f>IF(AND($BC112=0,$C112=Tab_sel!$P$7,$D112=Tab_sel!$O$24,$E112=Tab_sel!$N$31,$F112=Tab_sel!$N$40,$I112=Tab_sel!$B$65),1,"")</f>
        <v>#N/A</v>
      </c>
      <c r="BU112" s="856" t="e">
        <f>IF(AND($BC112=0,$C112=Tab_sel!$P$7,$D112=Tab_sel!$O$24,$E112=Tab_sel!$N$31,$F112=Tab_sel!$N$40,$I112=Tab_sel!$P$61,$H112=Tab_sel!$B$77),1,"")</f>
        <v>#N/A</v>
      </c>
      <c r="BV112" s="883" t="e">
        <f>IF(AND($BC112=0,$C112=Tab_sel!$P$7,$D112=Tab_sel!$O$24,$E112=Tab_sel!$N$31,$F112=Tab_sel!$N$40,$I112=Tab_sel!$P$61,$H112=Tab_sel!$B$78),1,"")</f>
        <v>#N/A</v>
      </c>
      <c r="BW112" s="883" t="e">
        <f>IF(AND($BC112=0,$C112=Tab_sel!$P$7,$D112=Tab_sel!$O$24,$E112=Tab_sel!$N$31,$F112=Tab_sel!$N$40,$I112=Tab_sel!$P$61,$H112=Tab_sel!$B$79),1,"")</f>
        <v>#N/A</v>
      </c>
      <c r="BX112" s="883" t="e">
        <f>IF(AND($BC112=0,$C112=Tab_sel!$P$7,$D112=Tab_sel!$O$24,$E112=Tab_sel!$N$31,$F112=Tab_sel!$N$40,$I112=Tab_sel!$P$61,$H112=Tab_sel!$B$80),1,"")</f>
        <v>#N/A</v>
      </c>
      <c r="BY112" s="883" t="e">
        <f>IF(AND($BC112=0,$C112=Tab_sel!$P$7,$D112=Tab_sel!$O$24,$E112=Tab_sel!$N$31,$F112=Tab_sel!$N$40,$I112=Tab_sel!$P$61,$H112=Tab_sel!$B$81),1,"")</f>
        <v>#N/A</v>
      </c>
      <c r="BZ112" s="857" t="e">
        <f>IF(AND($BC112=0,$C112=Tab_sel!$P$7,$D112=Tab_sel!$O$24,$E112=Tab_sel!$N$31,$F112=Tab_sel!$N$40,$I112=Tab_sel!$P$61,$H112=Tab_sel!$B$82),1,"")</f>
        <v>#N/A</v>
      </c>
      <c r="CA112" s="359"/>
      <c r="CC112">
        <f t="shared" si="30"/>
        <v>0</v>
      </c>
      <c r="CD112" s="882">
        <f t="shared" si="31"/>
        <v>0</v>
      </c>
      <c r="CE112" s="882">
        <f t="shared" si="32"/>
        <v>0</v>
      </c>
      <c r="CH112" t="s">
        <v>2654</v>
      </c>
    </row>
    <row r="113" spans="2:88" ht="26.4" x14ac:dyDescent="0.25">
      <c r="B113" s="791" t="s">
        <v>2406</v>
      </c>
      <c r="C113" s="874" t="s">
        <v>39</v>
      </c>
      <c r="D113" s="875" t="s">
        <v>34</v>
      </c>
      <c r="E113" s="771" t="str">
        <f t="shared" si="43"/>
        <v>Document</v>
      </c>
      <c r="F113" s="768" t="str">
        <f t="shared" si="48"/>
        <v>Divulgation de données</v>
      </c>
      <c r="G113" s="773" t="s">
        <v>2514</v>
      </c>
      <c r="H113" s="876" t="s">
        <v>2407</v>
      </c>
      <c r="I113" s="874" t="s">
        <v>1204</v>
      </c>
      <c r="J113" s="877" t="s">
        <v>2350</v>
      </c>
      <c r="K113" s="877" t="s">
        <v>1353</v>
      </c>
      <c r="L113" s="874" t="s">
        <v>2350</v>
      </c>
      <c r="M113" s="832" t="s">
        <v>2350</v>
      </c>
      <c r="N113" s="851"/>
      <c r="O113" s="851"/>
      <c r="P113" s="875"/>
      <c r="Q113" s="803"/>
      <c r="R113" s="803"/>
      <c r="S113" s="804"/>
      <c r="T113" s="875"/>
      <c r="U113" s="875"/>
      <c r="V113" s="805"/>
      <c r="W113" s="851"/>
      <c r="X113" s="851"/>
      <c r="Y113" s="875"/>
      <c r="Z113" s="875"/>
      <c r="AA113" s="875"/>
      <c r="AB113" s="805"/>
      <c r="AC113" s="806"/>
      <c r="AD113" s="806"/>
      <c r="AE113" s="806"/>
      <c r="AF113" s="806"/>
      <c r="AG113" s="806"/>
      <c r="AH113" s="805"/>
      <c r="AI113" s="807" t="str">
        <f t="shared" si="2"/>
        <v/>
      </c>
      <c r="AJ113" s="805"/>
      <c r="AK113" s="359"/>
      <c r="AM113" t="str">
        <f t="shared" si="34"/>
        <v/>
      </c>
      <c r="AN113">
        <f t="shared" si="35"/>
        <v>0</v>
      </c>
      <c r="AV113" s="882"/>
      <c r="AW113" s="882">
        <f t="shared" si="29"/>
        <v>0</v>
      </c>
      <c r="AX113" s="882">
        <f t="shared" si="44"/>
        <v>1</v>
      </c>
      <c r="AY113" s="882">
        <f t="shared" si="45"/>
        <v>1</v>
      </c>
      <c r="AZ113" s="927">
        <f t="shared" si="46"/>
        <v>1</v>
      </c>
      <c r="BA113" s="882">
        <v>0</v>
      </c>
      <c r="BB113" s="925">
        <f t="shared" si="36"/>
        <v>0</v>
      </c>
      <c r="BC113" s="882">
        <f t="shared" si="47"/>
        <v>1</v>
      </c>
      <c r="BD113" s="342" t="e">
        <f>IF(AND($BC113=0,C113=Tab_sel!$P$7,$D113=Tab_sel!$O$24,$E113=Tab_sel!$B$31),1,"")</f>
        <v>#N/A</v>
      </c>
      <c r="BE113" s="322" t="e">
        <f>IF(AND($BC113=0,C113=Tab_sel!$P$7,$D113=Tab_sel!$O$24,$E113=Tab_sel!$B$32),1,"")</f>
        <v>#N/A</v>
      </c>
      <c r="BF113" s="322" t="e">
        <f>IF(AND($BC113=0,C113=Tab_sel!$P$7,$D113=Tab_sel!$O$24,$E113=Tab_sel!$B$33),1,"")</f>
        <v>#N/A</v>
      </c>
      <c r="BG113" s="322" t="e">
        <f>IF(AND($BC113=0,C113=Tab_sel!$P$7,$D113=Tab_sel!$O$24,$E113=Tab_sel!$B$34),1,"")</f>
        <v>#N/A</v>
      </c>
      <c r="BH113" s="322" t="e">
        <f>IF(AND($BC113=0,C113=Tab_sel!$P$7,$D113=Tab_sel!$O$24,$E113=Tab_sel!$B$35),1,"")</f>
        <v>#N/A</v>
      </c>
      <c r="BI113" s="343" t="e">
        <f>IF(AND($BC113=0,C113=Tab_sel!$P$7,$D113=Tab_sel!$O$24,$E113=Tab_sel!$B$36),1,"")</f>
        <v>#N/A</v>
      </c>
      <c r="BJ113" s="342" t="e">
        <f>IF(AND($BC113=0,$C113=Tab_sel!$P$7,$D113=Tab_sel!$O$24,$E113=Tab_sel!$N$31,$F113=Tab_sel!$B$40),1,"")</f>
        <v>#N/A</v>
      </c>
      <c r="BK113" s="322" t="e">
        <f>IF(AND($BC113=0,$C113=Tab_sel!$P$7,$D113=Tab_sel!$O$24,$E113=Tab_sel!$N$31,$F113=Tab_sel!$B$41),1,"")</f>
        <v>#N/A</v>
      </c>
      <c r="BL113" s="322" t="e">
        <f>IF(AND($BC113=0,$C113=Tab_sel!$P$7,$D113=Tab_sel!$O$24,$E113=Tab_sel!$N$31,$F113=Tab_sel!$B$42),1,"")</f>
        <v>#N/A</v>
      </c>
      <c r="BM113" s="322" t="e">
        <f>IF(AND($BC113=0,$C113=Tab_sel!$P$7,$D113=Tab_sel!$O$24,$E113=Tab_sel!$N$31,$F113=Tab_sel!$B$43),1,"")</f>
        <v>#N/A</v>
      </c>
      <c r="BN113" s="322" t="e">
        <f>IF(AND($BC113=0,$C113=Tab_sel!$P$7,$D113=Tab_sel!$O$24,$E113=Tab_sel!$N$31,$F113=Tab_sel!$B$44),1,"")</f>
        <v>#N/A</v>
      </c>
      <c r="BO113" s="343" t="e">
        <f>IF(AND($BC113=0,$C113=Tab_sel!$P$7,$D113=Tab_sel!$O$24,$E113=Tab_sel!$N$31,$F113=Tab_sel!$B$45),1,"")</f>
        <v>#N/A</v>
      </c>
      <c r="BP113" s="354" t="e">
        <f>IF(AND($BC113=0,$C113=Tab_sel!$P$7,$D113=Tab_sel!$O$24,$E113=Tab_sel!$N$31,$F113=Tab_sel!$N$40,$I113=Tab_sel!$B$61),1,"")</f>
        <v>#N/A</v>
      </c>
      <c r="BQ113" s="355" t="e">
        <f>IF(AND($BC113=0,$C113=Tab_sel!$P$7,$D113=Tab_sel!$O$24,$E113=Tab_sel!$N$31,$F113=Tab_sel!$N$40,$I113=Tab_sel!$B$62),1,"")</f>
        <v>#N/A</v>
      </c>
      <c r="BR113" s="355" t="e">
        <f>IF(AND($BC113=0,$C113=Tab_sel!$P$7,$D113=Tab_sel!$O$24,$E113=Tab_sel!$N$31,$F113=Tab_sel!$N$40,$I113=Tab_sel!$B$63),1,"")</f>
        <v>#N/A</v>
      </c>
      <c r="BS113" s="355" t="e">
        <f>IF(AND($BC113=0,$C113=Tab_sel!$P$7,$D113=Tab_sel!$O$24,$E113=Tab_sel!$N$31,$F113=Tab_sel!$N$40,$I113=Tab_sel!$B$64),1,"")</f>
        <v>#N/A</v>
      </c>
      <c r="BT113" s="356" t="e">
        <f>IF(AND($BC113=0,$C113=Tab_sel!$P$7,$D113=Tab_sel!$O$24,$E113=Tab_sel!$N$31,$F113=Tab_sel!$N$40,$I113=Tab_sel!$B$65),1,"")</f>
        <v>#N/A</v>
      </c>
      <c r="BU113" s="856" t="e">
        <f>IF(AND($BC113=0,$C113=Tab_sel!$P$7,$D113=Tab_sel!$O$24,$E113=Tab_sel!$N$31,$F113=Tab_sel!$N$40,$I113=Tab_sel!$P$61,$H113=Tab_sel!$B$77),1,"")</f>
        <v>#N/A</v>
      </c>
      <c r="BV113" s="883" t="e">
        <f>IF(AND($BC113=0,$C113=Tab_sel!$P$7,$D113=Tab_sel!$O$24,$E113=Tab_sel!$N$31,$F113=Tab_sel!$N$40,$I113=Tab_sel!$P$61,$H113=Tab_sel!$B$78),1,"")</f>
        <v>#N/A</v>
      </c>
      <c r="BW113" s="883" t="e">
        <f>IF(AND($BC113=0,$C113=Tab_sel!$P$7,$D113=Tab_sel!$O$24,$E113=Tab_sel!$N$31,$F113=Tab_sel!$N$40,$I113=Tab_sel!$P$61,$H113=Tab_sel!$B$79),1,"")</f>
        <v>#N/A</v>
      </c>
      <c r="BX113" s="883" t="e">
        <f>IF(AND($BC113=0,$C113=Tab_sel!$P$7,$D113=Tab_sel!$O$24,$E113=Tab_sel!$N$31,$F113=Tab_sel!$N$40,$I113=Tab_sel!$P$61,$H113=Tab_sel!$B$80),1,"")</f>
        <v>#N/A</v>
      </c>
      <c r="BY113" s="883" t="e">
        <f>IF(AND($BC113=0,$C113=Tab_sel!$P$7,$D113=Tab_sel!$O$24,$E113=Tab_sel!$N$31,$F113=Tab_sel!$N$40,$I113=Tab_sel!$P$61,$H113=Tab_sel!$B$81),1,"")</f>
        <v>#N/A</v>
      </c>
      <c r="BZ113" s="857" t="e">
        <f>IF(AND($BC113=0,$C113=Tab_sel!$P$7,$D113=Tab_sel!$O$24,$E113=Tab_sel!$N$31,$F113=Tab_sel!$N$40,$I113=Tab_sel!$P$61,$H113=Tab_sel!$B$82),1,"")</f>
        <v>#N/A</v>
      </c>
      <c r="CA113" s="359"/>
      <c r="CC113">
        <f t="shared" si="30"/>
        <v>0</v>
      </c>
      <c r="CD113" s="882">
        <f t="shared" si="31"/>
        <v>0</v>
      </c>
      <c r="CE113" s="882">
        <f t="shared" si="32"/>
        <v>0</v>
      </c>
      <c r="CH113" t="s">
        <v>2638</v>
      </c>
    </row>
    <row r="114" spans="2:88" ht="39.6" x14ac:dyDescent="0.25">
      <c r="B114" s="791" t="s">
        <v>1485</v>
      </c>
      <c r="C114" s="771" t="s">
        <v>39</v>
      </c>
      <c r="D114" s="772" t="s">
        <v>34</v>
      </c>
      <c r="E114" s="771" t="str">
        <f t="shared" si="43"/>
        <v>Document</v>
      </c>
      <c r="F114" s="768" t="str">
        <f t="shared" si="48"/>
        <v>Divulgation de données</v>
      </c>
      <c r="G114" s="768" t="s">
        <v>2555</v>
      </c>
      <c r="H114" s="768"/>
      <c r="I114" s="771" t="s">
        <v>1479</v>
      </c>
      <c r="J114" s="769"/>
      <c r="K114" s="781" t="s">
        <v>2447</v>
      </c>
      <c r="L114" s="771"/>
      <c r="M114" s="832"/>
      <c r="N114" s="767"/>
      <c r="O114" s="767"/>
      <c r="P114" s="772"/>
      <c r="Q114" s="803"/>
      <c r="R114" s="803"/>
      <c r="S114" s="804"/>
      <c r="T114" s="772"/>
      <c r="U114" s="772"/>
      <c r="V114" s="805"/>
      <c r="W114" s="767"/>
      <c r="X114" s="767"/>
      <c r="Y114" s="772"/>
      <c r="Z114" s="772"/>
      <c r="AA114" s="772"/>
      <c r="AB114" s="805"/>
      <c r="AC114" s="806"/>
      <c r="AD114" s="806"/>
      <c r="AE114" s="806"/>
      <c r="AF114" s="806"/>
      <c r="AG114" s="806"/>
      <c r="AH114" s="805"/>
      <c r="AI114" s="807" t="str">
        <f t="shared" si="2"/>
        <v/>
      </c>
      <c r="AJ114" s="805"/>
      <c r="AK114" s="359"/>
      <c r="AM114" t="str">
        <f t="shared" si="34"/>
        <v/>
      </c>
      <c r="AN114">
        <f t="shared" si="35"/>
        <v>0</v>
      </c>
      <c r="AW114" s="882">
        <f t="shared" si="29"/>
        <v>0</v>
      </c>
      <c r="AX114" s="882">
        <f t="shared" si="44"/>
        <v>1</v>
      </c>
      <c r="AY114" s="882">
        <f t="shared" si="45"/>
        <v>1</v>
      </c>
      <c r="AZ114" s="927">
        <f t="shared" si="46"/>
        <v>1</v>
      </c>
      <c r="BA114" s="882">
        <v>1</v>
      </c>
      <c r="BB114" s="925">
        <f t="shared" si="36"/>
        <v>0</v>
      </c>
      <c r="BC114" s="882">
        <f t="shared" si="47"/>
        <v>1</v>
      </c>
      <c r="BD114" s="342" t="e">
        <f>IF(AND($BC114=0,C114=Tab_sel!$P$7,$D114=Tab_sel!$O$24,$E114=Tab_sel!$B$31),1,"")</f>
        <v>#N/A</v>
      </c>
      <c r="BE114" s="322" t="e">
        <f>IF(AND($BC114=0,C114=Tab_sel!$P$7,$D114=Tab_sel!$O$24,$E114=Tab_sel!$B$32),1,"")</f>
        <v>#N/A</v>
      </c>
      <c r="BF114" s="322" t="e">
        <f>IF(AND($BC114=0,C114=Tab_sel!$P$7,$D114=Tab_sel!$O$24,$E114=Tab_sel!$B$33),1,"")</f>
        <v>#N/A</v>
      </c>
      <c r="BG114" s="322" t="e">
        <f>IF(AND($BC114=0,C114=Tab_sel!$P$7,$D114=Tab_sel!$O$24,$E114=Tab_sel!$B$34),1,"")</f>
        <v>#N/A</v>
      </c>
      <c r="BH114" s="322" t="e">
        <f>IF(AND($BC114=0,C114=Tab_sel!$P$7,$D114=Tab_sel!$O$24,$E114=Tab_sel!$B$35),1,"")</f>
        <v>#N/A</v>
      </c>
      <c r="BI114" s="343" t="e">
        <f>IF(AND($BC114=0,C114=Tab_sel!$P$7,$D114=Tab_sel!$O$24,$E114=Tab_sel!$B$36),1,"")</f>
        <v>#N/A</v>
      </c>
      <c r="BJ114" s="342" t="e">
        <f>IF(AND($BC114=0,$C114=Tab_sel!$P$7,$D114=Tab_sel!$O$24,$E114=Tab_sel!$N$31,$F114=Tab_sel!$B$40),1,"")</f>
        <v>#N/A</v>
      </c>
      <c r="BK114" s="322" t="e">
        <f>IF(AND($BC114=0,$C114=Tab_sel!$P$7,$D114=Tab_sel!$O$24,$E114=Tab_sel!$N$31,$F114=Tab_sel!$B$41),1,"")</f>
        <v>#N/A</v>
      </c>
      <c r="BL114" s="322" t="e">
        <f>IF(AND($BC114=0,$C114=Tab_sel!$P$7,$D114=Tab_sel!$O$24,$E114=Tab_sel!$N$31,$F114=Tab_sel!$B$42),1,"")</f>
        <v>#N/A</v>
      </c>
      <c r="BM114" s="322" t="e">
        <f>IF(AND($BC114=0,$C114=Tab_sel!$P$7,$D114=Tab_sel!$O$24,$E114=Tab_sel!$N$31,$F114=Tab_sel!$B$43),1,"")</f>
        <v>#N/A</v>
      </c>
      <c r="BN114" s="322" t="e">
        <f>IF(AND($BC114=0,$C114=Tab_sel!$P$7,$D114=Tab_sel!$O$24,$E114=Tab_sel!$N$31,$F114=Tab_sel!$B$44),1,"")</f>
        <v>#N/A</v>
      </c>
      <c r="BO114" s="343" t="e">
        <f>IF(AND($BC114=0,$C114=Tab_sel!$P$7,$D114=Tab_sel!$O$24,$E114=Tab_sel!$N$31,$F114=Tab_sel!$B$45),1,"")</f>
        <v>#N/A</v>
      </c>
      <c r="BP114" s="354" t="e">
        <f>IF(AND($BC114=0,$C114=Tab_sel!$P$7,$D114=Tab_sel!$O$24,$E114=Tab_sel!$N$31,$F114=Tab_sel!$N$40,$I114=Tab_sel!$B$61),1,"")</f>
        <v>#N/A</v>
      </c>
      <c r="BQ114" s="355" t="e">
        <f>IF(AND($BC114=0,$C114=Tab_sel!$P$7,$D114=Tab_sel!$O$24,$E114=Tab_sel!$N$31,$F114=Tab_sel!$N$40,$I114=Tab_sel!$B$62),1,"")</f>
        <v>#N/A</v>
      </c>
      <c r="BR114" s="355" t="e">
        <f>IF(AND($BC114=0,$C114=Tab_sel!$P$7,$D114=Tab_sel!$O$24,$E114=Tab_sel!$N$31,$F114=Tab_sel!$N$40,$I114=Tab_sel!$B$63),1,"")</f>
        <v>#N/A</v>
      </c>
      <c r="BS114" s="355" t="e">
        <f>IF(AND($BC114=0,$C114=Tab_sel!$P$7,$D114=Tab_sel!$O$24,$E114=Tab_sel!$N$31,$F114=Tab_sel!$N$40,$I114=Tab_sel!$B$64),1,"")</f>
        <v>#N/A</v>
      </c>
      <c r="BT114" s="356" t="e">
        <f>IF(AND($BC114=0,$C114=Tab_sel!$P$7,$D114=Tab_sel!$O$24,$E114=Tab_sel!$N$31,$F114=Tab_sel!$N$40,$I114=Tab_sel!$B$65),1,"")</f>
        <v>#N/A</v>
      </c>
      <c r="BU114" s="856" t="e">
        <f>IF(AND($BC114=0,$C114=Tab_sel!$P$7,$D114=Tab_sel!$O$24,$E114=Tab_sel!$N$31,$F114=Tab_sel!$N$40,$I114=Tab_sel!$P$61,$H114=Tab_sel!$B$77),1,"")</f>
        <v>#N/A</v>
      </c>
      <c r="BV114" s="883" t="e">
        <f>IF(AND($BC114=0,$C114=Tab_sel!$P$7,$D114=Tab_sel!$O$24,$E114=Tab_sel!$N$31,$F114=Tab_sel!$N$40,$I114=Tab_sel!$P$61,$H114=Tab_sel!$B$78),1,"")</f>
        <v>#N/A</v>
      </c>
      <c r="BW114" s="883" t="e">
        <f>IF(AND($BC114=0,$C114=Tab_sel!$P$7,$D114=Tab_sel!$O$24,$E114=Tab_sel!$N$31,$F114=Tab_sel!$N$40,$I114=Tab_sel!$P$61,$H114=Tab_sel!$B$79),1,"")</f>
        <v>#N/A</v>
      </c>
      <c r="BX114" s="883" t="e">
        <f>IF(AND($BC114=0,$C114=Tab_sel!$P$7,$D114=Tab_sel!$O$24,$E114=Tab_sel!$N$31,$F114=Tab_sel!$N$40,$I114=Tab_sel!$P$61,$H114=Tab_sel!$B$80),1,"")</f>
        <v>#N/A</v>
      </c>
      <c r="BY114" s="883" t="e">
        <f>IF(AND($BC114=0,$C114=Tab_sel!$P$7,$D114=Tab_sel!$O$24,$E114=Tab_sel!$N$31,$F114=Tab_sel!$N$40,$I114=Tab_sel!$P$61,$H114=Tab_sel!$B$81),1,"")</f>
        <v>#N/A</v>
      </c>
      <c r="BZ114" s="857" t="e">
        <f>IF(AND($BC114=0,$C114=Tab_sel!$P$7,$D114=Tab_sel!$O$24,$E114=Tab_sel!$N$31,$F114=Tab_sel!$N$40,$I114=Tab_sel!$P$61,$H114=Tab_sel!$B$82),1,"")</f>
        <v>#N/A</v>
      </c>
      <c r="CA114" s="359"/>
      <c r="CC114">
        <f t="shared" si="30"/>
        <v>0</v>
      </c>
      <c r="CD114" s="882">
        <f t="shared" si="31"/>
        <v>0</v>
      </c>
      <c r="CE114" s="882">
        <f t="shared" si="32"/>
        <v>0</v>
      </c>
      <c r="CH114" t="s">
        <v>2637</v>
      </c>
    </row>
    <row r="115" spans="2:88" ht="20.25" customHeight="1" x14ac:dyDescent="0.25">
      <c r="B115" s="825" t="s">
        <v>1126</v>
      </c>
      <c r="C115" s="1024" t="str">
        <f>Cep</f>
        <v>Courrier électronique ou postal</v>
      </c>
      <c r="D115" s="1024"/>
      <c r="E115" s="1024"/>
      <c r="F115" s="1024"/>
      <c r="G115" s="1024"/>
      <c r="H115" s="1024"/>
      <c r="I115" s="1024"/>
      <c r="J115" s="1024"/>
      <c r="K115" s="1024"/>
      <c r="L115" s="1024"/>
      <c r="M115" s="1025"/>
      <c r="N115" s="826"/>
      <c r="O115" s="826"/>
      <c r="P115" s="827"/>
      <c r="Q115" s="828"/>
      <c r="R115" s="828"/>
      <c r="S115" s="829"/>
      <c r="T115" s="827"/>
      <c r="U115" s="827"/>
      <c r="V115" s="830"/>
      <c r="W115" s="826"/>
      <c r="X115" s="826"/>
      <c r="Y115" s="827"/>
      <c r="Z115" s="827"/>
      <c r="AA115" s="827"/>
      <c r="AB115" s="830"/>
      <c r="AC115" s="831"/>
      <c r="AD115" s="831"/>
      <c r="AE115" s="831"/>
      <c r="AF115" s="831"/>
      <c r="AG115" s="831"/>
      <c r="AH115" s="830"/>
      <c r="AI115" s="807" t="str">
        <f t="shared" si="2"/>
        <v/>
      </c>
      <c r="AJ115" s="830"/>
      <c r="AK115" s="359"/>
      <c r="AW115" s="882"/>
      <c r="AX115" s="882"/>
      <c r="AY115" s="882"/>
      <c r="AZ115" s="927"/>
      <c r="BA115" s="882"/>
      <c r="BB115" s="925">
        <f t="shared" si="36"/>
        <v>0</v>
      </c>
      <c r="BC115" s="882"/>
      <c r="BD115" s="342"/>
      <c r="BE115" s="322"/>
      <c r="BF115" s="322"/>
      <c r="BG115" s="322"/>
      <c r="BH115" s="322"/>
      <c r="BI115" s="343"/>
      <c r="BJ115" s="342"/>
      <c r="BK115" s="322"/>
      <c r="BL115" s="322"/>
      <c r="BM115" s="322"/>
      <c r="BN115" s="322"/>
      <c r="BO115" s="343"/>
      <c r="BP115" s="354"/>
      <c r="BQ115" s="355"/>
      <c r="BR115" s="355"/>
      <c r="BS115" s="355"/>
      <c r="BT115" s="356"/>
      <c r="BU115" s="856"/>
      <c r="BV115" s="883"/>
      <c r="BW115" s="883"/>
      <c r="BX115" s="883"/>
      <c r="BY115" s="883"/>
      <c r="BZ115" s="857"/>
      <c r="CA115" s="359"/>
      <c r="CC115">
        <f t="shared" si="30"/>
        <v>0</v>
      </c>
      <c r="CD115" s="882">
        <f t="shared" si="31"/>
        <v>0</v>
      </c>
      <c r="CE115" s="882">
        <f t="shared" si="32"/>
        <v>0</v>
      </c>
    </row>
    <row r="116" spans="2:88" ht="43.5" customHeight="1" x14ac:dyDescent="0.25">
      <c r="B116" s="791" t="s">
        <v>1419</v>
      </c>
      <c r="C116" s="771" t="s">
        <v>70</v>
      </c>
      <c r="D116" s="772" t="s">
        <v>76</v>
      </c>
      <c r="E116" s="771" t="str">
        <f>Coe</f>
        <v>Courriel en transit</v>
      </c>
      <c r="F116" s="771" t="str">
        <f>Disp</f>
        <v>Disparition</v>
      </c>
      <c r="G116" s="768" t="s">
        <v>2598</v>
      </c>
      <c r="H116" s="768"/>
      <c r="I116" s="771" t="s">
        <v>1171</v>
      </c>
      <c r="J116" s="769"/>
      <c r="K116" s="769"/>
      <c r="L116" s="769"/>
      <c r="M116" s="788" t="s">
        <v>1327</v>
      </c>
      <c r="N116" s="767"/>
      <c r="O116" s="767"/>
      <c r="P116" s="772"/>
      <c r="Q116" s="803"/>
      <c r="R116" s="803"/>
      <c r="S116" s="804"/>
      <c r="T116" s="772"/>
      <c r="U116" s="772"/>
      <c r="V116" s="805"/>
      <c r="W116" s="767"/>
      <c r="X116" s="767"/>
      <c r="Y116" s="772"/>
      <c r="Z116" s="772"/>
      <c r="AA116" s="772"/>
      <c r="AB116" s="805"/>
      <c r="AC116" s="806"/>
      <c r="AD116" s="806"/>
      <c r="AE116" s="806"/>
      <c r="AF116" s="806"/>
      <c r="AG116" s="806"/>
      <c r="AH116" s="805"/>
      <c r="AI116" s="807" t="str">
        <f t="shared" si="2"/>
        <v/>
      </c>
      <c r="AJ116" s="805"/>
      <c r="AK116" s="359"/>
      <c r="AM116" t="str">
        <f t="shared" si="34"/>
        <v/>
      </c>
      <c r="AN116">
        <f t="shared" si="35"/>
        <v>0</v>
      </c>
      <c r="AW116" s="882">
        <f t="shared" si="29"/>
        <v>0</v>
      </c>
      <c r="AX116" s="882">
        <f t="shared" ref="AX116:AX127" si="49">VLOOKUP(E116,Tab_ActS,2,FALSE)</f>
        <v>1</v>
      </c>
      <c r="AY116" s="882">
        <f t="shared" ref="AY116:AY127" si="50">VLOOKUP(F116,Tab_SDom,3,FALSE)</f>
        <v>1</v>
      </c>
      <c r="AZ116" s="927">
        <f t="shared" ref="AZ116:AZ127" si="51">VLOOKUP($I116,Tabexpo,8,FALSE)</f>
        <v>1</v>
      </c>
      <c r="BA116" s="882">
        <v>1</v>
      </c>
      <c r="BB116" s="925">
        <f t="shared" si="36"/>
        <v>0</v>
      </c>
      <c r="BC116" s="882">
        <f t="shared" ref="BC116:BC127" si="52">IF(IndS=FALSE,IF(BB116=1,0,1),IF(BB116=0,1,AV116))</f>
        <v>1</v>
      </c>
      <c r="BD116" s="342" t="e">
        <f>IF(AND($BC116=0,C116=Tab_sel!$P$7,$D116=Tab_sel!$O$24,$E116=Tab_sel!$B$31),1,"")</f>
        <v>#N/A</v>
      </c>
      <c r="BE116" s="322" t="e">
        <f>IF(AND($BC116=0,C116=Tab_sel!$P$7,$D116=Tab_sel!$O$24,$E116=Tab_sel!$B$32),1,"")</f>
        <v>#N/A</v>
      </c>
      <c r="BF116" s="322" t="e">
        <f>IF(AND($BC116=0,C116=Tab_sel!$P$7,$D116=Tab_sel!$O$24,$E116=Tab_sel!$B$33),1,"")</f>
        <v>#N/A</v>
      </c>
      <c r="BG116" s="322" t="e">
        <f>IF(AND($BC116=0,C116=Tab_sel!$P$7,$D116=Tab_sel!$O$24,$E116=Tab_sel!$B$34),1,"")</f>
        <v>#N/A</v>
      </c>
      <c r="BH116" s="322" t="e">
        <f>IF(AND($BC116=0,C116=Tab_sel!$P$7,$D116=Tab_sel!$O$24,$E116=Tab_sel!$B$35),1,"")</f>
        <v>#N/A</v>
      </c>
      <c r="BI116" s="343" t="e">
        <f>IF(AND($BC116=0,C116=Tab_sel!$P$7,$D116=Tab_sel!$O$24,$E116=Tab_sel!$B$36),1,"")</f>
        <v>#N/A</v>
      </c>
      <c r="BJ116" s="342" t="e">
        <f>IF(AND($BC116=0,$C116=Tab_sel!$P$7,$D116=Tab_sel!$O$24,$E116=Tab_sel!$N$31,$F116=Tab_sel!$B$40),1,"")</f>
        <v>#N/A</v>
      </c>
      <c r="BK116" s="322" t="e">
        <f>IF(AND($BC116=0,$C116=Tab_sel!$P$7,$D116=Tab_sel!$O$24,$E116=Tab_sel!$N$31,$F116=Tab_sel!$B$41),1,"")</f>
        <v>#N/A</v>
      </c>
      <c r="BL116" s="322" t="e">
        <f>IF(AND($BC116=0,$C116=Tab_sel!$P$7,$D116=Tab_sel!$O$24,$E116=Tab_sel!$N$31,$F116=Tab_sel!$B$42),1,"")</f>
        <v>#N/A</v>
      </c>
      <c r="BM116" s="322" t="e">
        <f>IF(AND($BC116=0,$C116=Tab_sel!$P$7,$D116=Tab_sel!$O$24,$E116=Tab_sel!$N$31,$F116=Tab_sel!$B$43),1,"")</f>
        <v>#N/A</v>
      </c>
      <c r="BN116" s="322" t="e">
        <f>IF(AND($BC116=0,$C116=Tab_sel!$P$7,$D116=Tab_sel!$O$24,$E116=Tab_sel!$N$31,$F116=Tab_sel!$B$44),1,"")</f>
        <v>#N/A</v>
      </c>
      <c r="BO116" s="343" t="e">
        <f>IF(AND($BC116=0,$C116=Tab_sel!$P$7,$D116=Tab_sel!$O$24,$E116=Tab_sel!$N$31,$F116=Tab_sel!$B$45),1,"")</f>
        <v>#N/A</v>
      </c>
      <c r="BP116" s="354" t="e">
        <f>IF(AND($BC116=0,$C116=Tab_sel!$P$7,$D116=Tab_sel!$O$24,$E116=Tab_sel!$N$31,$F116=Tab_sel!$N$40,$I116=Tab_sel!$B$61),1,"")</f>
        <v>#N/A</v>
      </c>
      <c r="BQ116" s="355" t="e">
        <f>IF(AND($BC116=0,$C116=Tab_sel!$P$7,$D116=Tab_sel!$O$24,$E116=Tab_sel!$N$31,$F116=Tab_sel!$N$40,$I116=Tab_sel!$B$62),1,"")</f>
        <v>#N/A</v>
      </c>
      <c r="BR116" s="355" t="e">
        <f>IF(AND($BC116=0,$C116=Tab_sel!$P$7,$D116=Tab_sel!$O$24,$E116=Tab_sel!$N$31,$F116=Tab_sel!$N$40,$I116=Tab_sel!$B$63),1,"")</f>
        <v>#N/A</v>
      </c>
      <c r="BS116" s="355" t="e">
        <f>IF(AND($BC116=0,$C116=Tab_sel!$P$7,$D116=Tab_sel!$O$24,$E116=Tab_sel!$N$31,$F116=Tab_sel!$N$40,$I116=Tab_sel!$B$64),1,"")</f>
        <v>#N/A</v>
      </c>
      <c r="BT116" s="356" t="e">
        <f>IF(AND($BC116=0,$C116=Tab_sel!$P$7,$D116=Tab_sel!$O$24,$E116=Tab_sel!$N$31,$F116=Tab_sel!$N$40,$I116=Tab_sel!$B$65),1,"")</f>
        <v>#N/A</v>
      </c>
      <c r="BU116" s="856" t="e">
        <f>IF(AND($BC116=0,$C116=Tab_sel!$P$7,$D116=Tab_sel!$O$24,$E116=Tab_sel!$N$31,$F116=Tab_sel!$N$40,$I116=Tab_sel!$P$61,$H116=Tab_sel!$B$77),1,"")</f>
        <v>#N/A</v>
      </c>
      <c r="BV116" s="883" t="e">
        <f>IF(AND($BC116=0,$C116=Tab_sel!$P$7,$D116=Tab_sel!$O$24,$E116=Tab_sel!$N$31,$F116=Tab_sel!$N$40,$I116=Tab_sel!$P$61,$H116=Tab_sel!$B$78),1,"")</f>
        <v>#N/A</v>
      </c>
      <c r="BW116" s="883" t="e">
        <f>IF(AND($BC116=0,$C116=Tab_sel!$P$7,$D116=Tab_sel!$O$24,$E116=Tab_sel!$N$31,$F116=Tab_sel!$N$40,$I116=Tab_sel!$P$61,$H116=Tab_sel!$B$79),1,"")</f>
        <v>#N/A</v>
      </c>
      <c r="BX116" s="883" t="e">
        <f>IF(AND($BC116=0,$C116=Tab_sel!$P$7,$D116=Tab_sel!$O$24,$E116=Tab_sel!$N$31,$F116=Tab_sel!$N$40,$I116=Tab_sel!$P$61,$H116=Tab_sel!$B$80),1,"")</f>
        <v>#N/A</v>
      </c>
      <c r="BY116" s="883" t="e">
        <f>IF(AND($BC116=0,$C116=Tab_sel!$P$7,$D116=Tab_sel!$O$24,$E116=Tab_sel!$N$31,$F116=Tab_sel!$N$40,$I116=Tab_sel!$P$61,$H116=Tab_sel!$B$81),1,"")</f>
        <v>#N/A</v>
      </c>
      <c r="BZ116" s="857" t="e">
        <f>IF(AND($BC116=0,$C116=Tab_sel!$P$7,$D116=Tab_sel!$O$24,$E116=Tab_sel!$N$31,$F116=Tab_sel!$N$40,$I116=Tab_sel!$P$61,$H116=Tab_sel!$B$82),1,"")</f>
        <v>#N/A</v>
      </c>
      <c r="CA116" s="359"/>
      <c r="CC116">
        <f t="shared" si="30"/>
        <v>0</v>
      </c>
      <c r="CD116" s="882">
        <f t="shared" si="31"/>
        <v>0</v>
      </c>
      <c r="CE116" s="882">
        <f t="shared" si="32"/>
        <v>0</v>
      </c>
      <c r="CJ116" t="s">
        <v>2655</v>
      </c>
    </row>
    <row r="117" spans="2:88" ht="26.4" x14ac:dyDescent="0.25">
      <c r="B117" s="791" t="s">
        <v>1420</v>
      </c>
      <c r="C117" s="771" t="s">
        <v>70</v>
      </c>
      <c r="D117" s="772" t="s">
        <v>76</v>
      </c>
      <c r="E117" s="771" t="str">
        <f>Coe</f>
        <v>Courriel en transit</v>
      </c>
      <c r="F117" s="768" t="str">
        <f>Inac</f>
        <v>Inaccessibilité</v>
      </c>
      <c r="G117" s="768" t="s">
        <v>2003</v>
      </c>
      <c r="H117" s="768"/>
      <c r="I117" s="771" t="s">
        <v>1943</v>
      </c>
      <c r="J117" s="769"/>
      <c r="K117" s="770"/>
      <c r="L117" s="770"/>
      <c r="M117" s="788" t="s">
        <v>1327</v>
      </c>
      <c r="N117" s="767"/>
      <c r="O117" s="767"/>
      <c r="P117" s="772"/>
      <c r="Q117" s="803"/>
      <c r="R117" s="803"/>
      <c r="S117" s="804"/>
      <c r="T117" s="772"/>
      <c r="U117" s="772"/>
      <c r="V117" s="805"/>
      <c r="W117" s="767"/>
      <c r="X117" s="767"/>
      <c r="Y117" s="772"/>
      <c r="Z117" s="772"/>
      <c r="AA117" s="772"/>
      <c r="AB117" s="805"/>
      <c r="AC117" s="806"/>
      <c r="AD117" s="806"/>
      <c r="AE117" s="806"/>
      <c r="AF117" s="806"/>
      <c r="AG117" s="806"/>
      <c r="AH117" s="805"/>
      <c r="AI117" s="807" t="str">
        <f t="shared" si="2"/>
        <v/>
      </c>
      <c r="AJ117" s="805"/>
      <c r="AK117" s="359"/>
      <c r="AM117" t="str">
        <f t="shared" si="34"/>
        <v/>
      </c>
      <c r="AN117">
        <f t="shared" si="35"/>
        <v>0</v>
      </c>
      <c r="AW117" s="882">
        <f t="shared" si="29"/>
        <v>0</v>
      </c>
      <c r="AX117" s="882">
        <f t="shared" si="49"/>
        <v>1</v>
      </c>
      <c r="AY117" s="882">
        <f t="shared" si="50"/>
        <v>1</v>
      </c>
      <c r="AZ117" s="927">
        <f t="shared" si="51"/>
        <v>1</v>
      </c>
      <c r="BA117" s="882">
        <v>1</v>
      </c>
      <c r="BB117" s="925">
        <f t="shared" si="36"/>
        <v>0</v>
      </c>
      <c r="BC117" s="882">
        <f t="shared" si="52"/>
        <v>1</v>
      </c>
      <c r="BD117" s="342" t="e">
        <f>IF(AND($BC117=0,C117=Tab_sel!$P$7,$D117=Tab_sel!$O$24,$E117=Tab_sel!$B$31),1,"")</f>
        <v>#N/A</v>
      </c>
      <c r="BE117" s="322" t="e">
        <f>IF(AND($BC117=0,C117=Tab_sel!$P$7,$D117=Tab_sel!$O$24,$E117=Tab_sel!$B$32),1,"")</f>
        <v>#N/A</v>
      </c>
      <c r="BF117" s="322" t="e">
        <f>IF(AND($BC117=0,C117=Tab_sel!$P$7,$D117=Tab_sel!$O$24,$E117=Tab_sel!$B$33),1,"")</f>
        <v>#N/A</v>
      </c>
      <c r="BG117" s="322" t="e">
        <f>IF(AND($BC117=0,C117=Tab_sel!$P$7,$D117=Tab_sel!$O$24,$E117=Tab_sel!$B$34),1,"")</f>
        <v>#N/A</v>
      </c>
      <c r="BH117" s="322" t="e">
        <f>IF(AND($BC117=0,C117=Tab_sel!$P$7,$D117=Tab_sel!$O$24,$E117=Tab_sel!$B$35),1,"")</f>
        <v>#N/A</v>
      </c>
      <c r="BI117" s="343" t="e">
        <f>IF(AND($BC117=0,C117=Tab_sel!$P$7,$D117=Tab_sel!$O$24,$E117=Tab_sel!$B$36),1,"")</f>
        <v>#N/A</v>
      </c>
      <c r="BJ117" s="342" t="e">
        <f>IF(AND($BC117=0,$C117=Tab_sel!$P$7,$D117=Tab_sel!$O$24,$E117=Tab_sel!$N$31,$F117=Tab_sel!$B$40),1,"")</f>
        <v>#N/A</v>
      </c>
      <c r="BK117" s="322" t="e">
        <f>IF(AND($BC117=0,$C117=Tab_sel!$P$7,$D117=Tab_sel!$O$24,$E117=Tab_sel!$N$31,$F117=Tab_sel!$B$41),1,"")</f>
        <v>#N/A</v>
      </c>
      <c r="BL117" s="322" t="e">
        <f>IF(AND($BC117=0,$C117=Tab_sel!$P$7,$D117=Tab_sel!$O$24,$E117=Tab_sel!$N$31,$F117=Tab_sel!$B$42),1,"")</f>
        <v>#N/A</v>
      </c>
      <c r="BM117" s="322" t="e">
        <f>IF(AND($BC117=0,$C117=Tab_sel!$P$7,$D117=Tab_sel!$O$24,$E117=Tab_sel!$N$31,$F117=Tab_sel!$B$43),1,"")</f>
        <v>#N/A</v>
      </c>
      <c r="BN117" s="322" t="e">
        <f>IF(AND($BC117=0,$C117=Tab_sel!$P$7,$D117=Tab_sel!$O$24,$E117=Tab_sel!$N$31,$F117=Tab_sel!$B$44),1,"")</f>
        <v>#N/A</v>
      </c>
      <c r="BO117" s="343" t="e">
        <f>IF(AND($BC117=0,$C117=Tab_sel!$P$7,$D117=Tab_sel!$O$24,$E117=Tab_sel!$N$31,$F117=Tab_sel!$B$45),1,"")</f>
        <v>#N/A</v>
      </c>
      <c r="BP117" s="354" t="e">
        <f>IF(AND($BC117=0,$C117=Tab_sel!$P$7,$D117=Tab_sel!$O$24,$E117=Tab_sel!$N$31,$F117=Tab_sel!$N$40,$I117=Tab_sel!$B$61),1,"")</f>
        <v>#N/A</v>
      </c>
      <c r="BQ117" s="355" t="e">
        <f>IF(AND($BC117=0,$C117=Tab_sel!$P$7,$D117=Tab_sel!$O$24,$E117=Tab_sel!$N$31,$F117=Tab_sel!$N$40,$I117=Tab_sel!$B$62),1,"")</f>
        <v>#N/A</v>
      </c>
      <c r="BR117" s="355" t="e">
        <f>IF(AND($BC117=0,$C117=Tab_sel!$P$7,$D117=Tab_sel!$O$24,$E117=Tab_sel!$N$31,$F117=Tab_sel!$N$40,$I117=Tab_sel!$B$63),1,"")</f>
        <v>#N/A</v>
      </c>
      <c r="BS117" s="355" t="e">
        <f>IF(AND($BC117=0,$C117=Tab_sel!$P$7,$D117=Tab_sel!$O$24,$E117=Tab_sel!$N$31,$F117=Tab_sel!$N$40,$I117=Tab_sel!$B$64),1,"")</f>
        <v>#N/A</v>
      </c>
      <c r="BT117" s="356" t="e">
        <f>IF(AND($BC117=0,$C117=Tab_sel!$P$7,$D117=Tab_sel!$O$24,$E117=Tab_sel!$N$31,$F117=Tab_sel!$N$40,$I117=Tab_sel!$B$65),1,"")</f>
        <v>#N/A</v>
      </c>
      <c r="BU117" s="856" t="e">
        <f>IF(AND($BC117=0,$C117=Tab_sel!$P$7,$D117=Tab_sel!$O$24,$E117=Tab_sel!$N$31,$F117=Tab_sel!$N$40,$I117=Tab_sel!$P$61,$H117=Tab_sel!$B$77),1,"")</f>
        <v>#N/A</v>
      </c>
      <c r="BV117" s="883" t="e">
        <f>IF(AND($BC117=0,$C117=Tab_sel!$P$7,$D117=Tab_sel!$O$24,$E117=Tab_sel!$N$31,$F117=Tab_sel!$N$40,$I117=Tab_sel!$P$61,$H117=Tab_sel!$B$78),1,"")</f>
        <v>#N/A</v>
      </c>
      <c r="BW117" s="883" t="e">
        <f>IF(AND($BC117=0,$C117=Tab_sel!$P$7,$D117=Tab_sel!$O$24,$E117=Tab_sel!$N$31,$F117=Tab_sel!$N$40,$I117=Tab_sel!$P$61,$H117=Tab_sel!$B$79),1,"")</f>
        <v>#N/A</v>
      </c>
      <c r="BX117" s="883" t="e">
        <f>IF(AND($BC117=0,$C117=Tab_sel!$P$7,$D117=Tab_sel!$O$24,$E117=Tab_sel!$N$31,$F117=Tab_sel!$N$40,$I117=Tab_sel!$P$61,$H117=Tab_sel!$B$80),1,"")</f>
        <v>#N/A</v>
      </c>
      <c r="BY117" s="883" t="e">
        <f>IF(AND($BC117=0,$C117=Tab_sel!$P$7,$D117=Tab_sel!$O$24,$E117=Tab_sel!$N$31,$F117=Tab_sel!$N$40,$I117=Tab_sel!$P$61,$H117=Tab_sel!$B$81),1,"")</f>
        <v>#N/A</v>
      </c>
      <c r="BZ117" s="857" t="e">
        <f>IF(AND($BC117=0,$C117=Tab_sel!$P$7,$D117=Tab_sel!$O$24,$E117=Tab_sel!$N$31,$F117=Tab_sel!$N$40,$I117=Tab_sel!$P$61,$H117=Tab_sel!$B$82),1,"")</f>
        <v>#N/A</v>
      </c>
      <c r="CA117" s="359"/>
      <c r="CC117">
        <f t="shared" si="30"/>
        <v>0</v>
      </c>
      <c r="CD117" s="882">
        <f t="shared" si="31"/>
        <v>0</v>
      </c>
      <c r="CE117" s="882">
        <f t="shared" si="32"/>
        <v>0</v>
      </c>
      <c r="CJ117" t="s">
        <v>2655</v>
      </c>
    </row>
    <row r="118" spans="2:88" ht="29.25" customHeight="1" x14ac:dyDescent="0.25">
      <c r="B118" s="791" t="s">
        <v>1421</v>
      </c>
      <c r="C118" s="771" t="s">
        <v>70</v>
      </c>
      <c r="D118" s="772" t="s">
        <v>76</v>
      </c>
      <c r="E118" s="771" t="str">
        <f>Cop</f>
        <v>Courrier en transit</v>
      </c>
      <c r="F118" s="771" t="str">
        <f>Disp</f>
        <v>Disparition</v>
      </c>
      <c r="G118" s="768" t="s">
        <v>2516</v>
      </c>
      <c r="H118" s="768"/>
      <c r="I118" s="771" t="s">
        <v>1204</v>
      </c>
      <c r="J118" s="877" t="s">
        <v>2374</v>
      </c>
      <c r="K118" s="769" t="s">
        <v>2515</v>
      </c>
      <c r="L118" s="769"/>
      <c r="M118" s="788" t="s">
        <v>2048</v>
      </c>
      <c r="N118" s="767"/>
      <c r="O118" s="767"/>
      <c r="P118" s="772"/>
      <c r="Q118" s="803"/>
      <c r="R118" s="803"/>
      <c r="S118" s="804"/>
      <c r="T118" s="772"/>
      <c r="U118" s="772"/>
      <c r="V118" s="805"/>
      <c r="W118" s="767"/>
      <c r="X118" s="767"/>
      <c r="Y118" s="772"/>
      <c r="Z118" s="772"/>
      <c r="AA118" s="772"/>
      <c r="AB118" s="805"/>
      <c r="AC118" s="806"/>
      <c r="AD118" s="806"/>
      <c r="AE118" s="806"/>
      <c r="AF118" s="806"/>
      <c r="AG118" s="806"/>
      <c r="AH118" s="805"/>
      <c r="AI118" s="807" t="str">
        <f t="shared" si="2"/>
        <v/>
      </c>
      <c r="AJ118" s="805"/>
      <c r="AK118" s="359"/>
      <c r="AM118" t="str">
        <f t="shared" si="34"/>
        <v/>
      </c>
      <c r="AN118">
        <f t="shared" si="35"/>
        <v>0</v>
      </c>
      <c r="AW118" s="882">
        <f t="shared" si="29"/>
        <v>0</v>
      </c>
      <c r="AX118" s="882">
        <f t="shared" si="49"/>
        <v>1</v>
      </c>
      <c r="AY118" s="882">
        <f t="shared" si="50"/>
        <v>1</v>
      </c>
      <c r="AZ118" s="927">
        <f t="shared" si="51"/>
        <v>1</v>
      </c>
      <c r="BA118" s="882">
        <v>1</v>
      </c>
      <c r="BB118" s="925">
        <f t="shared" si="36"/>
        <v>0</v>
      </c>
      <c r="BC118" s="882">
        <f t="shared" si="52"/>
        <v>1</v>
      </c>
      <c r="BD118" s="342" t="e">
        <f>IF(AND($BC118=0,C118=Tab_sel!$P$7,$D118=Tab_sel!$O$24,$E118=Tab_sel!$B$31),1,"")</f>
        <v>#N/A</v>
      </c>
      <c r="BE118" s="322" t="e">
        <f>IF(AND($BC118=0,C118=Tab_sel!$P$7,$D118=Tab_sel!$O$24,$E118=Tab_sel!$B$32),1,"")</f>
        <v>#N/A</v>
      </c>
      <c r="BF118" s="322" t="e">
        <f>IF(AND($BC118=0,C118=Tab_sel!$P$7,$D118=Tab_sel!$O$24,$E118=Tab_sel!$B$33),1,"")</f>
        <v>#N/A</v>
      </c>
      <c r="BG118" s="322" t="e">
        <f>IF(AND($BC118=0,C118=Tab_sel!$P$7,$D118=Tab_sel!$O$24,$E118=Tab_sel!$B$34),1,"")</f>
        <v>#N/A</v>
      </c>
      <c r="BH118" s="322" t="e">
        <f>IF(AND($BC118=0,C118=Tab_sel!$P$7,$D118=Tab_sel!$O$24,$E118=Tab_sel!$B$35),1,"")</f>
        <v>#N/A</v>
      </c>
      <c r="BI118" s="343" t="e">
        <f>IF(AND($BC118=0,C118=Tab_sel!$P$7,$D118=Tab_sel!$O$24,$E118=Tab_sel!$B$36),1,"")</f>
        <v>#N/A</v>
      </c>
      <c r="BJ118" s="342" t="e">
        <f>IF(AND($BC118=0,$C118=Tab_sel!$P$7,$D118=Tab_sel!$O$24,$E118=Tab_sel!$N$31,$F118=Tab_sel!$B$40),1,"")</f>
        <v>#N/A</v>
      </c>
      <c r="BK118" s="322" t="e">
        <f>IF(AND($BC118=0,$C118=Tab_sel!$P$7,$D118=Tab_sel!$O$24,$E118=Tab_sel!$N$31,$F118=Tab_sel!$B$41),1,"")</f>
        <v>#N/A</v>
      </c>
      <c r="BL118" s="322" t="e">
        <f>IF(AND($BC118=0,$C118=Tab_sel!$P$7,$D118=Tab_sel!$O$24,$E118=Tab_sel!$N$31,$F118=Tab_sel!$B$42),1,"")</f>
        <v>#N/A</v>
      </c>
      <c r="BM118" s="322" t="e">
        <f>IF(AND($BC118=0,$C118=Tab_sel!$P$7,$D118=Tab_sel!$O$24,$E118=Tab_sel!$N$31,$F118=Tab_sel!$B$43),1,"")</f>
        <v>#N/A</v>
      </c>
      <c r="BN118" s="322" t="e">
        <f>IF(AND($BC118=0,$C118=Tab_sel!$P$7,$D118=Tab_sel!$O$24,$E118=Tab_sel!$N$31,$F118=Tab_sel!$B$44),1,"")</f>
        <v>#N/A</v>
      </c>
      <c r="BO118" s="343" t="e">
        <f>IF(AND($BC118=0,$C118=Tab_sel!$P$7,$D118=Tab_sel!$O$24,$E118=Tab_sel!$N$31,$F118=Tab_sel!$B$45),1,"")</f>
        <v>#N/A</v>
      </c>
      <c r="BP118" s="354" t="e">
        <f>IF(AND($BC118=0,$C118=Tab_sel!$P$7,$D118=Tab_sel!$O$24,$E118=Tab_sel!$N$31,$F118=Tab_sel!$N$40,$I118=Tab_sel!$B$61),1,"")</f>
        <v>#N/A</v>
      </c>
      <c r="BQ118" s="355" t="e">
        <f>IF(AND($BC118=0,$C118=Tab_sel!$P$7,$D118=Tab_sel!$O$24,$E118=Tab_sel!$N$31,$F118=Tab_sel!$N$40,$I118=Tab_sel!$B$62),1,"")</f>
        <v>#N/A</v>
      </c>
      <c r="BR118" s="355" t="e">
        <f>IF(AND($BC118=0,$C118=Tab_sel!$P$7,$D118=Tab_sel!$O$24,$E118=Tab_sel!$N$31,$F118=Tab_sel!$N$40,$I118=Tab_sel!$B$63),1,"")</f>
        <v>#N/A</v>
      </c>
      <c r="BS118" s="355" t="e">
        <f>IF(AND($BC118=0,$C118=Tab_sel!$P$7,$D118=Tab_sel!$O$24,$E118=Tab_sel!$N$31,$F118=Tab_sel!$N$40,$I118=Tab_sel!$B$64),1,"")</f>
        <v>#N/A</v>
      </c>
      <c r="BT118" s="356" t="e">
        <f>IF(AND($BC118=0,$C118=Tab_sel!$P$7,$D118=Tab_sel!$O$24,$E118=Tab_sel!$N$31,$F118=Tab_sel!$N$40,$I118=Tab_sel!$B$65),1,"")</f>
        <v>#N/A</v>
      </c>
      <c r="BU118" s="856" t="e">
        <f>IF(AND($BC118=0,$C118=Tab_sel!$P$7,$D118=Tab_sel!$O$24,$E118=Tab_sel!$N$31,$F118=Tab_sel!$N$40,$I118=Tab_sel!$P$61,$H118=Tab_sel!$B$77),1,"")</f>
        <v>#N/A</v>
      </c>
      <c r="BV118" s="883" t="e">
        <f>IF(AND($BC118=0,$C118=Tab_sel!$P$7,$D118=Tab_sel!$O$24,$E118=Tab_sel!$N$31,$F118=Tab_sel!$N$40,$I118=Tab_sel!$P$61,$H118=Tab_sel!$B$78),1,"")</f>
        <v>#N/A</v>
      </c>
      <c r="BW118" s="883" t="e">
        <f>IF(AND($BC118=0,$C118=Tab_sel!$P$7,$D118=Tab_sel!$O$24,$E118=Tab_sel!$N$31,$F118=Tab_sel!$N$40,$I118=Tab_sel!$P$61,$H118=Tab_sel!$B$79),1,"")</f>
        <v>#N/A</v>
      </c>
      <c r="BX118" s="883" t="e">
        <f>IF(AND($BC118=0,$C118=Tab_sel!$P$7,$D118=Tab_sel!$O$24,$E118=Tab_sel!$N$31,$F118=Tab_sel!$N$40,$I118=Tab_sel!$P$61,$H118=Tab_sel!$B$80),1,"")</f>
        <v>#N/A</v>
      </c>
      <c r="BY118" s="883" t="e">
        <f>IF(AND($BC118=0,$C118=Tab_sel!$P$7,$D118=Tab_sel!$O$24,$E118=Tab_sel!$N$31,$F118=Tab_sel!$N$40,$I118=Tab_sel!$P$61,$H118=Tab_sel!$B$81),1,"")</f>
        <v>#N/A</v>
      </c>
      <c r="BZ118" s="857" t="e">
        <f>IF(AND($BC118=0,$C118=Tab_sel!$P$7,$D118=Tab_sel!$O$24,$E118=Tab_sel!$N$31,$F118=Tab_sel!$N$40,$I118=Tab_sel!$P$61,$H118=Tab_sel!$B$82),1,"")</f>
        <v>#N/A</v>
      </c>
      <c r="CA118" s="359"/>
      <c r="CC118">
        <f t="shared" si="30"/>
        <v>0</v>
      </c>
      <c r="CD118" s="882">
        <f t="shared" si="31"/>
        <v>0</v>
      </c>
      <c r="CE118" s="882">
        <f t="shared" si="32"/>
        <v>0</v>
      </c>
      <c r="CG118" t="s">
        <v>2618</v>
      </c>
      <c r="CH118" t="s">
        <v>2656</v>
      </c>
      <c r="CJ118" t="s">
        <v>2657</v>
      </c>
    </row>
    <row r="119" spans="2:88" ht="29.25" customHeight="1" x14ac:dyDescent="0.25">
      <c r="B119" s="791" t="s">
        <v>2408</v>
      </c>
      <c r="C119" s="874" t="s">
        <v>70</v>
      </c>
      <c r="D119" s="875" t="s">
        <v>76</v>
      </c>
      <c r="E119" s="771" t="str">
        <f>Cop</f>
        <v>Courrier en transit</v>
      </c>
      <c r="F119" s="771" t="str">
        <f>Disp</f>
        <v>Disparition</v>
      </c>
      <c r="G119" s="768" t="s">
        <v>2516</v>
      </c>
      <c r="H119" s="876" t="s">
        <v>2517</v>
      </c>
      <c r="I119" s="874" t="s">
        <v>1204</v>
      </c>
      <c r="J119" s="877" t="s">
        <v>2350</v>
      </c>
      <c r="K119" s="877" t="s">
        <v>1292</v>
      </c>
      <c r="L119" s="877" t="s">
        <v>2350</v>
      </c>
      <c r="M119" s="788" t="s">
        <v>2048</v>
      </c>
      <c r="N119" s="851"/>
      <c r="O119" s="851"/>
      <c r="P119" s="875"/>
      <c r="Q119" s="803"/>
      <c r="R119" s="803"/>
      <c r="S119" s="804"/>
      <c r="T119" s="875"/>
      <c r="U119" s="875"/>
      <c r="V119" s="805"/>
      <c r="W119" s="851"/>
      <c r="X119" s="851"/>
      <c r="Y119" s="875"/>
      <c r="Z119" s="875"/>
      <c r="AA119" s="875"/>
      <c r="AB119" s="805"/>
      <c r="AC119" s="806"/>
      <c r="AD119" s="806"/>
      <c r="AE119" s="806"/>
      <c r="AF119" s="806"/>
      <c r="AG119" s="806"/>
      <c r="AH119" s="805"/>
      <c r="AI119" s="807" t="str">
        <f t="shared" si="2"/>
        <v/>
      </c>
      <c r="AJ119" s="805"/>
      <c r="AK119" s="359"/>
      <c r="AM119" t="str">
        <f t="shared" si="34"/>
        <v/>
      </c>
      <c r="AN119">
        <f t="shared" si="35"/>
        <v>0</v>
      </c>
      <c r="AV119" s="882"/>
      <c r="AW119" s="882">
        <f t="shared" si="29"/>
        <v>0</v>
      </c>
      <c r="AX119" s="882">
        <f t="shared" si="49"/>
        <v>1</v>
      </c>
      <c r="AY119" s="882">
        <f t="shared" si="50"/>
        <v>1</v>
      </c>
      <c r="AZ119" s="927">
        <f t="shared" si="51"/>
        <v>1</v>
      </c>
      <c r="BA119" s="882">
        <v>0</v>
      </c>
      <c r="BB119" s="925">
        <f t="shared" si="36"/>
        <v>0</v>
      </c>
      <c r="BC119" s="882">
        <f t="shared" si="52"/>
        <v>1</v>
      </c>
      <c r="BD119" s="342" t="e">
        <f>IF(AND($BC119=0,C119=Tab_sel!$P$7,$D119=Tab_sel!$O$24,$E119=Tab_sel!$B$31),1,"")</f>
        <v>#N/A</v>
      </c>
      <c r="BE119" s="322" t="e">
        <f>IF(AND($BC119=0,C119=Tab_sel!$P$7,$D119=Tab_sel!$O$24,$E119=Tab_sel!$B$32),1,"")</f>
        <v>#N/A</v>
      </c>
      <c r="BF119" s="322" t="e">
        <f>IF(AND($BC119=0,C119=Tab_sel!$P$7,$D119=Tab_sel!$O$24,$E119=Tab_sel!$B$33),1,"")</f>
        <v>#N/A</v>
      </c>
      <c r="BG119" s="322" t="e">
        <f>IF(AND($BC119=0,C119=Tab_sel!$P$7,$D119=Tab_sel!$O$24,$E119=Tab_sel!$B$34),1,"")</f>
        <v>#N/A</v>
      </c>
      <c r="BH119" s="322" t="e">
        <f>IF(AND($BC119=0,C119=Tab_sel!$P$7,$D119=Tab_sel!$O$24,$E119=Tab_sel!$B$35),1,"")</f>
        <v>#N/A</v>
      </c>
      <c r="BI119" s="343" t="e">
        <f>IF(AND($BC119=0,C119=Tab_sel!$P$7,$D119=Tab_sel!$O$24,$E119=Tab_sel!$B$36),1,"")</f>
        <v>#N/A</v>
      </c>
      <c r="BJ119" s="342" t="e">
        <f>IF(AND($BC119=0,$C119=Tab_sel!$P$7,$D119=Tab_sel!$O$24,$E119=Tab_sel!$N$31,$F119=Tab_sel!$B$40),1,"")</f>
        <v>#N/A</v>
      </c>
      <c r="BK119" s="322" t="e">
        <f>IF(AND($BC119=0,$C119=Tab_sel!$P$7,$D119=Tab_sel!$O$24,$E119=Tab_sel!$N$31,$F119=Tab_sel!$B$41),1,"")</f>
        <v>#N/A</v>
      </c>
      <c r="BL119" s="322" t="e">
        <f>IF(AND($BC119=0,$C119=Tab_sel!$P$7,$D119=Tab_sel!$O$24,$E119=Tab_sel!$N$31,$F119=Tab_sel!$B$42),1,"")</f>
        <v>#N/A</v>
      </c>
      <c r="BM119" s="322" t="e">
        <f>IF(AND($BC119=0,$C119=Tab_sel!$P$7,$D119=Tab_sel!$O$24,$E119=Tab_sel!$N$31,$F119=Tab_sel!$B$43),1,"")</f>
        <v>#N/A</v>
      </c>
      <c r="BN119" s="322" t="e">
        <f>IF(AND($BC119=0,$C119=Tab_sel!$P$7,$D119=Tab_sel!$O$24,$E119=Tab_sel!$N$31,$F119=Tab_sel!$B$44),1,"")</f>
        <v>#N/A</v>
      </c>
      <c r="BO119" s="343" t="e">
        <f>IF(AND($BC119=0,$C119=Tab_sel!$P$7,$D119=Tab_sel!$O$24,$E119=Tab_sel!$N$31,$F119=Tab_sel!$B$45),1,"")</f>
        <v>#N/A</v>
      </c>
      <c r="BP119" s="354" t="e">
        <f>IF(AND($BC119=0,$C119=Tab_sel!$P$7,$D119=Tab_sel!$O$24,$E119=Tab_sel!$N$31,$F119=Tab_sel!$N$40,$I119=Tab_sel!$B$61),1,"")</f>
        <v>#N/A</v>
      </c>
      <c r="BQ119" s="355" t="e">
        <f>IF(AND($BC119=0,$C119=Tab_sel!$P$7,$D119=Tab_sel!$O$24,$E119=Tab_sel!$N$31,$F119=Tab_sel!$N$40,$I119=Tab_sel!$B$62),1,"")</f>
        <v>#N/A</v>
      </c>
      <c r="BR119" s="355" t="e">
        <f>IF(AND($BC119=0,$C119=Tab_sel!$P$7,$D119=Tab_sel!$O$24,$E119=Tab_sel!$N$31,$F119=Tab_sel!$N$40,$I119=Tab_sel!$B$63),1,"")</f>
        <v>#N/A</v>
      </c>
      <c r="BS119" s="355" t="e">
        <f>IF(AND($BC119=0,$C119=Tab_sel!$P$7,$D119=Tab_sel!$O$24,$E119=Tab_sel!$N$31,$F119=Tab_sel!$N$40,$I119=Tab_sel!$B$64),1,"")</f>
        <v>#N/A</v>
      </c>
      <c r="BT119" s="356" t="e">
        <f>IF(AND($BC119=0,$C119=Tab_sel!$P$7,$D119=Tab_sel!$O$24,$E119=Tab_sel!$N$31,$F119=Tab_sel!$N$40,$I119=Tab_sel!$B$65),1,"")</f>
        <v>#N/A</v>
      </c>
      <c r="BU119" s="856" t="e">
        <f>IF(AND($BC119=0,$C119=Tab_sel!$P$7,$D119=Tab_sel!$O$24,$E119=Tab_sel!$N$31,$F119=Tab_sel!$N$40,$I119=Tab_sel!$P$61,$H119=Tab_sel!$B$77),1,"")</f>
        <v>#N/A</v>
      </c>
      <c r="BV119" s="883" t="e">
        <f>IF(AND($BC119=0,$C119=Tab_sel!$P$7,$D119=Tab_sel!$O$24,$E119=Tab_sel!$N$31,$F119=Tab_sel!$N$40,$I119=Tab_sel!$P$61,$H119=Tab_sel!$B$78),1,"")</f>
        <v>#N/A</v>
      </c>
      <c r="BW119" s="883" t="e">
        <f>IF(AND($BC119=0,$C119=Tab_sel!$P$7,$D119=Tab_sel!$O$24,$E119=Tab_sel!$N$31,$F119=Tab_sel!$N$40,$I119=Tab_sel!$P$61,$H119=Tab_sel!$B$79),1,"")</f>
        <v>#N/A</v>
      </c>
      <c r="BX119" s="883" t="e">
        <f>IF(AND($BC119=0,$C119=Tab_sel!$P$7,$D119=Tab_sel!$O$24,$E119=Tab_sel!$N$31,$F119=Tab_sel!$N$40,$I119=Tab_sel!$P$61,$H119=Tab_sel!$B$80),1,"")</f>
        <v>#N/A</v>
      </c>
      <c r="BY119" s="883" t="e">
        <f>IF(AND($BC119=0,$C119=Tab_sel!$P$7,$D119=Tab_sel!$O$24,$E119=Tab_sel!$N$31,$F119=Tab_sel!$N$40,$I119=Tab_sel!$P$61,$H119=Tab_sel!$B$81),1,"")</f>
        <v>#N/A</v>
      </c>
      <c r="BZ119" s="857" t="e">
        <f>IF(AND($BC119=0,$C119=Tab_sel!$P$7,$D119=Tab_sel!$O$24,$E119=Tab_sel!$N$31,$F119=Tab_sel!$N$40,$I119=Tab_sel!$P$61,$H119=Tab_sel!$B$82),1,"")</f>
        <v>#N/A</v>
      </c>
      <c r="CA119" s="359"/>
      <c r="CC119">
        <f t="shared" si="30"/>
        <v>0</v>
      </c>
      <c r="CD119" s="882">
        <f t="shared" si="31"/>
        <v>0</v>
      </c>
      <c r="CE119" s="882">
        <f t="shared" si="32"/>
        <v>0</v>
      </c>
      <c r="CH119" t="s">
        <v>2619</v>
      </c>
      <c r="CJ119" t="s">
        <v>2657</v>
      </c>
    </row>
    <row r="120" spans="2:88" ht="29.25" customHeight="1" x14ac:dyDescent="0.25">
      <c r="B120" s="791" t="s">
        <v>2409</v>
      </c>
      <c r="C120" s="874" t="s">
        <v>70</v>
      </c>
      <c r="D120" s="875" t="s">
        <v>76</v>
      </c>
      <c r="E120" s="771" t="str">
        <f>Cop</f>
        <v>Courrier en transit</v>
      </c>
      <c r="F120" s="771" t="str">
        <f>Disp</f>
        <v>Disparition</v>
      </c>
      <c r="G120" s="768" t="s">
        <v>2516</v>
      </c>
      <c r="H120" s="876" t="s">
        <v>2518</v>
      </c>
      <c r="I120" s="874" t="s">
        <v>1204</v>
      </c>
      <c r="J120" s="877" t="s">
        <v>2374</v>
      </c>
      <c r="K120" s="877" t="s">
        <v>2048</v>
      </c>
      <c r="L120" s="877" t="s">
        <v>2350</v>
      </c>
      <c r="M120" s="788" t="s">
        <v>2048</v>
      </c>
      <c r="N120" s="851"/>
      <c r="O120" s="851"/>
      <c r="P120" s="875"/>
      <c r="Q120" s="803"/>
      <c r="R120" s="803"/>
      <c r="S120" s="804"/>
      <c r="T120" s="875"/>
      <c r="U120" s="875"/>
      <c r="V120" s="805"/>
      <c r="W120" s="851"/>
      <c r="X120" s="851"/>
      <c r="Y120" s="875"/>
      <c r="Z120" s="875"/>
      <c r="AA120" s="875"/>
      <c r="AB120" s="805"/>
      <c r="AC120" s="806"/>
      <c r="AD120" s="806"/>
      <c r="AE120" s="806"/>
      <c r="AF120" s="806"/>
      <c r="AG120" s="806"/>
      <c r="AH120" s="805"/>
      <c r="AI120" s="807" t="str">
        <f t="shared" si="2"/>
        <v/>
      </c>
      <c r="AJ120" s="805"/>
      <c r="AK120" s="359"/>
      <c r="AM120" t="str">
        <f t="shared" si="34"/>
        <v/>
      </c>
      <c r="AN120">
        <f t="shared" si="35"/>
        <v>0</v>
      </c>
      <c r="AV120" s="882"/>
      <c r="AW120" s="882">
        <f t="shared" si="29"/>
        <v>0</v>
      </c>
      <c r="AX120" s="882">
        <f t="shared" si="49"/>
        <v>1</v>
      </c>
      <c r="AY120" s="882">
        <f t="shared" si="50"/>
        <v>1</v>
      </c>
      <c r="AZ120" s="927">
        <f t="shared" si="51"/>
        <v>1</v>
      </c>
      <c r="BA120" s="882">
        <v>0</v>
      </c>
      <c r="BB120" s="925">
        <f t="shared" si="36"/>
        <v>0</v>
      </c>
      <c r="BC120" s="882">
        <f t="shared" si="52"/>
        <v>1</v>
      </c>
      <c r="BD120" s="342" t="e">
        <f>IF(AND($BC120=0,C120=Tab_sel!$P$7,$D120=Tab_sel!$O$24,$E120=Tab_sel!$B$31),1,"")</f>
        <v>#N/A</v>
      </c>
      <c r="BE120" s="322" t="e">
        <f>IF(AND($BC120=0,C120=Tab_sel!$P$7,$D120=Tab_sel!$O$24,$E120=Tab_sel!$B$32),1,"")</f>
        <v>#N/A</v>
      </c>
      <c r="BF120" s="322" t="e">
        <f>IF(AND($BC120=0,C120=Tab_sel!$P$7,$D120=Tab_sel!$O$24,$E120=Tab_sel!$B$33),1,"")</f>
        <v>#N/A</v>
      </c>
      <c r="BG120" s="322" t="e">
        <f>IF(AND($BC120=0,C120=Tab_sel!$P$7,$D120=Tab_sel!$O$24,$E120=Tab_sel!$B$34),1,"")</f>
        <v>#N/A</v>
      </c>
      <c r="BH120" s="322" t="e">
        <f>IF(AND($BC120=0,C120=Tab_sel!$P$7,$D120=Tab_sel!$O$24,$E120=Tab_sel!$B$35),1,"")</f>
        <v>#N/A</v>
      </c>
      <c r="BI120" s="343" t="e">
        <f>IF(AND($BC120=0,C120=Tab_sel!$P$7,$D120=Tab_sel!$O$24,$E120=Tab_sel!$B$36),1,"")</f>
        <v>#N/A</v>
      </c>
      <c r="BJ120" s="342" t="e">
        <f>IF(AND($BC120=0,$C120=Tab_sel!$P$7,$D120=Tab_sel!$O$24,$E120=Tab_sel!$N$31,$F120=Tab_sel!$B$40),1,"")</f>
        <v>#N/A</v>
      </c>
      <c r="BK120" s="322" t="e">
        <f>IF(AND($BC120=0,$C120=Tab_sel!$P$7,$D120=Tab_sel!$O$24,$E120=Tab_sel!$N$31,$F120=Tab_sel!$B$41),1,"")</f>
        <v>#N/A</v>
      </c>
      <c r="BL120" s="322" t="e">
        <f>IF(AND($BC120=0,$C120=Tab_sel!$P$7,$D120=Tab_sel!$O$24,$E120=Tab_sel!$N$31,$F120=Tab_sel!$B$42),1,"")</f>
        <v>#N/A</v>
      </c>
      <c r="BM120" s="322" t="e">
        <f>IF(AND($BC120=0,$C120=Tab_sel!$P$7,$D120=Tab_sel!$O$24,$E120=Tab_sel!$N$31,$F120=Tab_sel!$B$43),1,"")</f>
        <v>#N/A</v>
      </c>
      <c r="BN120" s="322" t="e">
        <f>IF(AND($BC120=0,$C120=Tab_sel!$P$7,$D120=Tab_sel!$O$24,$E120=Tab_sel!$N$31,$F120=Tab_sel!$B$44),1,"")</f>
        <v>#N/A</v>
      </c>
      <c r="BO120" s="343" t="e">
        <f>IF(AND($BC120=0,$C120=Tab_sel!$P$7,$D120=Tab_sel!$O$24,$E120=Tab_sel!$N$31,$F120=Tab_sel!$B$45),1,"")</f>
        <v>#N/A</v>
      </c>
      <c r="BP120" s="354" t="e">
        <f>IF(AND($BC120=0,$C120=Tab_sel!$P$7,$D120=Tab_sel!$O$24,$E120=Tab_sel!$N$31,$F120=Tab_sel!$N$40,$I120=Tab_sel!$B$61),1,"")</f>
        <v>#N/A</v>
      </c>
      <c r="BQ120" s="355" t="e">
        <f>IF(AND($BC120=0,$C120=Tab_sel!$P$7,$D120=Tab_sel!$O$24,$E120=Tab_sel!$N$31,$F120=Tab_sel!$N$40,$I120=Tab_sel!$B$62),1,"")</f>
        <v>#N/A</v>
      </c>
      <c r="BR120" s="355" t="e">
        <f>IF(AND($BC120=0,$C120=Tab_sel!$P$7,$D120=Tab_sel!$O$24,$E120=Tab_sel!$N$31,$F120=Tab_sel!$N$40,$I120=Tab_sel!$B$63),1,"")</f>
        <v>#N/A</v>
      </c>
      <c r="BS120" s="355" t="e">
        <f>IF(AND($BC120=0,$C120=Tab_sel!$P$7,$D120=Tab_sel!$O$24,$E120=Tab_sel!$N$31,$F120=Tab_sel!$N$40,$I120=Tab_sel!$B$64),1,"")</f>
        <v>#N/A</v>
      </c>
      <c r="BT120" s="356" t="e">
        <f>IF(AND($BC120=0,$C120=Tab_sel!$P$7,$D120=Tab_sel!$O$24,$E120=Tab_sel!$N$31,$F120=Tab_sel!$N$40,$I120=Tab_sel!$B$65),1,"")</f>
        <v>#N/A</v>
      </c>
      <c r="BU120" s="856" t="e">
        <f>IF(AND($BC120=0,$C120=Tab_sel!$P$7,$D120=Tab_sel!$O$24,$E120=Tab_sel!$N$31,$F120=Tab_sel!$N$40,$I120=Tab_sel!$P$61,$H120=Tab_sel!$B$77),1,"")</f>
        <v>#N/A</v>
      </c>
      <c r="BV120" s="883" t="e">
        <f>IF(AND($BC120=0,$C120=Tab_sel!$P$7,$D120=Tab_sel!$O$24,$E120=Tab_sel!$N$31,$F120=Tab_sel!$N$40,$I120=Tab_sel!$P$61,$H120=Tab_sel!$B$78),1,"")</f>
        <v>#N/A</v>
      </c>
      <c r="BW120" s="883" t="e">
        <f>IF(AND($BC120=0,$C120=Tab_sel!$P$7,$D120=Tab_sel!$O$24,$E120=Tab_sel!$N$31,$F120=Tab_sel!$N$40,$I120=Tab_sel!$P$61,$H120=Tab_sel!$B$79),1,"")</f>
        <v>#N/A</v>
      </c>
      <c r="BX120" s="883" t="e">
        <f>IF(AND($BC120=0,$C120=Tab_sel!$P$7,$D120=Tab_sel!$O$24,$E120=Tab_sel!$N$31,$F120=Tab_sel!$N$40,$I120=Tab_sel!$P$61,$H120=Tab_sel!$B$80),1,"")</f>
        <v>#N/A</v>
      </c>
      <c r="BY120" s="883" t="e">
        <f>IF(AND($BC120=0,$C120=Tab_sel!$P$7,$D120=Tab_sel!$O$24,$E120=Tab_sel!$N$31,$F120=Tab_sel!$N$40,$I120=Tab_sel!$P$61,$H120=Tab_sel!$B$81),1,"")</f>
        <v>#N/A</v>
      </c>
      <c r="BZ120" s="857" t="e">
        <f>IF(AND($BC120=0,$C120=Tab_sel!$P$7,$D120=Tab_sel!$O$24,$E120=Tab_sel!$N$31,$F120=Tab_sel!$N$40,$I120=Tab_sel!$P$61,$H120=Tab_sel!$B$82),1,"")</f>
        <v>#N/A</v>
      </c>
      <c r="CA120" s="359"/>
      <c r="CC120">
        <f t="shared" si="30"/>
        <v>0</v>
      </c>
      <c r="CD120" s="882">
        <f t="shared" si="31"/>
        <v>0</v>
      </c>
      <c r="CE120" s="882">
        <f t="shared" si="32"/>
        <v>0</v>
      </c>
      <c r="CG120" t="s">
        <v>2618</v>
      </c>
      <c r="CH120" t="s">
        <v>2657</v>
      </c>
      <c r="CJ120" t="s">
        <v>2657</v>
      </c>
    </row>
    <row r="121" spans="2:88" ht="30" customHeight="1" x14ac:dyDescent="0.25">
      <c r="B121" s="791" t="s">
        <v>1486</v>
      </c>
      <c r="C121" s="771" t="s">
        <v>70</v>
      </c>
      <c r="D121" s="772" t="s">
        <v>76</v>
      </c>
      <c r="E121" s="771" t="str">
        <f>Cop</f>
        <v>Courrier en transit</v>
      </c>
      <c r="F121" s="771" t="str">
        <f>Disp</f>
        <v>Disparition</v>
      </c>
      <c r="G121" s="768" t="s">
        <v>2599</v>
      </c>
      <c r="H121" s="768"/>
      <c r="I121" s="771" t="s">
        <v>1169</v>
      </c>
      <c r="J121" s="769"/>
      <c r="K121" s="782" t="s">
        <v>2048</v>
      </c>
      <c r="L121" s="769"/>
      <c r="M121" s="788"/>
      <c r="N121" s="767"/>
      <c r="O121" s="767"/>
      <c r="P121" s="772"/>
      <c r="Q121" s="803"/>
      <c r="R121" s="803"/>
      <c r="S121" s="804"/>
      <c r="T121" s="772"/>
      <c r="U121" s="772"/>
      <c r="V121" s="805"/>
      <c r="W121" s="767"/>
      <c r="X121" s="767"/>
      <c r="Y121" s="772"/>
      <c r="Z121" s="772"/>
      <c r="AA121" s="772"/>
      <c r="AB121" s="805"/>
      <c r="AC121" s="806"/>
      <c r="AD121" s="806"/>
      <c r="AE121" s="806"/>
      <c r="AF121" s="806"/>
      <c r="AG121" s="806"/>
      <c r="AH121" s="805"/>
      <c r="AI121" s="807" t="str">
        <f t="shared" si="2"/>
        <v/>
      </c>
      <c r="AJ121" s="805"/>
      <c r="AK121" s="359"/>
      <c r="AM121" t="str">
        <f t="shared" si="34"/>
        <v/>
      </c>
      <c r="AN121">
        <f t="shared" si="35"/>
        <v>0</v>
      </c>
      <c r="AW121" s="882">
        <f t="shared" si="29"/>
        <v>0</v>
      </c>
      <c r="AX121" s="882">
        <f t="shared" si="49"/>
        <v>1</v>
      </c>
      <c r="AY121" s="882">
        <f t="shared" si="50"/>
        <v>1</v>
      </c>
      <c r="AZ121" s="927">
        <f t="shared" si="51"/>
        <v>1</v>
      </c>
      <c r="BA121" s="882">
        <v>1</v>
      </c>
      <c r="BB121" s="925">
        <f t="shared" si="36"/>
        <v>0</v>
      </c>
      <c r="BC121" s="882">
        <f t="shared" si="52"/>
        <v>1</v>
      </c>
      <c r="BD121" s="342" t="e">
        <f>IF(AND($BC121=0,C121=Tab_sel!$P$7,$D121=Tab_sel!$O$24,$E121=Tab_sel!$B$31),1,"")</f>
        <v>#N/A</v>
      </c>
      <c r="BE121" s="322" t="e">
        <f>IF(AND($BC121=0,C121=Tab_sel!$P$7,$D121=Tab_sel!$O$24,$E121=Tab_sel!$B$32),1,"")</f>
        <v>#N/A</v>
      </c>
      <c r="BF121" s="322" t="e">
        <f>IF(AND($BC121=0,C121=Tab_sel!$P$7,$D121=Tab_sel!$O$24,$E121=Tab_sel!$B$33),1,"")</f>
        <v>#N/A</v>
      </c>
      <c r="BG121" s="322" t="e">
        <f>IF(AND($BC121=0,C121=Tab_sel!$P$7,$D121=Tab_sel!$O$24,$E121=Tab_sel!$B$34),1,"")</f>
        <v>#N/A</v>
      </c>
      <c r="BH121" s="322" t="e">
        <f>IF(AND($BC121=0,C121=Tab_sel!$P$7,$D121=Tab_sel!$O$24,$E121=Tab_sel!$B$35),1,"")</f>
        <v>#N/A</v>
      </c>
      <c r="BI121" s="343" t="e">
        <f>IF(AND($BC121=0,C121=Tab_sel!$P$7,$D121=Tab_sel!$O$24,$E121=Tab_sel!$B$36),1,"")</f>
        <v>#N/A</v>
      </c>
      <c r="BJ121" s="342" t="e">
        <f>IF(AND($BC121=0,$C121=Tab_sel!$P$7,$D121=Tab_sel!$O$24,$E121=Tab_sel!$N$31,$F121=Tab_sel!$B$40),1,"")</f>
        <v>#N/A</v>
      </c>
      <c r="BK121" s="322" t="e">
        <f>IF(AND($BC121=0,$C121=Tab_sel!$P$7,$D121=Tab_sel!$O$24,$E121=Tab_sel!$N$31,$F121=Tab_sel!$B$41),1,"")</f>
        <v>#N/A</v>
      </c>
      <c r="BL121" s="322" t="e">
        <f>IF(AND($BC121=0,$C121=Tab_sel!$P$7,$D121=Tab_sel!$O$24,$E121=Tab_sel!$N$31,$F121=Tab_sel!$B$42),1,"")</f>
        <v>#N/A</v>
      </c>
      <c r="BM121" s="322" t="e">
        <f>IF(AND($BC121=0,$C121=Tab_sel!$P$7,$D121=Tab_sel!$O$24,$E121=Tab_sel!$N$31,$F121=Tab_sel!$B$43),1,"")</f>
        <v>#N/A</v>
      </c>
      <c r="BN121" s="322" t="e">
        <f>IF(AND($BC121=0,$C121=Tab_sel!$P$7,$D121=Tab_sel!$O$24,$E121=Tab_sel!$N$31,$F121=Tab_sel!$B$44),1,"")</f>
        <v>#N/A</v>
      </c>
      <c r="BO121" s="343" t="e">
        <f>IF(AND($BC121=0,$C121=Tab_sel!$P$7,$D121=Tab_sel!$O$24,$E121=Tab_sel!$N$31,$F121=Tab_sel!$B$45),1,"")</f>
        <v>#N/A</v>
      </c>
      <c r="BP121" s="354" t="e">
        <f>IF(AND($BC121=0,$C121=Tab_sel!$P$7,$D121=Tab_sel!$O$24,$E121=Tab_sel!$N$31,$F121=Tab_sel!$N$40,$I121=Tab_sel!$B$61),1,"")</f>
        <v>#N/A</v>
      </c>
      <c r="BQ121" s="355" t="e">
        <f>IF(AND($BC121=0,$C121=Tab_sel!$P$7,$D121=Tab_sel!$O$24,$E121=Tab_sel!$N$31,$F121=Tab_sel!$N$40,$I121=Tab_sel!$B$62),1,"")</f>
        <v>#N/A</v>
      </c>
      <c r="BR121" s="355" t="e">
        <f>IF(AND($BC121=0,$C121=Tab_sel!$P$7,$D121=Tab_sel!$O$24,$E121=Tab_sel!$N$31,$F121=Tab_sel!$N$40,$I121=Tab_sel!$B$63),1,"")</f>
        <v>#N/A</v>
      </c>
      <c r="BS121" s="355" t="e">
        <f>IF(AND($BC121=0,$C121=Tab_sel!$P$7,$D121=Tab_sel!$O$24,$E121=Tab_sel!$N$31,$F121=Tab_sel!$N$40,$I121=Tab_sel!$B$64),1,"")</f>
        <v>#N/A</v>
      </c>
      <c r="BT121" s="356" t="e">
        <f>IF(AND($BC121=0,$C121=Tab_sel!$P$7,$D121=Tab_sel!$O$24,$E121=Tab_sel!$N$31,$F121=Tab_sel!$N$40,$I121=Tab_sel!$B$65),1,"")</f>
        <v>#N/A</v>
      </c>
      <c r="BU121" s="856" t="e">
        <f>IF(AND($BC121=0,$C121=Tab_sel!$P$7,$D121=Tab_sel!$O$24,$E121=Tab_sel!$N$31,$F121=Tab_sel!$N$40,$I121=Tab_sel!$P$61,$H121=Tab_sel!$B$77),1,"")</f>
        <v>#N/A</v>
      </c>
      <c r="BV121" s="883" t="e">
        <f>IF(AND($BC121=0,$C121=Tab_sel!$P$7,$D121=Tab_sel!$O$24,$E121=Tab_sel!$N$31,$F121=Tab_sel!$N$40,$I121=Tab_sel!$P$61,$H121=Tab_sel!$B$78),1,"")</f>
        <v>#N/A</v>
      </c>
      <c r="BW121" s="883" t="e">
        <f>IF(AND($BC121=0,$C121=Tab_sel!$P$7,$D121=Tab_sel!$O$24,$E121=Tab_sel!$N$31,$F121=Tab_sel!$N$40,$I121=Tab_sel!$P$61,$H121=Tab_sel!$B$79),1,"")</f>
        <v>#N/A</v>
      </c>
      <c r="BX121" s="883" t="e">
        <f>IF(AND($BC121=0,$C121=Tab_sel!$P$7,$D121=Tab_sel!$O$24,$E121=Tab_sel!$N$31,$F121=Tab_sel!$N$40,$I121=Tab_sel!$P$61,$H121=Tab_sel!$B$80),1,"")</f>
        <v>#N/A</v>
      </c>
      <c r="BY121" s="883" t="e">
        <f>IF(AND($BC121=0,$C121=Tab_sel!$P$7,$D121=Tab_sel!$O$24,$E121=Tab_sel!$N$31,$F121=Tab_sel!$N$40,$I121=Tab_sel!$P$61,$H121=Tab_sel!$B$81),1,"")</f>
        <v>#N/A</v>
      </c>
      <c r="BZ121" s="857" t="e">
        <f>IF(AND($BC121=0,$C121=Tab_sel!$P$7,$D121=Tab_sel!$O$24,$E121=Tab_sel!$N$31,$F121=Tab_sel!$N$40,$I121=Tab_sel!$P$61,$H121=Tab_sel!$B$82),1,"")</f>
        <v>#N/A</v>
      </c>
      <c r="CA121" s="359"/>
      <c r="CC121">
        <f t="shared" si="30"/>
        <v>0</v>
      </c>
      <c r="CD121" s="882">
        <f t="shared" si="31"/>
        <v>0</v>
      </c>
      <c r="CE121" s="882">
        <f t="shared" si="32"/>
        <v>0</v>
      </c>
      <c r="CH121" t="s">
        <v>2657</v>
      </c>
    </row>
    <row r="122" spans="2:88" s="247" customFormat="1" ht="39.6" x14ac:dyDescent="0.25">
      <c r="B122" s="791" t="s">
        <v>1422</v>
      </c>
      <c r="C122" s="771" t="s">
        <v>70</v>
      </c>
      <c r="D122" s="772" t="s">
        <v>23</v>
      </c>
      <c r="E122" s="771" t="str">
        <f>Coe</f>
        <v>Courriel en transit</v>
      </c>
      <c r="F122" s="768" t="str">
        <f>Altd</f>
        <v>Altération (non détectée) de donnée</v>
      </c>
      <c r="G122" s="768" t="s">
        <v>1128</v>
      </c>
      <c r="H122" s="768"/>
      <c r="I122" s="771" t="s">
        <v>1198</v>
      </c>
      <c r="J122" s="769"/>
      <c r="K122" s="769" t="s">
        <v>1327</v>
      </c>
      <c r="L122" s="769"/>
      <c r="M122" s="788"/>
      <c r="N122" s="767"/>
      <c r="O122" s="767"/>
      <c r="P122" s="772"/>
      <c r="Q122" s="803"/>
      <c r="R122" s="803"/>
      <c r="S122" s="804"/>
      <c r="T122" s="772"/>
      <c r="U122" s="772"/>
      <c r="V122" s="805"/>
      <c r="W122" s="767"/>
      <c r="X122" s="767"/>
      <c r="Y122" s="772"/>
      <c r="Z122" s="772"/>
      <c r="AA122" s="772"/>
      <c r="AB122" s="805"/>
      <c r="AC122" s="806"/>
      <c r="AD122" s="806"/>
      <c r="AE122" s="806"/>
      <c r="AF122" s="806"/>
      <c r="AG122" s="806"/>
      <c r="AH122" s="805"/>
      <c r="AI122" s="807" t="str">
        <f t="shared" si="2"/>
        <v/>
      </c>
      <c r="AJ122" s="805"/>
      <c r="AK122" s="395"/>
      <c r="AM122" t="str">
        <f t="shared" si="34"/>
        <v/>
      </c>
      <c r="AN122">
        <f t="shared" si="35"/>
        <v>0</v>
      </c>
      <c r="AV122" s="396"/>
      <c r="AW122" s="882">
        <f t="shared" ref="AW122:AW182" si="53">IF(ISNUMBER(IF(D122="D",VLOOKUP(C122,Tab_ActP,4,FALSE),IF(D122="I",VLOOKUP(C122,Tab_ActP,5,FALSE),IF(D122="C",VLOOKUP(C122,Tab_ActP,6,FALSE),VLOOKUP(C122,Tab_ActP,7,FALSE))))),1,0)</f>
        <v>0</v>
      </c>
      <c r="AX122" s="882">
        <f t="shared" si="49"/>
        <v>1</v>
      </c>
      <c r="AY122" s="882">
        <f t="shared" si="50"/>
        <v>1</v>
      </c>
      <c r="AZ122" s="927">
        <f t="shared" si="51"/>
        <v>1</v>
      </c>
      <c r="BA122" s="882">
        <v>1</v>
      </c>
      <c r="BB122" s="925">
        <f t="shared" si="36"/>
        <v>0</v>
      </c>
      <c r="BC122" s="882">
        <f t="shared" si="52"/>
        <v>1</v>
      </c>
      <c r="BD122" s="342" t="e">
        <f>IF(AND($BC122=0,C122=Tab_sel!$P$7,$D122=Tab_sel!$O$24,$E122=Tab_sel!$B$31),1,"")</f>
        <v>#N/A</v>
      </c>
      <c r="BE122" s="322" t="e">
        <f>IF(AND($BC122=0,C122=Tab_sel!$P$7,$D122=Tab_sel!$O$24,$E122=Tab_sel!$B$32),1,"")</f>
        <v>#N/A</v>
      </c>
      <c r="BF122" s="322" t="e">
        <f>IF(AND($BC122=0,C122=Tab_sel!$P$7,$D122=Tab_sel!$O$24,$E122=Tab_sel!$B$33),1,"")</f>
        <v>#N/A</v>
      </c>
      <c r="BG122" s="322" t="e">
        <f>IF(AND($BC122=0,C122=Tab_sel!$P$7,$D122=Tab_sel!$O$24,$E122=Tab_sel!$B$34),1,"")</f>
        <v>#N/A</v>
      </c>
      <c r="BH122" s="322" t="e">
        <f>IF(AND($BC122=0,C122=Tab_sel!$P$7,$D122=Tab_sel!$O$24,$E122=Tab_sel!$B$35),1,"")</f>
        <v>#N/A</v>
      </c>
      <c r="BI122" s="343" t="e">
        <f>IF(AND($BC122=0,C122=Tab_sel!$P$7,$D122=Tab_sel!$O$24,$E122=Tab_sel!$B$36),1,"")</f>
        <v>#N/A</v>
      </c>
      <c r="BJ122" s="342" t="e">
        <f>IF(AND($BC122=0,$C122=Tab_sel!$P$7,$D122=Tab_sel!$O$24,$E122=Tab_sel!$N$31,$F122=Tab_sel!$B$40),1,"")</f>
        <v>#N/A</v>
      </c>
      <c r="BK122" s="322" t="e">
        <f>IF(AND($BC122=0,$C122=Tab_sel!$P$7,$D122=Tab_sel!$O$24,$E122=Tab_sel!$N$31,$F122=Tab_sel!$B$41),1,"")</f>
        <v>#N/A</v>
      </c>
      <c r="BL122" s="322" t="e">
        <f>IF(AND($BC122=0,$C122=Tab_sel!$P$7,$D122=Tab_sel!$O$24,$E122=Tab_sel!$N$31,$F122=Tab_sel!$B$42),1,"")</f>
        <v>#N/A</v>
      </c>
      <c r="BM122" s="322" t="e">
        <f>IF(AND($BC122=0,$C122=Tab_sel!$P$7,$D122=Tab_sel!$O$24,$E122=Tab_sel!$N$31,$F122=Tab_sel!$B$43),1,"")</f>
        <v>#N/A</v>
      </c>
      <c r="BN122" s="322" t="e">
        <f>IF(AND($BC122=0,$C122=Tab_sel!$P$7,$D122=Tab_sel!$O$24,$E122=Tab_sel!$N$31,$F122=Tab_sel!$B$44),1,"")</f>
        <v>#N/A</v>
      </c>
      <c r="BO122" s="343" t="e">
        <f>IF(AND($BC122=0,$C122=Tab_sel!$P$7,$D122=Tab_sel!$O$24,$E122=Tab_sel!$N$31,$F122=Tab_sel!$B$45),1,"")</f>
        <v>#N/A</v>
      </c>
      <c r="BP122" s="354" t="e">
        <f>IF(AND($BC122=0,$C122=Tab_sel!$P$7,$D122=Tab_sel!$O$24,$E122=Tab_sel!$N$31,$F122=Tab_sel!$N$40,$I122=Tab_sel!$B$61),1,"")</f>
        <v>#N/A</v>
      </c>
      <c r="BQ122" s="355" t="e">
        <f>IF(AND($BC122=0,$C122=Tab_sel!$P$7,$D122=Tab_sel!$O$24,$E122=Tab_sel!$N$31,$F122=Tab_sel!$N$40,$I122=Tab_sel!$B$62),1,"")</f>
        <v>#N/A</v>
      </c>
      <c r="BR122" s="355" t="e">
        <f>IF(AND($BC122=0,$C122=Tab_sel!$P$7,$D122=Tab_sel!$O$24,$E122=Tab_sel!$N$31,$F122=Tab_sel!$N$40,$I122=Tab_sel!$B$63),1,"")</f>
        <v>#N/A</v>
      </c>
      <c r="BS122" s="355" t="e">
        <f>IF(AND($BC122=0,$C122=Tab_sel!$P$7,$D122=Tab_sel!$O$24,$E122=Tab_sel!$N$31,$F122=Tab_sel!$N$40,$I122=Tab_sel!$B$64),1,"")</f>
        <v>#N/A</v>
      </c>
      <c r="BT122" s="356" t="e">
        <f>IF(AND($BC122=0,$C122=Tab_sel!$P$7,$D122=Tab_sel!$O$24,$E122=Tab_sel!$N$31,$F122=Tab_sel!$N$40,$I122=Tab_sel!$B$65),1,"")</f>
        <v>#N/A</v>
      </c>
      <c r="BU122" s="856" t="e">
        <f>IF(AND($BC122=0,$C122=Tab_sel!$P$7,$D122=Tab_sel!$O$24,$E122=Tab_sel!$N$31,$F122=Tab_sel!$N$40,$I122=Tab_sel!$P$61,$H122=Tab_sel!$B$77),1,"")</f>
        <v>#N/A</v>
      </c>
      <c r="BV122" s="883" t="e">
        <f>IF(AND($BC122=0,$C122=Tab_sel!$P$7,$D122=Tab_sel!$O$24,$E122=Tab_sel!$N$31,$F122=Tab_sel!$N$40,$I122=Tab_sel!$P$61,$H122=Tab_sel!$B$78),1,"")</f>
        <v>#N/A</v>
      </c>
      <c r="BW122" s="883" t="e">
        <f>IF(AND($BC122=0,$C122=Tab_sel!$P$7,$D122=Tab_sel!$O$24,$E122=Tab_sel!$N$31,$F122=Tab_sel!$N$40,$I122=Tab_sel!$P$61,$H122=Tab_sel!$B$79),1,"")</f>
        <v>#N/A</v>
      </c>
      <c r="BX122" s="883" t="e">
        <f>IF(AND($BC122=0,$C122=Tab_sel!$P$7,$D122=Tab_sel!$O$24,$E122=Tab_sel!$N$31,$F122=Tab_sel!$N$40,$I122=Tab_sel!$P$61,$H122=Tab_sel!$B$80),1,"")</f>
        <v>#N/A</v>
      </c>
      <c r="BY122" s="883" t="e">
        <f>IF(AND($BC122=0,$C122=Tab_sel!$P$7,$D122=Tab_sel!$O$24,$E122=Tab_sel!$N$31,$F122=Tab_sel!$N$40,$I122=Tab_sel!$P$61,$H122=Tab_sel!$B$81),1,"")</f>
        <v>#N/A</v>
      </c>
      <c r="BZ122" s="857" t="e">
        <f>IF(AND($BC122=0,$C122=Tab_sel!$P$7,$D122=Tab_sel!$O$24,$E122=Tab_sel!$N$31,$F122=Tab_sel!$N$40,$I122=Tab_sel!$P$61,$H122=Tab_sel!$B$82),1,"")</f>
        <v>#N/A</v>
      </c>
      <c r="CA122" s="359"/>
      <c r="CB122"/>
      <c r="CC122">
        <f t="shared" ref="CC122:CC182" si="54">IF(OR(AK122=1,AH122="",NOT(AB122="-")),0,1)</f>
        <v>0</v>
      </c>
      <c r="CD122" s="882">
        <f t="shared" ref="CD122:CD182" si="55">IF(OR(AK122=1,AB122="-",AH122=""),0,1)</f>
        <v>0</v>
      </c>
      <c r="CE122" s="882">
        <f t="shared" ref="CE122:CE182" si="56">IF(NOT(AK122=1),AB122)</f>
        <v>0</v>
      </c>
      <c r="CH122" s="247" t="s">
        <v>2655</v>
      </c>
    </row>
    <row r="123" spans="2:88" ht="26.4" x14ac:dyDescent="0.25">
      <c r="B123" s="791" t="s">
        <v>1423</v>
      </c>
      <c r="C123" s="771" t="s">
        <v>70</v>
      </c>
      <c r="D123" s="772" t="s">
        <v>23</v>
      </c>
      <c r="E123" s="771" t="str">
        <f>Coe</f>
        <v>Courriel en transit</v>
      </c>
      <c r="F123" s="773" t="str">
        <f>Crfx</f>
        <v>Création de faux</v>
      </c>
      <c r="G123" s="768" t="s">
        <v>1129</v>
      </c>
      <c r="H123" s="768"/>
      <c r="I123" s="771" t="s">
        <v>1199</v>
      </c>
      <c r="J123" s="769"/>
      <c r="K123" s="881" t="s">
        <v>1327</v>
      </c>
      <c r="L123" s="769"/>
      <c r="M123" s="788"/>
      <c r="N123" s="767"/>
      <c r="O123" s="767"/>
      <c r="P123" s="772"/>
      <c r="Q123" s="803"/>
      <c r="R123" s="803"/>
      <c r="S123" s="804"/>
      <c r="T123" s="772"/>
      <c r="U123" s="772"/>
      <c r="V123" s="805"/>
      <c r="W123" s="767"/>
      <c r="X123" s="767"/>
      <c r="Y123" s="772"/>
      <c r="Z123" s="772"/>
      <c r="AA123" s="772"/>
      <c r="AB123" s="805"/>
      <c r="AC123" s="806"/>
      <c r="AD123" s="806"/>
      <c r="AE123" s="806"/>
      <c r="AF123" s="806"/>
      <c r="AG123" s="806"/>
      <c r="AH123" s="805"/>
      <c r="AI123" s="807" t="str">
        <f t="shared" ref="AI123:AI183" si="57">IF(ISBLANK(AH123),"",CONCATENATE("R",AH123))</f>
        <v/>
      </c>
      <c r="AJ123" s="805"/>
      <c r="AK123" s="359"/>
      <c r="AM123" t="str">
        <f t="shared" si="34"/>
        <v/>
      </c>
      <c r="AN123">
        <f t="shared" si="35"/>
        <v>0</v>
      </c>
      <c r="AW123" s="882">
        <f t="shared" si="53"/>
        <v>0</v>
      </c>
      <c r="AX123" s="882">
        <f t="shared" si="49"/>
        <v>1</v>
      </c>
      <c r="AY123" s="882">
        <f t="shared" si="50"/>
        <v>1</v>
      </c>
      <c r="AZ123" s="927">
        <f t="shared" si="51"/>
        <v>1</v>
      </c>
      <c r="BA123" s="882">
        <v>1</v>
      </c>
      <c r="BB123" s="925">
        <f t="shared" si="36"/>
        <v>0</v>
      </c>
      <c r="BC123" s="882">
        <f t="shared" si="52"/>
        <v>1</v>
      </c>
      <c r="BD123" s="342" t="e">
        <f>IF(AND($BC123=0,C123=Tab_sel!$P$7,$D123=Tab_sel!$O$24,$E123=Tab_sel!$B$31),1,"")</f>
        <v>#N/A</v>
      </c>
      <c r="BE123" s="322" t="e">
        <f>IF(AND($BC123=0,C123=Tab_sel!$P$7,$D123=Tab_sel!$O$24,$E123=Tab_sel!$B$32),1,"")</f>
        <v>#N/A</v>
      </c>
      <c r="BF123" s="322" t="e">
        <f>IF(AND($BC123=0,C123=Tab_sel!$P$7,$D123=Tab_sel!$O$24,$E123=Tab_sel!$B$33),1,"")</f>
        <v>#N/A</v>
      </c>
      <c r="BG123" s="322" t="e">
        <f>IF(AND($BC123=0,C123=Tab_sel!$P$7,$D123=Tab_sel!$O$24,$E123=Tab_sel!$B$34),1,"")</f>
        <v>#N/A</v>
      </c>
      <c r="BH123" s="322" t="e">
        <f>IF(AND($BC123=0,C123=Tab_sel!$P$7,$D123=Tab_sel!$O$24,$E123=Tab_sel!$B$35),1,"")</f>
        <v>#N/A</v>
      </c>
      <c r="BI123" s="343" t="e">
        <f>IF(AND($BC123=0,C123=Tab_sel!$P$7,$D123=Tab_sel!$O$24,$E123=Tab_sel!$B$36),1,"")</f>
        <v>#N/A</v>
      </c>
      <c r="BJ123" s="342" t="e">
        <f>IF(AND($BC123=0,$C123=Tab_sel!$P$7,$D123=Tab_sel!$O$24,$E123=Tab_sel!$N$31,$F123=Tab_sel!$B$40),1,"")</f>
        <v>#N/A</v>
      </c>
      <c r="BK123" s="322" t="e">
        <f>IF(AND($BC123=0,$C123=Tab_sel!$P$7,$D123=Tab_sel!$O$24,$E123=Tab_sel!$N$31,$F123=Tab_sel!$B$41),1,"")</f>
        <v>#N/A</v>
      </c>
      <c r="BL123" s="322" t="e">
        <f>IF(AND($BC123=0,$C123=Tab_sel!$P$7,$D123=Tab_sel!$O$24,$E123=Tab_sel!$N$31,$F123=Tab_sel!$B$42),1,"")</f>
        <v>#N/A</v>
      </c>
      <c r="BM123" s="322" t="e">
        <f>IF(AND($BC123=0,$C123=Tab_sel!$P$7,$D123=Tab_sel!$O$24,$E123=Tab_sel!$N$31,$F123=Tab_sel!$B$43),1,"")</f>
        <v>#N/A</v>
      </c>
      <c r="BN123" s="322" t="e">
        <f>IF(AND($BC123=0,$C123=Tab_sel!$P$7,$D123=Tab_sel!$O$24,$E123=Tab_sel!$N$31,$F123=Tab_sel!$B$44),1,"")</f>
        <v>#N/A</v>
      </c>
      <c r="BO123" s="343" t="e">
        <f>IF(AND($BC123=0,$C123=Tab_sel!$P$7,$D123=Tab_sel!$O$24,$E123=Tab_sel!$N$31,$F123=Tab_sel!$B$45),1,"")</f>
        <v>#N/A</v>
      </c>
      <c r="BP123" s="354" t="e">
        <f>IF(AND($BC123=0,$C123=Tab_sel!$P$7,$D123=Tab_sel!$O$24,$E123=Tab_sel!$N$31,$F123=Tab_sel!$N$40,$I123=Tab_sel!$B$61),1,"")</f>
        <v>#N/A</v>
      </c>
      <c r="BQ123" s="355" t="e">
        <f>IF(AND($BC123=0,$C123=Tab_sel!$P$7,$D123=Tab_sel!$O$24,$E123=Tab_sel!$N$31,$F123=Tab_sel!$N$40,$I123=Tab_sel!$B$62),1,"")</f>
        <v>#N/A</v>
      </c>
      <c r="BR123" s="355" t="e">
        <f>IF(AND($BC123=0,$C123=Tab_sel!$P$7,$D123=Tab_sel!$O$24,$E123=Tab_sel!$N$31,$F123=Tab_sel!$N$40,$I123=Tab_sel!$B$63),1,"")</f>
        <v>#N/A</v>
      </c>
      <c r="BS123" s="355" t="e">
        <f>IF(AND($BC123=0,$C123=Tab_sel!$P$7,$D123=Tab_sel!$O$24,$E123=Tab_sel!$N$31,$F123=Tab_sel!$N$40,$I123=Tab_sel!$B$64),1,"")</f>
        <v>#N/A</v>
      </c>
      <c r="BT123" s="356" t="e">
        <f>IF(AND($BC123=0,$C123=Tab_sel!$P$7,$D123=Tab_sel!$O$24,$E123=Tab_sel!$N$31,$F123=Tab_sel!$N$40,$I123=Tab_sel!$B$65),1,"")</f>
        <v>#N/A</v>
      </c>
      <c r="BU123" s="856" t="e">
        <f>IF(AND($BC123=0,$C123=Tab_sel!$P$7,$D123=Tab_sel!$O$24,$E123=Tab_sel!$N$31,$F123=Tab_sel!$N$40,$I123=Tab_sel!$P$61,$H123=Tab_sel!$B$77),1,"")</f>
        <v>#N/A</v>
      </c>
      <c r="BV123" s="883" t="e">
        <f>IF(AND($BC123=0,$C123=Tab_sel!$P$7,$D123=Tab_sel!$O$24,$E123=Tab_sel!$N$31,$F123=Tab_sel!$N$40,$I123=Tab_sel!$P$61,$H123=Tab_sel!$B$78),1,"")</f>
        <v>#N/A</v>
      </c>
      <c r="BW123" s="883" t="e">
        <f>IF(AND($BC123=0,$C123=Tab_sel!$P$7,$D123=Tab_sel!$O$24,$E123=Tab_sel!$N$31,$F123=Tab_sel!$N$40,$I123=Tab_sel!$P$61,$H123=Tab_sel!$B$79),1,"")</f>
        <v>#N/A</v>
      </c>
      <c r="BX123" s="883" t="e">
        <f>IF(AND($BC123=0,$C123=Tab_sel!$P$7,$D123=Tab_sel!$O$24,$E123=Tab_sel!$N$31,$F123=Tab_sel!$N$40,$I123=Tab_sel!$P$61,$H123=Tab_sel!$B$80),1,"")</f>
        <v>#N/A</v>
      </c>
      <c r="BY123" s="883" t="e">
        <f>IF(AND($BC123=0,$C123=Tab_sel!$P$7,$D123=Tab_sel!$O$24,$E123=Tab_sel!$N$31,$F123=Tab_sel!$N$40,$I123=Tab_sel!$P$61,$H123=Tab_sel!$B$81),1,"")</f>
        <v>#N/A</v>
      </c>
      <c r="BZ123" s="857" t="e">
        <f>IF(AND($BC123=0,$C123=Tab_sel!$P$7,$D123=Tab_sel!$O$24,$E123=Tab_sel!$N$31,$F123=Tab_sel!$N$40,$I123=Tab_sel!$P$61,$H123=Tab_sel!$B$82),1,"")</f>
        <v>#N/A</v>
      </c>
      <c r="CA123" s="359"/>
      <c r="CC123">
        <f t="shared" si="54"/>
        <v>0</v>
      </c>
      <c r="CD123" s="882">
        <f t="shared" si="55"/>
        <v>0</v>
      </c>
      <c r="CE123" s="882">
        <f t="shared" si="56"/>
        <v>0</v>
      </c>
      <c r="CH123" t="s">
        <v>2655</v>
      </c>
    </row>
    <row r="124" spans="2:88" ht="84" customHeight="1" x14ac:dyDescent="0.25">
      <c r="B124" s="791" t="s">
        <v>1487</v>
      </c>
      <c r="C124" s="771" t="s">
        <v>70</v>
      </c>
      <c r="D124" s="772" t="s">
        <v>23</v>
      </c>
      <c r="E124" s="771" t="str">
        <f>Cop</f>
        <v>Courrier en transit</v>
      </c>
      <c r="F124" s="773" t="str">
        <f>Crfx</f>
        <v>Création de faux</v>
      </c>
      <c r="G124" s="768" t="s">
        <v>2184</v>
      </c>
      <c r="H124" s="768"/>
      <c r="I124" s="771" t="s">
        <v>1199</v>
      </c>
      <c r="J124" s="769"/>
      <c r="K124" s="778" t="s">
        <v>1265</v>
      </c>
      <c r="L124" s="769"/>
      <c r="M124" s="788"/>
      <c r="N124" s="767"/>
      <c r="O124" s="767"/>
      <c r="P124" s="772"/>
      <c r="Q124" s="803"/>
      <c r="R124" s="803"/>
      <c r="S124" s="804"/>
      <c r="T124" s="772"/>
      <c r="U124" s="772"/>
      <c r="V124" s="805"/>
      <c r="W124" s="767"/>
      <c r="X124" s="767"/>
      <c r="Y124" s="772"/>
      <c r="Z124" s="772"/>
      <c r="AA124" s="772"/>
      <c r="AB124" s="805"/>
      <c r="AC124" s="806"/>
      <c r="AD124" s="806"/>
      <c r="AE124" s="806"/>
      <c r="AF124" s="806"/>
      <c r="AG124" s="806"/>
      <c r="AH124" s="805"/>
      <c r="AI124" s="807" t="str">
        <f t="shared" si="57"/>
        <v/>
      </c>
      <c r="AJ124" s="805"/>
      <c r="AK124" s="359"/>
      <c r="AM124" t="str">
        <f t="shared" si="34"/>
        <v/>
      </c>
      <c r="AN124">
        <f t="shared" si="35"/>
        <v>0</v>
      </c>
      <c r="AW124" s="882">
        <f t="shared" si="53"/>
        <v>0</v>
      </c>
      <c r="AX124" s="882">
        <f t="shared" si="49"/>
        <v>1</v>
      </c>
      <c r="AY124" s="882">
        <f t="shared" si="50"/>
        <v>1</v>
      </c>
      <c r="AZ124" s="927">
        <f t="shared" si="51"/>
        <v>1</v>
      </c>
      <c r="BA124" s="882">
        <v>1</v>
      </c>
      <c r="BB124" s="925">
        <f t="shared" si="36"/>
        <v>0</v>
      </c>
      <c r="BC124" s="882">
        <f t="shared" si="52"/>
        <v>1</v>
      </c>
      <c r="BD124" s="342" t="e">
        <f>IF(AND($BC124=0,C124=Tab_sel!$P$7,$D124=Tab_sel!$O$24,$E124=Tab_sel!$B$31),1,"")</f>
        <v>#N/A</v>
      </c>
      <c r="BE124" s="322" t="e">
        <f>IF(AND($BC124=0,C124=Tab_sel!$P$7,$D124=Tab_sel!$O$24,$E124=Tab_sel!$B$32),1,"")</f>
        <v>#N/A</v>
      </c>
      <c r="BF124" s="322" t="e">
        <f>IF(AND($BC124=0,C124=Tab_sel!$P$7,$D124=Tab_sel!$O$24,$E124=Tab_sel!$B$33),1,"")</f>
        <v>#N/A</v>
      </c>
      <c r="BG124" s="322" t="e">
        <f>IF(AND($BC124=0,C124=Tab_sel!$P$7,$D124=Tab_sel!$O$24,$E124=Tab_sel!$B$34),1,"")</f>
        <v>#N/A</v>
      </c>
      <c r="BH124" s="322" t="e">
        <f>IF(AND($BC124=0,C124=Tab_sel!$P$7,$D124=Tab_sel!$O$24,$E124=Tab_sel!$B$35),1,"")</f>
        <v>#N/A</v>
      </c>
      <c r="BI124" s="343" t="e">
        <f>IF(AND($BC124=0,C124=Tab_sel!$P$7,$D124=Tab_sel!$O$24,$E124=Tab_sel!$B$36),1,"")</f>
        <v>#N/A</v>
      </c>
      <c r="BJ124" s="342" t="e">
        <f>IF(AND($BC124=0,$C124=Tab_sel!$P$7,$D124=Tab_sel!$O$24,$E124=Tab_sel!$N$31,$F124=Tab_sel!$B$40),1,"")</f>
        <v>#N/A</v>
      </c>
      <c r="BK124" s="322" t="e">
        <f>IF(AND($BC124=0,$C124=Tab_sel!$P$7,$D124=Tab_sel!$O$24,$E124=Tab_sel!$N$31,$F124=Tab_sel!$B$41),1,"")</f>
        <v>#N/A</v>
      </c>
      <c r="BL124" s="322" t="e">
        <f>IF(AND($BC124=0,$C124=Tab_sel!$P$7,$D124=Tab_sel!$O$24,$E124=Tab_sel!$N$31,$F124=Tab_sel!$B$42),1,"")</f>
        <v>#N/A</v>
      </c>
      <c r="BM124" s="322" t="e">
        <f>IF(AND($BC124=0,$C124=Tab_sel!$P$7,$D124=Tab_sel!$O$24,$E124=Tab_sel!$N$31,$F124=Tab_sel!$B$43),1,"")</f>
        <v>#N/A</v>
      </c>
      <c r="BN124" s="322" t="e">
        <f>IF(AND($BC124=0,$C124=Tab_sel!$P$7,$D124=Tab_sel!$O$24,$E124=Tab_sel!$N$31,$F124=Tab_sel!$B$44),1,"")</f>
        <v>#N/A</v>
      </c>
      <c r="BO124" s="343" t="e">
        <f>IF(AND($BC124=0,$C124=Tab_sel!$P$7,$D124=Tab_sel!$O$24,$E124=Tab_sel!$N$31,$F124=Tab_sel!$B$45),1,"")</f>
        <v>#N/A</v>
      </c>
      <c r="BP124" s="354" t="e">
        <f>IF(AND($BC124=0,$C124=Tab_sel!$P$7,$D124=Tab_sel!$O$24,$E124=Tab_sel!$N$31,$F124=Tab_sel!$N$40,$I124=Tab_sel!$B$61),1,"")</f>
        <v>#N/A</v>
      </c>
      <c r="BQ124" s="355" t="e">
        <f>IF(AND($BC124=0,$C124=Tab_sel!$P$7,$D124=Tab_sel!$O$24,$E124=Tab_sel!$N$31,$F124=Tab_sel!$N$40,$I124=Tab_sel!$B$62),1,"")</f>
        <v>#N/A</v>
      </c>
      <c r="BR124" s="355" t="e">
        <f>IF(AND($BC124=0,$C124=Tab_sel!$P$7,$D124=Tab_sel!$O$24,$E124=Tab_sel!$N$31,$F124=Tab_sel!$N$40,$I124=Tab_sel!$B$63),1,"")</f>
        <v>#N/A</v>
      </c>
      <c r="BS124" s="355" t="e">
        <f>IF(AND($BC124=0,$C124=Tab_sel!$P$7,$D124=Tab_sel!$O$24,$E124=Tab_sel!$N$31,$F124=Tab_sel!$N$40,$I124=Tab_sel!$B$64),1,"")</f>
        <v>#N/A</v>
      </c>
      <c r="BT124" s="356" t="e">
        <f>IF(AND($BC124=0,$C124=Tab_sel!$P$7,$D124=Tab_sel!$O$24,$E124=Tab_sel!$N$31,$F124=Tab_sel!$N$40,$I124=Tab_sel!$B$65),1,"")</f>
        <v>#N/A</v>
      </c>
      <c r="BU124" s="856" t="e">
        <f>IF(AND($BC124=0,$C124=Tab_sel!$P$7,$D124=Tab_sel!$O$24,$E124=Tab_sel!$N$31,$F124=Tab_sel!$N$40,$I124=Tab_sel!$P$61,$H124=Tab_sel!$B$77),1,"")</f>
        <v>#N/A</v>
      </c>
      <c r="BV124" s="883" t="e">
        <f>IF(AND($BC124=0,$C124=Tab_sel!$P$7,$D124=Tab_sel!$O$24,$E124=Tab_sel!$N$31,$F124=Tab_sel!$N$40,$I124=Tab_sel!$P$61,$H124=Tab_sel!$B$78),1,"")</f>
        <v>#N/A</v>
      </c>
      <c r="BW124" s="883" t="e">
        <f>IF(AND($BC124=0,$C124=Tab_sel!$P$7,$D124=Tab_sel!$O$24,$E124=Tab_sel!$N$31,$F124=Tab_sel!$N$40,$I124=Tab_sel!$P$61,$H124=Tab_sel!$B$79),1,"")</f>
        <v>#N/A</v>
      </c>
      <c r="BX124" s="883" t="e">
        <f>IF(AND($BC124=0,$C124=Tab_sel!$P$7,$D124=Tab_sel!$O$24,$E124=Tab_sel!$N$31,$F124=Tab_sel!$N$40,$I124=Tab_sel!$P$61,$H124=Tab_sel!$B$80),1,"")</f>
        <v>#N/A</v>
      </c>
      <c r="BY124" s="883" t="e">
        <f>IF(AND($BC124=0,$C124=Tab_sel!$P$7,$D124=Tab_sel!$O$24,$E124=Tab_sel!$N$31,$F124=Tab_sel!$N$40,$I124=Tab_sel!$P$61,$H124=Tab_sel!$B$81),1,"")</f>
        <v>#N/A</v>
      </c>
      <c r="BZ124" s="857" t="e">
        <f>IF(AND($BC124=0,$C124=Tab_sel!$P$7,$D124=Tab_sel!$O$24,$E124=Tab_sel!$N$31,$F124=Tab_sel!$N$40,$I124=Tab_sel!$P$61,$H124=Tab_sel!$B$82),1,"")</f>
        <v>#N/A</v>
      </c>
      <c r="CA124" s="359"/>
      <c r="CC124">
        <f t="shared" si="54"/>
        <v>0</v>
      </c>
      <c r="CD124" s="882">
        <f t="shared" si="55"/>
        <v>0</v>
      </c>
      <c r="CE124" s="882">
        <f t="shared" si="56"/>
        <v>0</v>
      </c>
      <c r="CH124" t="s">
        <v>2636</v>
      </c>
    </row>
    <row r="125" spans="2:88" ht="26.4" x14ac:dyDescent="0.25">
      <c r="B125" s="791" t="s">
        <v>1424</v>
      </c>
      <c r="C125" s="771" t="s">
        <v>70</v>
      </c>
      <c r="D125" s="772" t="s">
        <v>34</v>
      </c>
      <c r="E125" s="771" t="str">
        <f>Coe</f>
        <v>Courriel en transit</v>
      </c>
      <c r="F125" s="768" t="str">
        <f>Dive</f>
        <v>Divulgation de données</v>
      </c>
      <c r="G125" s="768" t="s">
        <v>1408</v>
      </c>
      <c r="H125" s="768"/>
      <c r="I125" s="771" t="s">
        <v>1211</v>
      </c>
      <c r="J125" s="769"/>
      <c r="K125" s="769" t="s">
        <v>1327</v>
      </c>
      <c r="L125" s="769"/>
      <c r="M125" s="788"/>
      <c r="N125" s="767"/>
      <c r="O125" s="767"/>
      <c r="P125" s="772"/>
      <c r="Q125" s="803"/>
      <c r="R125" s="803"/>
      <c r="S125" s="804"/>
      <c r="T125" s="772"/>
      <c r="U125" s="772"/>
      <c r="V125" s="805"/>
      <c r="W125" s="767"/>
      <c r="X125" s="767"/>
      <c r="Y125" s="772"/>
      <c r="Z125" s="772"/>
      <c r="AA125" s="772"/>
      <c r="AB125" s="805"/>
      <c r="AC125" s="806"/>
      <c r="AD125" s="806"/>
      <c r="AE125" s="806"/>
      <c r="AF125" s="806"/>
      <c r="AG125" s="806"/>
      <c r="AH125" s="805"/>
      <c r="AI125" s="807" t="str">
        <f t="shared" si="57"/>
        <v/>
      </c>
      <c r="AJ125" s="805"/>
      <c r="AK125" s="359"/>
      <c r="AM125" t="str">
        <f t="shared" si="34"/>
        <v/>
      </c>
      <c r="AN125">
        <f t="shared" si="35"/>
        <v>0</v>
      </c>
      <c r="AW125" s="882">
        <f t="shared" si="53"/>
        <v>0</v>
      </c>
      <c r="AX125" s="882">
        <f t="shared" si="49"/>
        <v>1</v>
      </c>
      <c r="AY125" s="882">
        <f t="shared" si="50"/>
        <v>1</v>
      </c>
      <c r="AZ125" s="927">
        <f t="shared" si="51"/>
        <v>1</v>
      </c>
      <c r="BA125" s="882">
        <v>1</v>
      </c>
      <c r="BB125" s="925">
        <f t="shared" si="36"/>
        <v>0</v>
      </c>
      <c r="BC125" s="882">
        <f t="shared" si="52"/>
        <v>1</v>
      </c>
      <c r="BD125" s="342" t="e">
        <f>IF(AND($BC125=0,C125=Tab_sel!$P$7,$D125=Tab_sel!$O$24,$E125=Tab_sel!$B$31),1,"")</f>
        <v>#N/A</v>
      </c>
      <c r="BE125" s="322" t="e">
        <f>IF(AND($BC125=0,C125=Tab_sel!$P$7,$D125=Tab_sel!$O$24,$E125=Tab_sel!$B$32),1,"")</f>
        <v>#N/A</v>
      </c>
      <c r="BF125" s="322" t="e">
        <f>IF(AND($BC125=0,C125=Tab_sel!$P$7,$D125=Tab_sel!$O$24,$E125=Tab_sel!$B$33),1,"")</f>
        <v>#N/A</v>
      </c>
      <c r="BG125" s="322" t="e">
        <f>IF(AND($BC125=0,C125=Tab_sel!$P$7,$D125=Tab_sel!$O$24,$E125=Tab_sel!$B$34),1,"")</f>
        <v>#N/A</v>
      </c>
      <c r="BH125" s="322" t="e">
        <f>IF(AND($BC125=0,C125=Tab_sel!$P$7,$D125=Tab_sel!$O$24,$E125=Tab_sel!$B$35),1,"")</f>
        <v>#N/A</v>
      </c>
      <c r="BI125" s="343" t="e">
        <f>IF(AND($BC125=0,C125=Tab_sel!$P$7,$D125=Tab_sel!$O$24,$E125=Tab_sel!$B$36),1,"")</f>
        <v>#N/A</v>
      </c>
      <c r="BJ125" s="342" t="e">
        <f>IF(AND($BC125=0,$C125=Tab_sel!$P$7,$D125=Tab_sel!$O$24,$E125=Tab_sel!$N$31,$F125=Tab_sel!$B$40),1,"")</f>
        <v>#N/A</v>
      </c>
      <c r="BK125" s="322" t="e">
        <f>IF(AND($BC125=0,$C125=Tab_sel!$P$7,$D125=Tab_sel!$O$24,$E125=Tab_sel!$N$31,$F125=Tab_sel!$B$41),1,"")</f>
        <v>#N/A</v>
      </c>
      <c r="BL125" s="322" t="e">
        <f>IF(AND($BC125=0,$C125=Tab_sel!$P$7,$D125=Tab_sel!$O$24,$E125=Tab_sel!$N$31,$F125=Tab_sel!$B$42),1,"")</f>
        <v>#N/A</v>
      </c>
      <c r="BM125" s="322" t="e">
        <f>IF(AND($BC125=0,$C125=Tab_sel!$P$7,$D125=Tab_sel!$O$24,$E125=Tab_sel!$N$31,$F125=Tab_sel!$B$43),1,"")</f>
        <v>#N/A</v>
      </c>
      <c r="BN125" s="322" t="e">
        <f>IF(AND($BC125=0,$C125=Tab_sel!$P$7,$D125=Tab_sel!$O$24,$E125=Tab_sel!$N$31,$F125=Tab_sel!$B$44),1,"")</f>
        <v>#N/A</v>
      </c>
      <c r="BO125" s="343" t="e">
        <f>IF(AND($BC125=0,$C125=Tab_sel!$P$7,$D125=Tab_sel!$O$24,$E125=Tab_sel!$N$31,$F125=Tab_sel!$B$45),1,"")</f>
        <v>#N/A</v>
      </c>
      <c r="BP125" s="354" t="e">
        <f>IF(AND($BC125=0,$C125=Tab_sel!$P$7,$D125=Tab_sel!$O$24,$E125=Tab_sel!$N$31,$F125=Tab_sel!$N$40,$I125=Tab_sel!$B$61),1,"")</f>
        <v>#N/A</v>
      </c>
      <c r="BQ125" s="355" t="e">
        <f>IF(AND($BC125=0,$C125=Tab_sel!$P$7,$D125=Tab_sel!$O$24,$E125=Tab_sel!$N$31,$F125=Tab_sel!$N$40,$I125=Tab_sel!$B$62),1,"")</f>
        <v>#N/A</v>
      </c>
      <c r="BR125" s="355" t="e">
        <f>IF(AND($BC125=0,$C125=Tab_sel!$P$7,$D125=Tab_sel!$O$24,$E125=Tab_sel!$N$31,$F125=Tab_sel!$N$40,$I125=Tab_sel!$B$63),1,"")</f>
        <v>#N/A</v>
      </c>
      <c r="BS125" s="355" t="e">
        <f>IF(AND($BC125=0,$C125=Tab_sel!$P$7,$D125=Tab_sel!$O$24,$E125=Tab_sel!$N$31,$F125=Tab_sel!$N$40,$I125=Tab_sel!$B$64),1,"")</f>
        <v>#N/A</v>
      </c>
      <c r="BT125" s="356" t="e">
        <f>IF(AND($BC125=0,$C125=Tab_sel!$P$7,$D125=Tab_sel!$O$24,$E125=Tab_sel!$N$31,$F125=Tab_sel!$N$40,$I125=Tab_sel!$B$65),1,"")</f>
        <v>#N/A</v>
      </c>
      <c r="BU125" s="856" t="e">
        <f>IF(AND($BC125=0,$C125=Tab_sel!$P$7,$D125=Tab_sel!$O$24,$E125=Tab_sel!$N$31,$F125=Tab_sel!$N$40,$I125=Tab_sel!$P$61,$H125=Tab_sel!$B$77),1,"")</f>
        <v>#N/A</v>
      </c>
      <c r="BV125" s="883" t="e">
        <f>IF(AND($BC125=0,$C125=Tab_sel!$P$7,$D125=Tab_sel!$O$24,$E125=Tab_sel!$N$31,$F125=Tab_sel!$N$40,$I125=Tab_sel!$P$61,$H125=Tab_sel!$B$78),1,"")</f>
        <v>#N/A</v>
      </c>
      <c r="BW125" s="883" t="e">
        <f>IF(AND($BC125=0,$C125=Tab_sel!$P$7,$D125=Tab_sel!$O$24,$E125=Tab_sel!$N$31,$F125=Tab_sel!$N$40,$I125=Tab_sel!$P$61,$H125=Tab_sel!$B$79),1,"")</f>
        <v>#N/A</v>
      </c>
      <c r="BX125" s="883" t="e">
        <f>IF(AND($BC125=0,$C125=Tab_sel!$P$7,$D125=Tab_sel!$O$24,$E125=Tab_sel!$N$31,$F125=Tab_sel!$N$40,$I125=Tab_sel!$P$61,$H125=Tab_sel!$B$80),1,"")</f>
        <v>#N/A</v>
      </c>
      <c r="BY125" s="883" t="e">
        <f>IF(AND($BC125=0,$C125=Tab_sel!$P$7,$D125=Tab_sel!$O$24,$E125=Tab_sel!$N$31,$F125=Tab_sel!$N$40,$I125=Tab_sel!$P$61,$H125=Tab_sel!$B$81),1,"")</f>
        <v>#N/A</v>
      </c>
      <c r="BZ125" s="857" t="e">
        <f>IF(AND($BC125=0,$C125=Tab_sel!$P$7,$D125=Tab_sel!$O$24,$E125=Tab_sel!$N$31,$F125=Tab_sel!$N$40,$I125=Tab_sel!$P$61,$H125=Tab_sel!$B$82),1,"")</f>
        <v>#N/A</v>
      </c>
      <c r="CA125" s="359"/>
      <c r="CC125">
        <f t="shared" si="54"/>
        <v>0</v>
      </c>
      <c r="CD125" s="882">
        <f t="shared" si="55"/>
        <v>0</v>
      </c>
      <c r="CE125" s="882">
        <f t="shared" si="56"/>
        <v>0</v>
      </c>
      <c r="CH125" t="s">
        <v>2655</v>
      </c>
    </row>
    <row r="126" spans="2:88" ht="26.4" x14ac:dyDescent="0.25">
      <c r="B126" s="791" t="s">
        <v>1425</v>
      </c>
      <c r="C126" s="771" t="s">
        <v>70</v>
      </c>
      <c r="D126" s="772" t="s">
        <v>34</v>
      </c>
      <c r="E126" s="771" t="str">
        <f>Coe</f>
        <v>Courriel en transit</v>
      </c>
      <c r="F126" s="768" t="str">
        <f>Dive</f>
        <v>Divulgation de données</v>
      </c>
      <c r="G126" s="768" t="s">
        <v>1409</v>
      </c>
      <c r="H126" s="768"/>
      <c r="I126" s="771" t="s">
        <v>1171</v>
      </c>
      <c r="J126" s="769"/>
      <c r="K126" s="769" t="s">
        <v>1327</v>
      </c>
      <c r="L126" s="769"/>
      <c r="M126" s="788"/>
      <c r="N126" s="767"/>
      <c r="O126" s="767"/>
      <c r="P126" s="772"/>
      <c r="Q126" s="803"/>
      <c r="R126" s="803"/>
      <c r="S126" s="804"/>
      <c r="T126" s="772"/>
      <c r="U126" s="772"/>
      <c r="V126" s="805"/>
      <c r="W126" s="767"/>
      <c r="X126" s="767"/>
      <c r="Y126" s="772"/>
      <c r="Z126" s="772"/>
      <c r="AA126" s="772"/>
      <c r="AB126" s="805"/>
      <c r="AC126" s="806"/>
      <c r="AD126" s="806"/>
      <c r="AE126" s="806"/>
      <c r="AF126" s="806"/>
      <c r="AG126" s="806"/>
      <c r="AH126" s="805"/>
      <c r="AI126" s="807" t="str">
        <f t="shared" si="57"/>
        <v/>
      </c>
      <c r="AJ126" s="805"/>
      <c r="AK126" s="359"/>
      <c r="AM126" t="str">
        <f t="shared" si="34"/>
        <v/>
      </c>
      <c r="AN126">
        <f t="shared" si="35"/>
        <v>0</v>
      </c>
      <c r="AW126" s="882">
        <f t="shared" si="53"/>
        <v>0</v>
      </c>
      <c r="AX126" s="882">
        <f t="shared" si="49"/>
        <v>1</v>
      </c>
      <c r="AY126" s="882">
        <f t="shared" si="50"/>
        <v>1</v>
      </c>
      <c r="AZ126" s="927">
        <f t="shared" si="51"/>
        <v>1</v>
      </c>
      <c r="BA126" s="882">
        <v>1</v>
      </c>
      <c r="BB126" s="925">
        <f t="shared" si="36"/>
        <v>0</v>
      </c>
      <c r="BC126" s="882">
        <f t="shared" si="52"/>
        <v>1</v>
      </c>
      <c r="BD126" s="342" t="e">
        <f>IF(AND($BC126=0,C126=Tab_sel!$P$7,$D126=Tab_sel!$O$24,$E126=Tab_sel!$B$31),1,"")</f>
        <v>#N/A</v>
      </c>
      <c r="BE126" s="322" t="e">
        <f>IF(AND($BC126=0,C126=Tab_sel!$P$7,$D126=Tab_sel!$O$24,$E126=Tab_sel!$B$32),1,"")</f>
        <v>#N/A</v>
      </c>
      <c r="BF126" s="322" t="e">
        <f>IF(AND($BC126=0,C126=Tab_sel!$P$7,$D126=Tab_sel!$O$24,$E126=Tab_sel!$B$33),1,"")</f>
        <v>#N/A</v>
      </c>
      <c r="BG126" s="322" t="e">
        <f>IF(AND($BC126=0,C126=Tab_sel!$P$7,$D126=Tab_sel!$O$24,$E126=Tab_sel!$B$34),1,"")</f>
        <v>#N/A</v>
      </c>
      <c r="BH126" s="322" t="e">
        <f>IF(AND($BC126=0,C126=Tab_sel!$P$7,$D126=Tab_sel!$O$24,$E126=Tab_sel!$B$35),1,"")</f>
        <v>#N/A</v>
      </c>
      <c r="BI126" s="343" t="e">
        <f>IF(AND($BC126=0,C126=Tab_sel!$P$7,$D126=Tab_sel!$O$24,$E126=Tab_sel!$B$36),1,"")</f>
        <v>#N/A</v>
      </c>
      <c r="BJ126" s="342" t="e">
        <f>IF(AND($BC126=0,$C126=Tab_sel!$P$7,$D126=Tab_sel!$O$24,$E126=Tab_sel!$N$31,$F126=Tab_sel!$B$40),1,"")</f>
        <v>#N/A</v>
      </c>
      <c r="BK126" s="322" t="e">
        <f>IF(AND($BC126=0,$C126=Tab_sel!$P$7,$D126=Tab_sel!$O$24,$E126=Tab_sel!$N$31,$F126=Tab_sel!$B$41),1,"")</f>
        <v>#N/A</v>
      </c>
      <c r="BL126" s="322" t="e">
        <f>IF(AND($BC126=0,$C126=Tab_sel!$P$7,$D126=Tab_sel!$O$24,$E126=Tab_sel!$N$31,$F126=Tab_sel!$B$42),1,"")</f>
        <v>#N/A</v>
      </c>
      <c r="BM126" s="322" t="e">
        <f>IF(AND($BC126=0,$C126=Tab_sel!$P$7,$D126=Tab_sel!$O$24,$E126=Tab_sel!$N$31,$F126=Tab_sel!$B$43),1,"")</f>
        <v>#N/A</v>
      </c>
      <c r="BN126" s="322" t="e">
        <f>IF(AND($BC126=0,$C126=Tab_sel!$P$7,$D126=Tab_sel!$O$24,$E126=Tab_sel!$N$31,$F126=Tab_sel!$B$44),1,"")</f>
        <v>#N/A</v>
      </c>
      <c r="BO126" s="343" t="e">
        <f>IF(AND($BC126=0,$C126=Tab_sel!$P$7,$D126=Tab_sel!$O$24,$E126=Tab_sel!$N$31,$F126=Tab_sel!$B$45),1,"")</f>
        <v>#N/A</v>
      </c>
      <c r="BP126" s="354" t="e">
        <f>IF(AND($BC126=0,$C126=Tab_sel!$P$7,$D126=Tab_sel!$O$24,$E126=Tab_sel!$N$31,$F126=Tab_sel!$N$40,$I126=Tab_sel!$B$61),1,"")</f>
        <v>#N/A</v>
      </c>
      <c r="BQ126" s="355" t="e">
        <f>IF(AND($BC126=0,$C126=Tab_sel!$P$7,$D126=Tab_sel!$O$24,$E126=Tab_sel!$N$31,$F126=Tab_sel!$N$40,$I126=Tab_sel!$B$62),1,"")</f>
        <v>#N/A</v>
      </c>
      <c r="BR126" s="355" t="e">
        <f>IF(AND($BC126=0,$C126=Tab_sel!$P$7,$D126=Tab_sel!$O$24,$E126=Tab_sel!$N$31,$F126=Tab_sel!$N$40,$I126=Tab_sel!$B$63),1,"")</f>
        <v>#N/A</v>
      </c>
      <c r="BS126" s="355" t="e">
        <f>IF(AND($BC126=0,$C126=Tab_sel!$P$7,$D126=Tab_sel!$O$24,$E126=Tab_sel!$N$31,$F126=Tab_sel!$N$40,$I126=Tab_sel!$B$64),1,"")</f>
        <v>#N/A</v>
      </c>
      <c r="BT126" s="356" t="e">
        <f>IF(AND($BC126=0,$C126=Tab_sel!$P$7,$D126=Tab_sel!$O$24,$E126=Tab_sel!$N$31,$F126=Tab_sel!$N$40,$I126=Tab_sel!$B$65),1,"")</f>
        <v>#N/A</v>
      </c>
      <c r="BU126" s="856" t="e">
        <f>IF(AND($BC126=0,$C126=Tab_sel!$P$7,$D126=Tab_sel!$O$24,$E126=Tab_sel!$N$31,$F126=Tab_sel!$N$40,$I126=Tab_sel!$P$61,$H126=Tab_sel!$B$77),1,"")</f>
        <v>#N/A</v>
      </c>
      <c r="BV126" s="883" t="e">
        <f>IF(AND($BC126=0,$C126=Tab_sel!$P$7,$D126=Tab_sel!$O$24,$E126=Tab_sel!$N$31,$F126=Tab_sel!$N$40,$I126=Tab_sel!$P$61,$H126=Tab_sel!$B$78),1,"")</f>
        <v>#N/A</v>
      </c>
      <c r="BW126" s="883" t="e">
        <f>IF(AND($BC126=0,$C126=Tab_sel!$P$7,$D126=Tab_sel!$O$24,$E126=Tab_sel!$N$31,$F126=Tab_sel!$N$40,$I126=Tab_sel!$P$61,$H126=Tab_sel!$B$79),1,"")</f>
        <v>#N/A</v>
      </c>
      <c r="BX126" s="883" t="e">
        <f>IF(AND($BC126=0,$C126=Tab_sel!$P$7,$D126=Tab_sel!$O$24,$E126=Tab_sel!$N$31,$F126=Tab_sel!$N$40,$I126=Tab_sel!$P$61,$H126=Tab_sel!$B$80),1,"")</f>
        <v>#N/A</v>
      </c>
      <c r="BY126" s="883" t="e">
        <f>IF(AND($BC126=0,$C126=Tab_sel!$P$7,$D126=Tab_sel!$O$24,$E126=Tab_sel!$N$31,$F126=Tab_sel!$N$40,$I126=Tab_sel!$P$61,$H126=Tab_sel!$B$81),1,"")</f>
        <v>#N/A</v>
      </c>
      <c r="BZ126" s="857" t="e">
        <f>IF(AND($BC126=0,$C126=Tab_sel!$P$7,$D126=Tab_sel!$O$24,$E126=Tab_sel!$N$31,$F126=Tab_sel!$N$40,$I126=Tab_sel!$P$61,$H126=Tab_sel!$B$82),1,"")</f>
        <v>#N/A</v>
      </c>
      <c r="CA126" s="359"/>
      <c r="CC126">
        <f t="shared" si="54"/>
        <v>0</v>
      </c>
      <c r="CD126" s="882">
        <f t="shared" si="55"/>
        <v>0</v>
      </c>
      <c r="CE126" s="882">
        <f t="shared" si="56"/>
        <v>0</v>
      </c>
      <c r="CH126" t="s">
        <v>2655</v>
      </c>
    </row>
    <row r="127" spans="2:88" ht="36" customHeight="1" x14ac:dyDescent="0.25">
      <c r="B127" s="791" t="s">
        <v>1426</v>
      </c>
      <c r="C127" s="771" t="s">
        <v>70</v>
      </c>
      <c r="D127" s="772" t="s">
        <v>34</v>
      </c>
      <c r="E127" s="771" t="str">
        <f>Cop</f>
        <v>Courrier en transit</v>
      </c>
      <c r="F127" s="768" t="str">
        <f>Dive</f>
        <v>Divulgation de données</v>
      </c>
      <c r="G127" s="773" t="s">
        <v>2263</v>
      </c>
      <c r="H127" s="773"/>
      <c r="I127" s="771" t="s">
        <v>1204</v>
      </c>
      <c r="J127" s="774"/>
      <c r="K127" s="769" t="s">
        <v>2048</v>
      </c>
      <c r="L127" s="769"/>
      <c r="M127" s="788"/>
      <c r="N127" s="767"/>
      <c r="O127" s="767"/>
      <c r="P127" s="772"/>
      <c r="Q127" s="803"/>
      <c r="R127" s="803"/>
      <c r="S127" s="804"/>
      <c r="T127" s="772"/>
      <c r="U127" s="772"/>
      <c r="V127" s="805"/>
      <c r="W127" s="767"/>
      <c r="X127" s="767"/>
      <c r="Y127" s="772"/>
      <c r="Z127" s="772"/>
      <c r="AA127" s="772"/>
      <c r="AB127" s="805"/>
      <c r="AC127" s="806"/>
      <c r="AD127" s="806"/>
      <c r="AE127" s="806"/>
      <c r="AF127" s="806"/>
      <c r="AG127" s="806"/>
      <c r="AH127" s="805"/>
      <c r="AI127" s="807" t="str">
        <f t="shared" si="57"/>
        <v/>
      </c>
      <c r="AJ127" s="805"/>
      <c r="AK127" s="359"/>
      <c r="AM127" t="str">
        <f t="shared" si="34"/>
        <v/>
      </c>
      <c r="AN127">
        <f t="shared" si="35"/>
        <v>0</v>
      </c>
      <c r="AW127" s="882">
        <f t="shared" si="53"/>
        <v>0</v>
      </c>
      <c r="AX127" s="882">
        <f t="shared" si="49"/>
        <v>1</v>
      </c>
      <c r="AY127" s="882">
        <f t="shared" si="50"/>
        <v>1</v>
      </c>
      <c r="AZ127" s="927">
        <f t="shared" si="51"/>
        <v>1</v>
      </c>
      <c r="BA127" s="882">
        <v>1</v>
      </c>
      <c r="BB127" s="925">
        <f t="shared" si="36"/>
        <v>0</v>
      </c>
      <c r="BC127" s="882">
        <f t="shared" si="52"/>
        <v>1</v>
      </c>
      <c r="BD127" s="342" t="e">
        <f>IF(AND($BC127=0,C127=Tab_sel!$P$7,$D127=Tab_sel!$O$24,$E127=Tab_sel!$B$31),1,"")</f>
        <v>#N/A</v>
      </c>
      <c r="BE127" s="322" t="e">
        <f>IF(AND($BC127=0,C127=Tab_sel!$P$7,$D127=Tab_sel!$O$24,$E127=Tab_sel!$B$32),1,"")</f>
        <v>#N/A</v>
      </c>
      <c r="BF127" s="322" t="e">
        <f>IF(AND($BC127=0,C127=Tab_sel!$P$7,$D127=Tab_sel!$O$24,$E127=Tab_sel!$B$33),1,"")</f>
        <v>#N/A</v>
      </c>
      <c r="BG127" s="322" t="e">
        <f>IF(AND($BC127=0,C127=Tab_sel!$P$7,$D127=Tab_sel!$O$24,$E127=Tab_sel!$B$34),1,"")</f>
        <v>#N/A</v>
      </c>
      <c r="BH127" s="322" t="e">
        <f>IF(AND($BC127=0,C127=Tab_sel!$P$7,$D127=Tab_sel!$O$24,$E127=Tab_sel!$B$35),1,"")</f>
        <v>#N/A</v>
      </c>
      <c r="BI127" s="343" t="e">
        <f>IF(AND($BC127=0,C127=Tab_sel!$P$7,$D127=Tab_sel!$O$24,$E127=Tab_sel!$B$36),1,"")</f>
        <v>#N/A</v>
      </c>
      <c r="BJ127" s="342" t="e">
        <f>IF(AND($BC127=0,$C127=Tab_sel!$P$7,$D127=Tab_sel!$O$24,$E127=Tab_sel!$N$31,$F127=Tab_sel!$B$40),1,"")</f>
        <v>#N/A</v>
      </c>
      <c r="BK127" s="322" t="e">
        <f>IF(AND($BC127=0,$C127=Tab_sel!$P$7,$D127=Tab_sel!$O$24,$E127=Tab_sel!$N$31,$F127=Tab_sel!$B$41),1,"")</f>
        <v>#N/A</v>
      </c>
      <c r="BL127" s="322" t="e">
        <f>IF(AND($BC127=0,$C127=Tab_sel!$P$7,$D127=Tab_sel!$O$24,$E127=Tab_sel!$N$31,$F127=Tab_sel!$B$42),1,"")</f>
        <v>#N/A</v>
      </c>
      <c r="BM127" s="322" t="e">
        <f>IF(AND($BC127=0,$C127=Tab_sel!$P$7,$D127=Tab_sel!$O$24,$E127=Tab_sel!$N$31,$F127=Tab_sel!$B$43),1,"")</f>
        <v>#N/A</v>
      </c>
      <c r="BN127" s="322" t="e">
        <f>IF(AND($BC127=0,$C127=Tab_sel!$P$7,$D127=Tab_sel!$O$24,$E127=Tab_sel!$N$31,$F127=Tab_sel!$B$44),1,"")</f>
        <v>#N/A</v>
      </c>
      <c r="BO127" s="343" t="e">
        <f>IF(AND($BC127=0,$C127=Tab_sel!$P$7,$D127=Tab_sel!$O$24,$E127=Tab_sel!$N$31,$F127=Tab_sel!$B$45),1,"")</f>
        <v>#N/A</v>
      </c>
      <c r="BP127" s="354" t="e">
        <f>IF(AND($BC127=0,$C127=Tab_sel!$P$7,$D127=Tab_sel!$O$24,$E127=Tab_sel!$N$31,$F127=Tab_sel!$N$40,$I127=Tab_sel!$B$61),1,"")</f>
        <v>#N/A</v>
      </c>
      <c r="BQ127" s="355" t="e">
        <f>IF(AND($BC127=0,$C127=Tab_sel!$P$7,$D127=Tab_sel!$O$24,$E127=Tab_sel!$N$31,$F127=Tab_sel!$N$40,$I127=Tab_sel!$B$62),1,"")</f>
        <v>#N/A</v>
      </c>
      <c r="BR127" s="355" t="e">
        <f>IF(AND($BC127=0,$C127=Tab_sel!$P$7,$D127=Tab_sel!$O$24,$E127=Tab_sel!$N$31,$F127=Tab_sel!$N$40,$I127=Tab_sel!$B$63),1,"")</f>
        <v>#N/A</v>
      </c>
      <c r="BS127" s="355" t="e">
        <f>IF(AND($BC127=0,$C127=Tab_sel!$P$7,$D127=Tab_sel!$O$24,$E127=Tab_sel!$N$31,$F127=Tab_sel!$N$40,$I127=Tab_sel!$B$64),1,"")</f>
        <v>#N/A</v>
      </c>
      <c r="BT127" s="356" t="e">
        <f>IF(AND($BC127=0,$C127=Tab_sel!$P$7,$D127=Tab_sel!$O$24,$E127=Tab_sel!$N$31,$F127=Tab_sel!$N$40,$I127=Tab_sel!$B$65),1,"")</f>
        <v>#N/A</v>
      </c>
      <c r="BU127" s="856" t="e">
        <f>IF(AND($BC127=0,$C127=Tab_sel!$P$7,$D127=Tab_sel!$O$24,$E127=Tab_sel!$N$31,$F127=Tab_sel!$N$40,$I127=Tab_sel!$P$61,$H127=Tab_sel!$B$77),1,"")</f>
        <v>#N/A</v>
      </c>
      <c r="BV127" s="883" t="e">
        <f>IF(AND($BC127=0,$C127=Tab_sel!$P$7,$D127=Tab_sel!$O$24,$E127=Tab_sel!$N$31,$F127=Tab_sel!$N$40,$I127=Tab_sel!$P$61,$H127=Tab_sel!$B$78),1,"")</f>
        <v>#N/A</v>
      </c>
      <c r="BW127" s="883" t="e">
        <f>IF(AND($BC127=0,$C127=Tab_sel!$P$7,$D127=Tab_sel!$O$24,$E127=Tab_sel!$N$31,$F127=Tab_sel!$N$40,$I127=Tab_sel!$P$61,$H127=Tab_sel!$B$79),1,"")</f>
        <v>#N/A</v>
      </c>
      <c r="BX127" s="883" t="e">
        <f>IF(AND($BC127=0,$C127=Tab_sel!$P$7,$D127=Tab_sel!$O$24,$E127=Tab_sel!$N$31,$F127=Tab_sel!$N$40,$I127=Tab_sel!$P$61,$H127=Tab_sel!$B$80),1,"")</f>
        <v>#N/A</v>
      </c>
      <c r="BY127" s="883" t="e">
        <f>IF(AND($BC127=0,$C127=Tab_sel!$P$7,$D127=Tab_sel!$O$24,$E127=Tab_sel!$N$31,$F127=Tab_sel!$N$40,$I127=Tab_sel!$P$61,$H127=Tab_sel!$B$81),1,"")</f>
        <v>#N/A</v>
      </c>
      <c r="BZ127" s="857" t="e">
        <f>IF(AND($BC127=0,$C127=Tab_sel!$P$7,$D127=Tab_sel!$O$24,$E127=Tab_sel!$N$31,$F127=Tab_sel!$N$40,$I127=Tab_sel!$P$61,$H127=Tab_sel!$B$82),1,"")</f>
        <v>#N/A</v>
      </c>
      <c r="CA127" s="359"/>
      <c r="CC127">
        <f t="shared" si="54"/>
        <v>0</v>
      </c>
      <c r="CD127" s="882">
        <f t="shared" si="55"/>
        <v>0</v>
      </c>
      <c r="CE127" s="882">
        <f t="shared" si="56"/>
        <v>0</v>
      </c>
      <c r="CH127" t="s">
        <v>2657</v>
      </c>
    </row>
    <row r="128" spans="2:88" ht="18" customHeight="1" x14ac:dyDescent="0.25">
      <c r="B128" s="825" t="s">
        <v>1130</v>
      </c>
      <c r="C128" s="1024" t="str">
        <f>Arc</f>
        <v xml:space="preserve">Archives </v>
      </c>
      <c r="D128" s="1024"/>
      <c r="E128" s="1024"/>
      <c r="F128" s="1024"/>
      <c r="G128" s="1024"/>
      <c r="H128" s="1024"/>
      <c r="I128" s="1024"/>
      <c r="J128" s="1024"/>
      <c r="K128" s="1024"/>
      <c r="L128" s="1024"/>
      <c r="M128" s="1025"/>
      <c r="N128" s="826"/>
      <c r="O128" s="826"/>
      <c r="P128" s="827"/>
      <c r="Q128" s="828"/>
      <c r="R128" s="828"/>
      <c r="S128" s="829"/>
      <c r="T128" s="827"/>
      <c r="U128" s="827"/>
      <c r="V128" s="830"/>
      <c r="W128" s="826"/>
      <c r="X128" s="826"/>
      <c r="Y128" s="827"/>
      <c r="Z128" s="827"/>
      <c r="AA128" s="827"/>
      <c r="AB128" s="830"/>
      <c r="AC128" s="831"/>
      <c r="AD128" s="831"/>
      <c r="AE128" s="831"/>
      <c r="AF128" s="831"/>
      <c r="AG128" s="831"/>
      <c r="AH128" s="830"/>
      <c r="AI128" s="807" t="str">
        <f t="shared" si="57"/>
        <v/>
      </c>
      <c r="AJ128" s="830"/>
      <c r="AK128" s="359"/>
      <c r="AW128" s="882"/>
      <c r="AX128" s="882"/>
      <c r="AY128" s="882"/>
      <c r="AZ128" s="927"/>
      <c r="BA128" s="882"/>
      <c r="BB128" s="925">
        <f t="shared" si="36"/>
        <v>0</v>
      </c>
      <c r="BC128" s="882"/>
      <c r="BD128" s="342"/>
      <c r="BE128" s="322"/>
      <c r="BF128" s="322"/>
      <c r="BG128" s="322"/>
      <c r="BH128" s="322"/>
      <c r="BI128" s="343"/>
      <c r="BJ128" s="342"/>
      <c r="BK128" s="322"/>
      <c r="BL128" s="322"/>
      <c r="BM128" s="322"/>
      <c r="BN128" s="322"/>
      <c r="BO128" s="343"/>
      <c r="BP128" s="354"/>
      <c r="BQ128" s="355"/>
      <c r="BR128" s="355"/>
      <c r="BS128" s="355"/>
      <c r="BT128" s="356"/>
      <c r="BU128" s="856"/>
      <c r="BV128" s="883"/>
      <c r="BW128" s="883"/>
      <c r="BX128" s="883"/>
      <c r="BY128" s="883"/>
      <c r="BZ128" s="857"/>
      <c r="CA128" s="359"/>
      <c r="CC128">
        <f t="shared" si="54"/>
        <v>0</v>
      </c>
      <c r="CD128" s="882">
        <f t="shared" si="55"/>
        <v>0</v>
      </c>
      <c r="CE128" s="882">
        <f t="shared" si="56"/>
        <v>0</v>
      </c>
    </row>
    <row r="129" spans="2:88" ht="26.4" x14ac:dyDescent="0.25">
      <c r="B129" s="791" t="s">
        <v>1427</v>
      </c>
      <c r="C129" s="771" t="s">
        <v>35</v>
      </c>
      <c r="D129" s="772" t="s">
        <v>76</v>
      </c>
      <c r="E129" s="771" t="str">
        <f>Fic</f>
        <v xml:space="preserve">Fichier ou base de données </v>
      </c>
      <c r="F129" s="768" t="str">
        <f>Disp</f>
        <v>Disparition</v>
      </c>
      <c r="G129" s="768" t="s">
        <v>2556</v>
      </c>
      <c r="H129" s="876"/>
      <c r="I129" s="771" t="s">
        <v>1197</v>
      </c>
      <c r="J129" s="769" t="s">
        <v>2537</v>
      </c>
      <c r="K129" s="769" t="s">
        <v>1364</v>
      </c>
      <c r="L129" s="769"/>
      <c r="M129" s="788"/>
      <c r="N129" s="767"/>
      <c r="O129" s="767"/>
      <c r="P129" s="772"/>
      <c r="Q129" s="803"/>
      <c r="R129" s="803"/>
      <c r="S129" s="804"/>
      <c r="T129" s="772"/>
      <c r="U129" s="772"/>
      <c r="V129" s="805"/>
      <c r="W129" s="767"/>
      <c r="X129" s="767"/>
      <c r="Y129" s="772"/>
      <c r="Z129" s="772"/>
      <c r="AA129" s="772"/>
      <c r="AB129" s="805"/>
      <c r="AC129" s="806"/>
      <c r="AD129" s="806"/>
      <c r="AE129" s="806"/>
      <c r="AF129" s="806"/>
      <c r="AG129" s="806"/>
      <c r="AH129" s="805"/>
      <c r="AI129" s="807" t="str">
        <f t="shared" si="57"/>
        <v/>
      </c>
      <c r="AJ129" s="805"/>
      <c r="AK129" s="359"/>
      <c r="AM129" t="str">
        <f t="shared" si="34"/>
        <v/>
      </c>
      <c r="AN129">
        <f t="shared" si="35"/>
        <v>0</v>
      </c>
      <c r="AW129" s="882">
        <f t="shared" si="53"/>
        <v>0</v>
      </c>
      <c r="AX129" s="882">
        <f t="shared" ref="AX129:AX140" si="58">VLOOKUP(E129,Tab_ActS,2,FALSE)</f>
        <v>1</v>
      </c>
      <c r="AY129" s="882">
        <f t="shared" ref="AY129:AY140" si="59">VLOOKUP(F129,Tab_SDom,3,FALSE)</f>
        <v>1</v>
      </c>
      <c r="AZ129" s="927">
        <f t="shared" ref="AZ129:AZ140" si="60">VLOOKUP($I129,Tabexpo,8,FALSE)</f>
        <v>1</v>
      </c>
      <c r="BA129" s="882">
        <v>1</v>
      </c>
      <c r="BB129" s="925">
        <f t="shared" si="36"/>
        <v>0</v>
      </c>
      <c r="BC129" s="882">
        <f t="shared" ref="BC129:BC140" si="61">IF(IndS=FALSE,IF(BB129=1,0,1),IF(BB129=0,1,AV129))</f>
        <v>1</v>
      </c>
      <c r="BD129" s="342" t="e">
        <f>IF(AND($BC129=0,C129=Tab_sel!$P$7,$D129=Tab_sel!$O$24,$E129=Tab_sel!$B$31),1,"")</f>
        <v>#N/A</v>
      </c>
      <c r="BE129" s="322" t="e">
        <f>IF(AND($BC129=0,C129=Tab_sel!$P$7,$D129=Tab_sel!$O$24,$E129=Tab_sel!$B$32),1,"")</f>
        <v>#N/A</v>
      </c>
      <c r="BF129" s="322" t="e">
        <f>IF(AND($BC129=0,C129=Tab_sel!$P$7,$D129=Tab_sel!$O$24,$E129=Tab_sel!$B$33),1,"")</f>
        <v>#N/A</v>
      </c>
      <c r="BG129" s="322" t="e">
        <f>IF(AND($BC129=0,C129=Tab_sel!$P$7,$D129=Tab_sel!$O$24,$E129=Tab_sel!$B$34),1,"")</f>
        <v>#N/A</v>
      </c>
      <c r="BH129" s="322" t="e">
        <f>IF(AND($BC129=0,C129=Tab_sel!$P$7,$D129=Tab_sel!$O$24,$E129=Tab_sel!$B$35),1,"")</f>
        <v>#N/A</v>
      </c>
      <c r="BI129" s="343" t="e">
        <f>IF(AND($BC129=0,C129=Tab_sel!$P$7,$D129=Tab_sel!$O$24,$E129=Tab_sel!$B$36),1,"")</f>
        <v>#N/A</v>
      </c>
      <c r="BJ129" s="342" t="e">
        <f>IF(AND($BC129=0,$C129=Tab_sel!$P$7,$D129=Tab_sel!$O$24,$E129=Tab_sel!$N$31,$F129=Tab_sel!$B$40),1,"")</f>
        <v>#N/A</v>
      </c>
      <c r="BK129" s="322" t="e">
        <f>IF(AND($BC129=0,$C129=Tab_sel!$P$7,$D129=Tab_sel!$O$24,$E129=Tab_sel!$N$31,$F129=Tab_sel!$B$41),1,"")</f>
        <v>#N/A</v>
      </c>
      <c r="BL129" s="322" t="e">
        <f>IF(AND($BC129=0,$C129=Tab_sel!$P$7,$D129=Tab_sel!$O$24,$E129=Tab_sel!$N$31,$F129=Tab_sel!$B$42),1,"")</f>
        <v>#N/A</v>
      </c>
      <c r="BM129" s="322" t="e">
        <f>IF(AND($BC129=0,$C129=Tab_sel!$P$7,$D129=Tab_sel!$O$24,$E129=Tab_sel!$N$31,$F129=Tab_sel!$B$43),1,"")</f>
        <v>#N/A</v>
      </c>
      <c r="BN129" s="322" t="e">
        <f>IF(AND($BC129=0,$C129=Tab_sel!$P$7,$D129=Tab_sel!$O$24,$E129=Tab_sel!$N$31,$F129=Tab_sel!$B$44),1,"")</f>
        <v>#N/A</v>
      </c>
      <c r="BO129" s="343" t="e">
        <f>IF(AND($BC129=0,$C129=Tab_sel!$P$7,$D129=Tab_sel!$O$24,$E129=Tab_sel!$N$31,$F129=Tab_sel!$B$45),1,"")</f>
        <v>#N/A</v>
      </c>
      <c r="BP129" s="354" t="e">
        <f>IF(AND($BC129=0,$C129=Tab_sel!$P$7,$D129=Tab_sel!$O$24,$E129=Tab_sel!$N$31,$F129=Tab_sel!$N$40,$I129=Tab_sel!$B$61),1,"")</f>
        <v>#N/A</v>
      </c>
      <c r="BQ129" s="355" t="e">
        <f>IF(AND($BC129=0,$C129=Tab_sel!$P$7,$D129=Tab_sel!$O$24,$E129=Tab_sel!$N$31,$F129=Tab_sel!$N$40,$I129=Tab_sel!$B$62),1,"")</f>
        <v>#N/A</v>
      </c>
      <c r="BR129" s="355" t="e">
        <f>IF(AND($BC129=0,$C129=Tab_sel!$P$7,$D129=Tab_sel!$O$24,$E129=Tab_sel!$N$31,$F129=Tab_sel!$N$40,$I129=Tab_sel!$B$63),1,"")</f>
        <v>#N/A</v>
      </c>
      <c r="BS129" s="355" t="e">
        <f>IF(AND($BC129=0,$C129=Tab_sel!$P$7,$D129=Tab_sel!$O$24,$E129=Tab_sel!$N$31,$F129=Tab_sel!$N$40,$I129=Tab_sel!$B$64),1,"")</f>
        <v>#N/A</v>
      </c>
      <c r="BT129" s="356" t="e">
        <f>IF(AND($BC129=0,$C129=Tab_sel!$P$7,$D129=Tab_sel!$O$24,$E129=Tab_sel!$N$31,$F129=Tab_sel!$N$40,$I129=Tab_sel!$B$65),1,"")</f>
        <v>#N/A</v>
      </c>
      <c r="BU129" s="856" t="e">
        <f>IF(AND($BC129=0,$C129=Tab_sel!$P$7,$D129=Tab_sel!$O$24,$E129=Tab_sel!$N$31,$F129=Tab_sel!$N$40,$I129=Tab_sel!$P$61,$H129=Tab_sel!$B$77),1,"")</f>
        <v>#N/A</v>
      </c>
      <c r="BV129" s="883" t="e">
        <f>IF(AND($BC129=0,$C129=Tab_sel!$P$7,$D129=Tab_sel!$O$24,$E129=Tab_sel!$N$31,$F129=Tab_sel!$N$40,$I129=Tab_sel!$P$61,$H129=Tab_sel!$B$78),1,"")</f>
        <v>#N/A</v>
      </c>
      <c r="BW129" s="883" t="e">
        <f>IF(AND($BC129=0,$C129=Tab_sel!$P$7,$D129=Tab_sel!$O$24,$E129=Tab_sel!$N$31,$F129=Tab_sel!$N$40,$I129=Tab_sel!$P$61,$H129=Tab_sel!$B$79),1,"")</f>
        <v>#N/A</v>
      </c>
      <c r="BX129" s="883" t="e">
        <f>IF(AND($BC129=0,$C129=Tab_sel!$P$7,$D129=Tab_sel!$O$24,$E129=Tab_sel!$N$31,$F129=Tab_sel!$N$40,$I129=Tab_sel!$P$61,$H129=Tab_sel!$B$80),1,"")</f>
        <v>#N/A</v>
      </c>
      <c r="BY129" s="883" t="e">
        <f>IF(AND($BC129=0,$C129=Tab_sel!$P$7,$D129=Tab_sel!$O$24,$E129=Tab_sel!$N$31,$F129=Tab_sel!$N$40,$I129=Tab_sel!$P$61,$H129=Tab_sel!$B$81),1,"")</f>
        <v>#N/A</v>
      </c>
      <c r="BZ129" s="857" t="e">
        <f>IF(AND($BC129=0,$C129=Tab_sel!$P$7,$D129=Tab_sel!$O$24,$E129=Tab_sel!$N$31,$F129=Tab_sel!$N$40,$I129=Tab_sel!$P$61,$H129=Tab_sel!$B$82),1,"")</f>
        <v>#N/A</v>
      </c>
      <c r="CA129" s="359"/>
      <c r="CC129">
        <f t="shared" si="54"/>
        <v>0</v>
      </c>
      <c r="CD129" s="882">
        <f t="shared" si="55"/>
        <v>0</v>
      </c>
      <c r="CE129" s="882">
        <f t="shared" si="56"/>
        <v>0</v>
      </c>
      <c r="CG129" t="s">
        <v>2609</v>
      </c>
      <c r="CH129" t="s">
        <v>2658</v>
      </c>
    </row>
    <row r="130" spans="2:88" ht="39.6" x14ac:dyDescent="0.25">
      <c r="B130" s="791" t="s">
        <v>1428</v>
      </c>
      <c r="C130" s="771" t="s">
        <v>35</v>
      </c>
      <c r="D130" s="772" t="s">
        <v>76</v>
      </c>
      <c r="E130" s="771" t="str">
        <f>Fic</f>
        <v xml:space="preserve">Fichier ou base de données </v>
      </c>
      <c r="F130" s="768" t="str">
        <f>Inex</f>
        <v>Inexploitabilité</v>
      </c>
      <c r="G130" s="769" t="s">
        <v>1372</v>
      </c>
      <c r="H130" s="769"/>
      <c r="I130" s="771" t="s">
        <v>1197</v>
      </c>
      <c r="J130" s="769"/>
      <c r="K130" s="769" t="s">
        <v>1364</v>
      </c>
      <c r="L130" s="769"/>
      <c r="M130" s="788"/>
      <c r="N130" s="767"/>
      <c r="O130" s="767"/>
      <c r="P130" s="772"/>
      <c r="Q130" s="803"/>
      <c r="R130" s="803"/>
      <c r="S130" s="804"/>
      <c r="T130" s="772"/>
      <c r="U130" s="772"/>
      <c r="V130" s="805"/>
      <c r="W130" s="767"/>
      <c r="X130" s="767"/>
      <c r="Y130" s="772"/>
      <c r="Z130" s="772"/>
      <c r="AA130" s="772"/>
      <c r="AB130" s="805"/>
      <c r="AC130" s="806"/>
      <c r="AD130" s="806"/>
      <c r="AE130" s="806"/>
      <c r="AF130" s="806"/>
      <c r="AG130" s="806"/>
      <c r="AH130" s="805"/>
      <c r="AI130" s="807" t="str">
        <f t="shared" si="57"/>
        <v/>
      </c>
      <c r="AJ130" s="805"/>
      <c r="AK130" s="359"/>
      <c r="AM130" t="str">
        <f t="shared" si="34"/>
        <v/>
      </c>
      <c r="AN130">
        <f t="shared" si="35"/>
        <v>0</v>
      </c>
      <c r="AW130" s="882">
        <f t="shared" si="53"/>
        <v>0</v>
      </c>
      <c r="AX130" s="882">
        <f t="shared" si="58"/>
        <v>1</v>
      </c>
      <c r="AY130" s="882">
        <f t="shared" si="59"/>
        <v>1</v>
      </c>
      <c r="AZ130" s="927">
        <f t="shared" si="60"/>
        <v>1</v>
      </c>
      <c r="BA130" s="882">
        <v>1</v>
      </c>
      <c r="BB130" s="925">
        <f t="shared" si="36"/>
        <v>0</v>
      </c>
      <c r="BC130" s="882">
        <f t="shared" si="61"/>
        <v>1</v>
      </c>
      <c r="BD130" s="342" t="e">
        <f>IF(AND($BC130=0,C130=Tab_sel!$P$7,$D130=Tab_sel!$O$24,$E130=Tab_sel!$B$31),1,"")</f>
        <v>#N/A</v>
      </c>
      <c r="BE130" s="322" t="e">
        <f>IF(AND($BC130=0,C130=Tab_sel!$P$7,$D130=Tab_sel!$O$24,$E130=Tab_sel!$B$32),1,"")</f>
        <v>#N/A</v>
      </c>
      <c r="BF130" s="322" t="e">
        <f>IF(AND($BC130=0,C130=Tab_sel!$P$7,$D130=Tab_sel!$O$24,$E130=Tab_sel!$B$33),1,"")</f>
        <v>#N/A</v>
      </c>
      <c r="BG130" s="322" t="e">
        <f>IF(AND($BC130=0,C130=Tab_sel!$P$7,$D130=Tab_sel!$O$24,$E130=Tab_sel!$B$34),1,"")</f>
        <v>#N/A</v>
      </c>
      <c r="BH130" s="322" t="e">
        <f>IF(AND($BC130=0,C130=Tab_sel!$P$7,$D130=Tab_sel!$O$24,$E130=Tab_sel!$B$35),1,"")</f>
        <v>#N/A</v>
      </c>
      <c r="BI130" s="343" t="e">
        <f>IF(AND($BC130=0,C130=Tab_sel!$P$7,$D130=Tab_sel!$O$24,$E130=Tab_sel!$B$36),1,"")</f>
        <v>#N/A</v>
      </c>
      <c r="BJ130" s="342" t="e">
        <f>IF(AND($BC130=0,$C130=Tab_sel!$P$7,$D130=Tab_sel!$O$24,$E130=Tab_sel!$N$31,$F130=Tab_sel!$B$40),1,"")</f>
        <v>#N/A</v>
      </c>
      <c r="BK130" s="322" t="e">
        <f>IF(AND($BC130=0,$C130=Tab_sel!$P$7,$D130=Tab_sel!$O$24,$E130=Tab_sel!$N$31,$F130=Tab_sel!$B$41),1,"")</f>
        <v>#N/A</v>
      </c>
      <c r="BL130" s="322" t="e">
        <f>IF(AND($BC130=0,$C130=Tab_sel!$P$7,$D130=Tab_sel!$O$24,$E130=Tab_sel!$N$31,$F130=Tab_sel!$B$42),1,"")</f>
        <v>#N/A</v>
      </c>
      <c r="BM130" s="322" t="e">
        <f>IF(AND($BC130=0,$C130=Tab_sel!$P$7,$D130=Tab_sel!$O$24,$E130=Tab_sel!$N$31,$F130=Tab_sel!$B$43),1,"")</f>
        <v>#N/A</v>
      </c>
      <c r="BN130" s="322" t="e">
        <f>IF(AND($BC130=0,$C130=Tab_sel!$P$7,$D130=Tab_sel!$O$24,$E130=Tab_sel!$N$31,$F130=Tab_sel!$B$44),1,"")</f>
        <v>#N/A</v>
      </c>
      <c r="BO130" s="343" t="e">
        <f>IF(AND($BC130=0,$C130=Tab_sel!$P$7,$D130=Tab_sel!$O$24,$E130=Tab_sel!$N$31,$F130=Tab_sel!$B$45),1,"")</f>
        <v>#N/A</v>
      </c>
      <c r="BP130" s="354" t="e">
        <f>IF(AND($BC130=0,$C130=Tab_sel!$P$7,$D130=Tab_sel!$O$24,$E130=Tab_sel!$N$31,$F130=Tab_sel!$N$40,$I130=Tab_sel!$B$61),1,"")</f>
        <v>#N/A</v>
      </c>
      <c r="BQ130" s="355" t="e">
        <f>IF(AND($BC130=0,$C130=Tab_sel!$P$7,$D130=Tab_sel!$O$24,$E130=Tab_sel!$N$31,$F130=Tab_sel!$N$40,$I130=Tab_sel!$B$62),1,"")</f>
        <v>#N/A</v>
      </c>
      <c r="BR130" s="355" t="e">
        <f>IF(AND($BC130=0,$C130=Tab_sel!$P$7,$D130=Tab_sel!$O$24,$E130=Tab_sel!$N$31,$F130=Tab_sel!$N$40,$I130=Tab_sel!$B$63),1,"")</f>
        <v>#N/A</v>
      </c>
      <c r="BS130" s="355" t="e">
        <f>IF(AND($BC130=0,$C130=Tab_sel!$P$7,$D130=Tab_sel!$O$24,$E130=Tab_sel!$N$31,$F130=Tab_sel!$N$40,$I130=Tab_sel!$B$64),1,"")</f>
        <v>#N/A</v>
      </c>
      <c r="BT130" s="356" t="e">
        <f>IF(AND($BC130=0,$C130=Tab_sel!$P$7,$D130=Tab_sel!$O$24,$E130=Tab_sel!$N$31,$F130=Tab_sel!$N$40,$I130=Tab_sel!$B$65),1,"")</f>
        <v>#N/A</v>
      </c>
      <c r="BU130" s="856" t="e">
        <f>IF(AND($BC130=0,$C130=Tab_sel!$P$7,$D130=Tab_sel!$O$24,$E130=Tab_sel!$N$31,$F130=Tab_sel!$N$40,$I130=Tab_sel!$P$61,$H130=Tab_sel!$B$77),1,"")</f>
        <v>#N/A</v>
      </c>
      <c r="BV130" s="883" t="e">
        <f>IF(AND($BC130=0,$C130=Tab_sel!$P$7,$D130=Tab_sel!$O$24,$E130=Tab_sel!$N$31,$F130=Tab_sel!$N$40,$I130=Tab_sel!$P$61,$H130=Tab_sel!$B$78),1,"")</f>
        <v>#N/A</v>
      </c>
      <c r="BW130" s="883" t="e">
        <f>IF(AND($BC130=0,$C130=Tab_sel!$P$7,$D130=Tab_sel!$O$24,$E130=Tab_sel!$N$31,$F130=Tab_sel!$N$40,$I130=Tab_sel!$P$61,$H130=Tab_sel!$B$79),1,"")</f>
        <v>#N/A</v>
      </c>
      <c r="BX130" s="883" t="e">
        <f>IF(AND($BC130=0,$C130=Tab_sel!$P$7,$D130=Tab_sel!$O$24,$E130=Tab_sel!$N$31,$F130=Tab_sel!$N$40,$I130=Tab_sel!$P$61,$H130=Tab_sel!$B$80),1,"")</f>
        <v>#N/A</v>
      </c>
      <c r="BY130" s="883" t="e">
        <f>IF(AND($BC130=0,$C130=Tab_sel!$P$7,$D130=Tab_sel!$O$24,$E130=Tab_sel!$N$31,$F130=Tab_sel!$N$40,$I130=Tab_sel!$P$61,$H130=Tab_sel!$B$81),1,"")</f>
        <v>#N/A</v>
      </c>
      <c r="BZ130" s="857" t="e">
        <f>IF(AND($BC130=0,$C130=Tab_sel!$P$7,$D130=Tab_sel!$O$24,$E130=Tab_sel!$N$31,$F130=Tab_sel!$N$40,$I130=Tab_sel!$P$61,$H130=Tab_sel!$B$82),1,"")</f>
        <v>#N/A</v>
      </c>
      <c r="CA130" s="359"/>
      <c r="CC130">
        <f t="shared" si="54"/>
        <v>0</v>
      </c>
      <c r="CD130" s="882">
        <f t="shared" si="55"/>
        <v>0</v>
      </c>
      <c r="CE130" s="882">
        <f t="shared" si="56"/>
        <v>0</v>
      </c>
      <c r="CH130" t="s">
        <v>2658</v>
      </c>
    </row>
    <row r="131" spans="2:88" ht="31.5" customHeight="1" x14ac:dyDescent="0.25">
      <c r="B131" s="791" t="s">
        <v>1429</v>
      </c>
      <c r="C131" s="771" t="s">
        <v>35</v>
      </c>
      <c r="D131" s="772" t="s">
        <v>76</v>
      </c>
      <c r="E131" s="771" t="str">
        <f t="shared" ref="E131:E136" si="62">Msa</f>
        <v>Média support d'archive</v>
      </c>
      <c r="F131" s="768" t="str">
        <f>Inac</f>
        <v>Inaccessibilité</v>
      </c>
      <c r="G131" s="768" t="s">
        <v>1112</v>
      </c>
      <c r="H131" s="768"/>
      <c r="I131" s="771" t="s">
        <v>1197</v>
      </c>
      <c r="J131" s="769"/>
      <c r="K131" s="769" t="s">
        <v>1364</v>
      </c>
      <c r="L131" s="769"/>
      <c r="M131" s="788"/>
      <c r="N131" s="767"/>
      <c r="O131" s="767"/>
      <c r="P131" s="772"/>
      <c r="Q131" s="803"/>
      <c r="R131" s="803"/>
      <c r="S131" s="804"/>
      <c r="T131" s="772"/>
      <c r="U131" s="772"/>
      <c r="V131" s="805"/>
      <c r="W131" s="767"/>
      <c r="X131" s="767"/>
      <c r="Y131" s="772"/>
      <c r="Z131" s="772"/>
      <c r="AA131" s="772"/>
      <c r="AB131" s="805"/>
      <c r="AC131" s="806"/>
      <c r="AD131" s="806"/>
      <c r="AE131" s="806"/>
      <c r="AF131" s="806"/>
      <c r="AG131" s="806"/>
      <c r="AH131" s="805"/>
      <c r="AI131" s="807" t="str">
        <f t="shared" si="57"/>
        <v/>
      </c>
      <c r="AJ131" s="805"/>
      <c r="AK131" s="359"/>
      <c r="AM131" t="str">
        <f t="shared" si="34"/>
        <v/>
      </c>
      <c r="AN131">
        <f t="shared" si="35"/>
        <v>0</v>
      </c>
      <c r="AW131" s="882">
        <f t="shared" si="53"/>
        <v>0</v>
      </c>
      <c r="AX131" s="882">
        <f t="shared" si="58"/>
        <v>1</v>
      </c>
      <c r="AY131" s="882">
        <f t="shared" si="59"/>
        <v>1</v>
      </c>
      <c r="AZ131" s="927">
        <f t="shared" si="60"/>
        <v>1</v>
      </c>
      <c r="BA131" s="882">
        <v>1</v>
      </c>
      <c r="BB131" s="925">
        <f t="shared" si="36"/>
        <v>0</v>
      </c>
      <c r="BC131" s="882">
        <f t="shared" si="61"/>
        <v>1</v>
      </c>
      <c r="BD131" s="342" t="e">
        <f>IF(AND($BC131=0,C131=Tab_sel!$P$7,$D131=Tab_sel!$O$24,$E131=Tab_sel!$B$31),1,"")</f>
        <v>#N/A</v>
      </c>
      <c r="BE131" s="322" t="e">
        <f>IF(AND($BC131=0,C131=Tab_sel!$P$7,$D131=Tab_sel!$O$24,$E131=Tab_sel!$B$32),1,"")</f>
        <v>#N/A</v>
      </c>
      <c r="BF131" s="322" t="e">
        <f>IF(AND($BC131=0,C131=Tab_sel!$P$7,$D131=Tab_sel!$O$24,$E131=Tab_sel!$B$33),1,"")</f>
        <v>#N/A</v>
      </c>
      <c r="BG131" s="322" t="e">
        <f>IF(AND($BC131=0,C131=Tab_sel!$P$7,$D131=Tab_sel!$O$24,$E131=Tab_sel!$B$34),1,"")</f>
        <v>#N/A</v>
      </c>
      <c r="BH131" s="322" t="e">
        <f>IF(AND($BC131=0,C131=Tab_sel!$P$7,$D131=Tab_sel!$O$24,$E131=Tab_sel!$B$35),1,"")</f>
        <v>#N/A</v>
      </c>
      <c r="BI131" s="343" t="e">
        <f>IF(AND($BC131=0,C131=Tab_sel!$P$7,$D131=Tab_sel!$O$24,$E131=Tab_sel!$B$36),1,"")</f>
        <v>#N/A</v>
      </c>
      <c r="BJ131" s="342" t="e">
        <f>IF(AND($BC131=0,$C131=Tab_sel!$P$7,$D131=Tab_sel!$O$24,$E131=Tab_sel!$N$31,$F131=Tab_sel!$B$40),1,"")</f>
        <v>#N/A</v>
      </c>
      <c r="BK131" s="322" t="e">
        <f>IF(AND($BC131=0,$C131=Tab_sel!$P$7,$D131=Tab_sel!$O$24,$E131=Tab_sel!$N$31,$F131=Tab_sel!$B$41),1,"")</f>
        <v>#N/A</v>
      </c>
      <c r="BL131" s="322" t="e">
        <f>IF(AND($BC131=0,$C131=Tab_sel!$P$7,$D131=Tab_sel!$O$24,$E131=Tab_sel!$N$31,$F131=Tab_sel!$B$42),1,"")</f>
        <v>#N/A</v>
      </c>
      <c r="BM131" s="322" t="e">
        <f>IF(AND($BC131=0,$C131=Tab_sel!$P$7,$D131=Tab_sel!$O$24,$E131=Tab_sel!$N$31,$F131=Tab_sel!$B$43),1,"")</f>
        <v>#N/A</v>
      </c>
      <c r="BN131" s="322" t="e">
        <f>IF(AND($BC131=0,$C131=Tab_sel!$P$7,$D131=Tab_sel!$O$24,$E131=Tab_sel!$N$31,$F131=Tab_sel!$B$44),1,"")</f>
        <v>#N/A</v>
      </c>
      <c r="BO131" s="343" t="e">
        <f>IF(AND($BC131=0,$C131=Tab_sel!$P$7,$D131=Tab_sel!$O$24,$E131=Tab_sel!$N$31,$F131=Tab_sel!$B$45),1,"")</f>
        <v>#N/A</v>
      </c>
      <c r="BP131" s="354" t="e">
        <f>IF(AND($BC131=0,$C131=Tab_sel!$P$7,$D131=Tab_sel!$O$24,$E131=Tab_sel!$N$31,$F131=Tab_sel!$N$40,$I131=Tab_sel!$B$61),1,"")</f>
        <v>#N/A</v>
      </c>
      <c r="BQ131" s="355" t="e">
        <f>IF(AND($BC131=0,$C131=Tab_sel!$P$7,$D131=Tab_sel!$O$24,$E131=Tab_sel!$N$31,$F131=Tab_sel!$N$40,$I131=Tab_sel!$B$62),1,"")</f>
        <v>#N/A</v>
      </c>
      <c r="BR131" s="355" t="e">
        <f>IF(AND($BC131=0,$C131=Tab_sel!$P$7,$D131=Tab_sel!$O$24,$E131=Tab_sel!$N$31,$F131=Tab_sel!$N$40,$I131=Tab_sel!$B$63),1,"")</f>
        <v>#N/A</v>
      </c>
      <c r="BS131" s="355" t="e">
        <f>IF(AND($BC131=0,$C131=Tab_sel!$P$7,$D131=Tab_sel!$O$24,$E131=Tab_sel!$N$31,$F131=Tab_sel!$N$40,$I131=Tab_sel!$B$64),1,"")</f>
        <v>#N/A</v>
      </c>
      <c r="BT131" s="356" t="e">
        <f>IF(AND($BC131=0,$C131=Tab_sel!$P$7,$D131=Tab_sel!$O$24,$E131=Tab_sel!$N$31,$F131=Tab_sel!$N$40,$I131=Tab_sel!$B$65),1,"")</f>
        <v>#N/A</v>
      </c>
      <c r="BU131" s="856" t="e">
        <f>IF(AND($BC131=0,$C131=Tab_sel!$P$7,$D131=Tab_sel!$O$24,$E131=Tab_sel!$N$31,$F131=Tab_sel!$N$40,$I131=Tab_sel!$P$61,$H131=Tab_sel!$B$77),1,"")</f>
        <v>#N/A</v>
      </c>
      <c r="BV131" s="883" t="e">
        <f>IF(AND($BC131=0,$C131=Tab_sel!$P$7,$D131=Tab_sel!$O$24,$E131=Tab_sel!$N$31,$F131=Tab_sel!$N$40,$I131=Tab_sel!$P$61,$H131=Tab_sel!$B$78),1,"")</f>
        <v>#N/A</v>
      </c>
      <c r="BW131" s="883" t="e">
        <f>IF(AND($BC131=0,$C131=Tab_sel!$P$7,$D131=Tab_sel!$O$24,$E131=Tab_sel!$N$31,$F131=Tab_sel!$N$40,$I131=Tab_sel!$P$61,$H131=Tab_sel!$B$79),1,"")</f>
        <v>#N/A</v>
      </c>
      <c r="BX131" s="883" t="e">
        <f>IF(AND($BC131=0,$C131=Tab_sel!$P$7,$D131=Tab_sel!$O$24,$E131=Tab_sel!$N$31,$F131=Tab_sel!$N$40,$I131=Tab_sel!$P$61,$H131=Tab_sel!$B$80),1,"")</f>
        <v>#N/A</v>
      </c>
      <c r="BY131" s="883" t="e">
        <f>IF(AND($BC131=0,$C131=Tab_sel!$P$7,$D131=Tab_sel!$O$24,$E131=Tab_sel!$N$31,$F131=Tab_sel!$N$40,$I131=Tab_sel!$P$61,$H131=Tab_sel!$B$81),1,"")</f>
        <v>#N/A</v>
      </c>
      <c r="BZ131" s="857" t="e">
        <f>IF(AND($BC131=0,$C131=Tab_sel!$P$7,$D131=Tab_sel!$O$24,$E131=Tab_sel!$N$31,$F131=Tab_sel!$N$40,$I131=Tab_sel!$P$61,$H131=Tab_sel!$B$82),1,"")</f>
        <v>#N/A</v>
      </c>
      <c r="CA131" s="359"/>
      <c r="CC131">
        <f t="shared" si="54"/>
        <v>0</v>
      </c>
      <c r="CD131" s="882">
        <f t="shared" si="55"/>
        <v>0</v>
      </c>
      <c r="CE131" s="882">
        <f t="shared" si="56"/>
        <v>0</v>
      </c>
      <c r="CH131" t="s">
        <v>2658</v>
      </c>
    </row>
    <row r="132" spans="2:88" ht="29.25" customHeight="1" x14ac:dyDescent="0.25">
      <c r="B132" s="791" t="s">
        <v>1430</v>
      </c>
      <c r="C132" s="771" t="s">
        <v>35</v>
      </c>
      <c r="D132" s="772" t="s">
        <v>76</v>
      </c>
      <c r="E132" s="771" t="str">
        <f t="shared" si="62"/>
        <v>Média support d'archive</v>
      </c>
      <c r="F132" s="773" t="str">
        <f>Disp</f>
        <v>Disparition</v>
      </c>
      <c r="G132" s="773" t="s">
        <v>1136</v>
      </c>
      <c r="H132" s="773"/>
      <c r="I132" s="771" t="s">
        <v>1204</v>
      </c>
      <c r="J132" s="774"/>
      <c r="K132" s="769" t="s">
        <v>1364</v>
      </c>
      <c r="L132" s="774"/>
      <c r="M132" s="788"/>
      <c r="N132" s="767"/>
      <c r="O132" s="767"/>
      <c r="P132" s="772"/>
      <c r="Q132" s="803"/>
      <c r="R132" s="803"/>
      <c r="S132" s="804"/>
      <c r="T132" s="772"/>
      <c r="U132" s="772"/>
      <c r="V132" s="805"/>
      <c r="W132" s="767"/>
      <c r="X132" s="767"/>
      <c r="Y132" s="772"/>
      <c r="Z132" s="772"/>
      <c r="AA132" s="772"/>
      <c r="AB132" s="805"/>
      <c r="AC132" s="806"/>
      <c r="AD132" s="806"/>
      <c r="AE132" s="806"/>
      <c r="AF132" s="806"/>
      <c r="AG132" s="806"/>
      <c r="AH132" s="805"/>
      <c r="AI132" s="807" t="str">
        <f t="shared" si="57"/>
        <v/>
      </c>
      <c r="AJ132" s="805"/>
      <c r="AK132" s="359"/>
      <c r="AM132" t="str">
        <f t="shared" si="34"/>
        <v/>
      </c>
      <c r="AN132">
        <f t="shared" si="35"/>
        <v>0</v>
      </c>
      <c r="AW132" s="882">
        <f t="shared" si="53"/>
        <v>0</v>
      </c>
      <c r="AX132" s="882">
        <f t="shared" si="58"/>
        <v>1</v>
      </c>
      <c r="AY132" s="882">
        <f t="shared" si="59"/>
        <v>1</v>
      </c>
      <c r="AZ132" s="927">
        <f t="shared" si="60"/>
        <v>1</v>
      </c>
      <c r="BA132" s="882">
        <v>1</v>
      </c>
      <c r="BB132" s="925">
        <f t="shared" si="36"/>
        <v>0</v>
      </c>
      <c r="BC132" s="882">
        <f t="shared" si="61"/>
        <v>1</v>
      </c>
      <c r="BD132" s="342" t="e">
        <f>IF(AND($BC132=0,C132=Tab_sel!$P$7,$D132=Tab_sel!$O$24,$E132=Tab_sel!$B$31),1,"")</f>
        <v>#N/A</v>
      </c>
      <c r="BE132" s="322" t="e">
        <f>IF(AND($BC132=0,C132=Tab_sel!$P$7,$D132=Tab_sel!$O$24,$E132=Tab_sel!$B$32),1,"")</f>
        <v>#N/A</v>
      </c>
      <c r="BF132" s="322" t="e">
        <f>IF(AND($BC132=0,C132=Tab_sel!$P$7,$D132=Tab_sel!$O$24,$E132=Tab_sel!$B$33),1,"")</f>
        <v>#N/A</v>
      </c>
      <c r="BG132" s="322" t="e">
        <f>IF(AND($BC132=0,C132=Tab_sel!$P$7,$D132=Tab_sel!$O$24,$E132=Tab_sel!$B$34),1,"")</f>
        <v>#N/A</v>
      </c>
      <c r="BH132" s="322" t="e">
        <f>IF(AND($BC132=0,C132=Tab_sel!$P$7,$D132=Tab_sel!$O$24,$E132=Tab_sel!$B$35),1,"")</f>
        <v>#N/A</v>
      </c>
      <c r="BI132" s="343" t="e">
        <f>IF(AND($BC132=0,C132=Tab_sel!$P$7,$D132=Tab_sel!$O$24,$E132=Tab_sel!$B$36),1,"")</f>
        <v>#N/A</v>
      </c>
      <c r="BJ132" s="342" t="e">
        <f>IF(AND($BC132=0,$C132=Tab_sel!$P$7,$D132=Tab_sel!$O$24,$E132=Tab_sel!$N$31,$F132=Tab_sel!$B$40),1,"")</f>
        <v>#N/A</v>
      </c>
      <c r="BK132" s="322" t="e">
        <f>IF(AND($BC132=0,$C132=Tab_sel!$P$7,$D132=Tab_sel!$O$24,$E132=Tab_sel!$N$31,$F132=Tab_sel!$B$41),1,"")</f>
        <v>#N/A</v>
      </c>
      <c r="BL132" s="322" t="e">
        <f>IF(AND($BC132=0,$C132=Tab_sel!$P$7,$D132=Tab_sel!$O$24,$E132=Tab_sel!$N$31,$F132=Tab_sel!$B$42),1,"")</f>
        <v>#N/A</v>
      </c>
      <c r="BM132" s="322" t="e">
        <f>IF(AND($BC132=0,$C132=Tab_sel!$P$7,$D132=Tab_sel!$O$24,$E132=Tab_sel!$N$31,$F132=Tab_sel!$B$43),1,"")</f>
        <v>#N/A</v>
      </c>
      <c r="BN132" s="322" t="e">
        <f>IF(AND($BC132=0,$C132=Tab_sel!$P$7,$D132=Tab_sel!$O$24,$E132=Tab_sel!$N$31,$F132=Tab_sel!$B$44),1,"")</f>
        <v>#N/A</v>
      </c>
      <c r="BO132" s="343" t="e">
        <f>IF(AND($BC132=0,$C132=Tab_sel!$P$7,$D132=Tab_sel!$O$24,$E132=Tab_sel!$N$31,$F132=Tab_sel!$B$45),1,"")</f>
        <v>#N/A</v>
      </c>
      <c r="BP132" s="354" t="e">
        <f>IF(AND($BC132=0,$C132=Tab_sel!$P$7,$D132=Tab_sel!$O$24,$E132=Tab_sel!$N$31,$F132=Tab_sel!$N$40,$I132=Tab_sel!$B$61),1,"")</f>
        <v>#N/A</v>
      </c>
      <c r="BQ132" s="355" t="e">
        <f>IF(AND($BC132=0,$C132=Tab_sel!$P$7,$D132=Tab_sel!$O$24,$E132=Tab_sel!$N$31,$F132=Tab_sel!$N$40,$I132=Tab_sel!$B$62),1,"")</f>
        <v>#N/A</v>
      </c>
      <c r="BR132" s="355" t="e">
        <f>IF(AND($BC132=0,$C132=Tab_sel!$P$7,$D132=Tab_sel!$O$24,$E132=Tab_sel!$N$31,$F132=Tab_sel!$N$40,$I132=Tab_sel!$B$63),1,"")</f>
        <v>#N/A</v>
      </c>
      <c r="BS132" s="355" t="e">
        <f>IF(AND($BC132=0,$C132=Tab_sel!$P$7,$D132=Tab_sel!$O$24,$E132=Tab_sel!$N$31,$F132=Tab_sel!$N$40,$I132=Tab_sel!$B$64),1,"")</f>
        <v>#N/A</v>
      </c>
      <c r="BT132" s="356" t="e">
        <f>IF(AND($BC132=0,$C132=Tab_sel!$P$7,$D132=Tab_sel!$O$24,$E132=Tab_sel!$N$31,$F132=Tab_sel!$N$40,$I132=Tab_sel!$B$65),1,"")</f>
        <v>#N/A</v>
      </c>
      <c r="BU132" s="856" t="e">
        <f>IF(AND($BC132=0,$C132=Tab_sel!$P$7,$D132=Tab_sel!$O$24,$E132=Tab_sel!$N$31,$F132=Tab_sel!$N$40,$I132=Tab_sel!$P$61,$H132=Tab_sel!$B$77),1,"")</f>
        <v>#N/A</v>
      </c>
      <c r="BV132" s="883" t="e">
        <f>IF(AND($BC132=0,$C132=Tab_sel!$P$7,$D132=Tab_sel!$O$24,$E132=Tab_sel!$N$31,$F132=Tab_sel!$N$40,$I132=Tab_sel!$P$61,$H132=Tab_sel!$B$78),1,"")</f>
        <v>#N/A</v>
      </c>
      <c r="BW132" s="883" t="e">
        <f>IF(AND($BC132=0,$C132=Tab_sel!$P$7,$D132=Tab_sel!$O$24,$E132=Tab_sel!$N$31,$F132=Tab_sel!$N$40,$I132=Tab_sel!$P$61,$H132=Tab_sel!$B$79),1,"")</f>
        <v>#N/A</v>
      </c>
      <c r="BX132" s="883" t="e">
        <f>IF(AND($BC132=0,$C132=Tab_sel!$P$7,$D132=Tab_sel!$O$24,$E132=Tab_sel!$N$31,$F132=Tab_sel!$N$40,$I132=Tab_sel!$P$61,$H132=Tab_sel!$B$80),1,"")</f>
        <v>#N/A</v>
      </c>
      <c r="BY132" s="883" t="e">
        <f>IF(AND($BC132=0,$C132=Tab_sel!$P$7,$D132=Tab_sel!$O$24,$E132=Tab_sel!$N$31,$F132=Tab_sel!$N$40,$I132=Tab_sel!$P$61,$H132=Tab_sel!$B$81),1,"")</f>
        <v>#N/A</v>
      </c>
      <c r="BZ132" s="857" t="e">
        <f>IF(AND($BC132=0,$C132=Tab_sel!$P$7,$D132=Tab_sel!$O$24,$E132=Tab_sel!$N$31,$F132=Tab_sel!$N$40,$I132=Tab_sel!$P$61,$H132=Tab_sel!$B$82),1,"")</f>
        <v>#N/A</v>
      </c>
      <c r="CA132" s="359"/>
      <c r="CC132">
        <f t="shared" si="54"/>
        <v>0</v>
      </c>
      <c r="CD132" s="882">
        <f t="shared" si="55"/>
        <v>0</v>
      </c>
      <c r="CE132" s="882">
        <f t="shared" si="56"/>
        <v>0</v>
      </c>
      <c r="CH132" t="s">
        <v>2658</v>
      </c>
    </row>
    <row r="133" spans="2:88" ht="29.25" customHeight="1" x14ac:dyDescent="0.25">
      <c r="B133" s="791" t="s">
        <v>1431</v>
      </c>
      <c r="C133" s="771" t="s">
        <v>35</v>
      </c>
      <c r="D133" s="772" t="s">
        <v>76</v>
      </c>
      <c r="E133" s="771" t="str">
        <f t="shared" si="62"/>
        <v>Média support d'archive</v>
      </c>
      <c r="F133" s="773" t="str">
        <f>Inop</f>
        <v>Inopérabilité</v>
      </c>
      <c r="G133" s="776" t="s">
        <v>1080</v>
      </c>
      <c r="H133" s="776"/>
      <c r="I133" s="771" t="s">
        <v>1207</v>
      </c>
      <c r="J133" s="777"/>
      <c r="K133" s="769" t="s">
        <v>1364</v>
      </c>
      <c r="L133" s="777"/>
      <c r="M133" s="822"/>
      <c r="N133" s="767"/>
      <c r="O133" s="767"/>
      <c r="P133" s="772"/>
      <c r="Q133" s="803"/>
      <c r="R133" s="803"/>
      <c r="S133" s="804"/>
      <c r="T133" s="772"/>
      <c r="U133" s="772"/>
      <c r="V133" s="805"/>
      <c r="W133" s="767"/>
      <c r="X133" s="767"/>
      <c r="Y133" s="772"/>
      <c r="Z133" s="772"/>
      <c r="AA133" s="772"/>
      <c r="AB133" s="805"/>
      <c r="AC133" s="806"/>
      <c r="AD133" s="806"/>
      <c r="AE133" s="806"/>
      <c r="AF133" s="806"/>
      <c r="AG133" s="806"/>
      <c r="AH133" s="805"/>
      <c r="AI133" s="807" t="str">
        <f t="shared" si="57"/>
        <v/>
      </c>
      <c r="AJ133" s="805"/>
      <c r="AK133" s="359"/>
      <c r="AM133" t="str">
        <f t="shared" si="34"/>
        <v/>
      </c>
      <c r="AN133">
        <f t="shared" si="35"/>
        <v>0</v>
      </c>
      <c r="AW133" s="882">
        <f t="shared" si="53"/>
        <v>0</v>
      </c>
      <c r="AX133" s="882">
        <f t="shared" si="58"/>
        <v>1</v>
      </c>
      <c r="AY133" s="882">
        <f t="shared" si="59"/>
        <v>1</v>
      </c>
      <c r="AZ133" s="927">
        <f t="shared" si="60"/>
        <v>1</v>
      </c>
      <c r="BA133" s="882">
        <v>1</v>
      </c>
      <c r="BB133" s="925">
        <f t="shared" si="36"/>
        <v>0</v>
      </c>
      <c r="BC133" s="882">
        <f t="shared" si="61"/>
        <v>1</v>
      </c>
      <c r="BD133" s="342" t="e">
        <f>IF(AND($BC133=0,C133=Tab_sel!$P$7,$D133=Tab_sel!$O$24,$E133=Tab_sel!$B$31),1,"")</f>
        <v>#N/A</v>
      </c>
      <c r="BE133" s="322" t="e">
        <f>IF(AND($BC133=0,C133=Tab_sel!$P$7,$D133=Tab_sel!$O$24,$E133=Tab_sel!$B$32),1,"")</f>
        <v>#N/A</v>
      </c>
      <c r="BF133" s="322" t="e">
        <f>IF(AND($BC133=0,C133=Tab_sel!$P$7,$D133=Tab_sel!$O$24,$E133=Tab_sel!$B$33),1,"")</f>
        <v>#N/A</v>
      </c>
      <c r="BG133" s="322" t="e">
        <f>IF(AND($BC133=0,C133=Tab_sel!$P$7,$D133=Tab_sel!$O$24,$E133=Tab_sel!$B$34),1,"")</f>
        <v>#N/A</v>
      </c>
      <c r="BH133" s="322" t="e">
        <f>IF(AND($BC133=0,C133=Tab_sel!$P$7,$D133=Tab_sel!$O$24,$E133=Tab_sel!$B$35),1,"")</f>
        <v>#N/A</v>
      </c>
      <c r="BI133" s="343" t="e">
        <f>IF(AND($BC133=0,C133=Tab_sel!$P$7,$D133=Tab_sel!$O$24,$E133=Tab_sel!$B$36),1,"")</f>
        <v>#N/A</v>
      </c>
      <c r="BJ133" s="342" t="e">
        <f>IF(AND($BC133=0,$C133=Tab_sel!$P$7,$D133=Tab_sel!$O$24,$E133=Tab_sel!$N$31,$F133=Tab_sel!$B$40),1,"")</f>
        <v>#N/A</v>
      </c>
      <c r="BK133" s="322" t="e">
        <f>IF(AND($BC133=0,$C133=Tab_sel!$P$7,$D133=Tab_sel!$O$24,$E133=Tab_sel!$N$31,$F133=Tab_sel!$B$41),1,"")</f>
        <v>#N/A</v>
      </c>
      <c r="BL133" s="322" t="e">
        <f>IF(AND($BC133=0,$C133=Tab_sel!$P$7,$D133=Tab_sel!$O$24,$E133=Tab_sel!$N$31,$F133=Tab_sel!$B$42),1,"")</f>
        <v>#N/A</v>
      </c>
      <c r="BM133" s="322" t="e">
        <f>IF(AND($BC133=0,$C133=Tab_sel!$P$7,$D133=Tab_sel!$O$24,$E133=Tab_sel!$N$31,$F133=Tab_sel!$B$43),1,"")</f>
        <v>#N/A</v>
      </c>
      <c r="BN133" s="322" t="e">
        <f>IF(AND($BC133=0,$C133=Tab_sel!$P$7,$D133=Tab_sel!$O$24,$E133=Tab_sel!$N$31,$F133=Tab_sel!$B$44),1,"")</f>
        <v>#N/A</v>
      </c>
      <c r="BO133" s="343" t="e">
        <f>IF(AND($BC133=0,$C133=Tab_sel!$P$7,$D133=Tab_sel!$O$24,$E133=Tab_sel!$N$31,$F133=Tab_sel!$B$45),1,"")</f>
        <v>#N/A</v>
      </c>
      <c r="BP133" s="354" t="e">
        <f>IF(AND($BC133=0,$C133=Tab_sel!$P$7,$D133=Tab_sel!$O$24,$E133=Tab_sel!$N$31,$F133=Tab_sel!$N$40,$I133=Tab_sel!$B$61),1,"")</f>
        <v>#N/A</v>
      </c>
      <c r="BQ133" s="355" t="e">
        <f>IF(AND($BC133=0,$C133=Tab_sel!$P$7,$D133=Tab_sel!$O$24,$E133=Tab_sel!$N$31,$F133=Tab_sel!$N$40,$I133=Tab_sel!$B$62),1,"")</f>
        <v>#N/A</v>
      </c>
      <c r="BR133" s="355" t="e">
        <f>IF(AND($BC133=0,$C133=Tab_sel!$P$7,$D133=Tab_sel!$O$24,$E133=Tab_sel!$N$31,$F133=Tab_sel!$N$40,$I133=Tab_sel!$B$63),1,"")</f>
        <v>#N/A</v>
      </c>
      <c r="BS133" s="355" t="e">
        <f>IF(AND($BC133=0,$C133=Tab_sel!$P$7,$D133=Tab_sel!$O$24,$E133=Tab_sel!$N$31,$F133=Tab_sel!$N$40,$I133=Tab_sel!$B$64),1,"")</f>
        <v>#N/A</v>
      </c>
      <c r="BT133" s="356" t="e">
        <f>IF(AND($BC133=0,$C133=Tab_sel!$P$7,$D133=Tab_sel!$O$24,$E133=Tab_sel!$N$31,$F133=Tab_sel!$N$40,$I133=Tab_sel!$B$65),1,"")</f>
        <v>#N/A</v>
      </c>
      <c r="BU133" s="856" t="e">
        <f>IF(AND($BC133=0,$C133=Tab_sel!$P$7,$D133=Tab_sel!$O$24,$E133=Tab_sel!$N$31,$F133=Tab_sel!$N$40,$I133=Tab_sel!$P$61,$H133=Tab_sel!$B$77),1,"")</f>
        <v>#N/A</v>
      </c>
      <c r="BV133" s="883" t="e">
        <f>IF(AND($BC133=0,$C133=Tab_sel!$P$7,$D133=Tab_sel!$O$24,$E133=Tab_sel!$N$31,$F133=Tab_sel!$N$40,$I133=Tab_sel!$P$61,$H133=Tab_sel!$B$78),1,"")</f>
        <v>#N/A</v>
      </c>
      <c r="BW133" s="883" t="e">
        <f>IF(AND($BC133=0,$C133=Tab_sel!$P$7,$D133=Tab_sel!$O$24,$E133=Tab_sel!$N$31,$F133=Tab_sel!$N$40,$I133=Tab_sel!$P$61,$H133=Tab_sel!$B$79),1,"")</f>
        <v>#N/A</v>
      </c>
      <c r="BX133" s="883" t="e">
        <f>IF(AND($BC133=0,$C133=Tab_sel!$P$7,$D133=Tab_sel!$O$24,$E133=Tab_sel!$N$31,$F133=Tab_sel!$N$40,$I133=Tab_sel!$P$61,$H133=Tab_sel!$B$80),1,"")</f>
        <v>#N/A</v>
      </c>
      <c r="BY133" s="883" t="e">
        <f>IF(AND($BC133=0,$C133=Tab_sel!$P$7,$D133=Tab_sel!$O$24,$E133=Tab_sel!$N$31,$F133=Tab_sel!$N$40,$I133=Tab_sel!$P$61,$H133=Tab_sel!$B$81),1,"")</f>
        <v>#N/A</v>
      </c>
      <c r="BZ133" s="857" t="e">
        <f>IF(AND($BC133=0,$C133=Tab_sel!$P$7,$D133=Tab_sel!$O$24,$E133=Tab_sel!$N$31,$F133=Tab_sel!$N$40,$I133=Tab_sel!$P$61,$H133=Tab_sel!$B$82),1,"")</f>
        <v>#N/A</v>
      </c>
      <c r="CA133" s="359"/>
      <c r="CC133">
        <f t="shared" si="54"/>
        <v>0</v>
      </c>
      <c r="CD133" s="882">
        <f t="shared" si="55"/>
        <v>0</v>
      </c>
      <c r="CE133" s="882">
        <f t="shared" si="56"/>
        <v>0</v>
      </c>
      <c r="CH133" t="s">
        <v>2658</v>
      </c>
    </row>
    <row r="134" spans="2:88" ht="33.75" customHeight="1" x14ac:dyDescent="0.25">
      <c r="B134" s="791" t="s">
        <v>1432</v>
      </c>
      <c r="C134" s="771" t="s">
        <v>35</v>
      </c>
      <c r="D134" s="772" t="s">
        <v>76</v>
      </c>
      <c r="E134" s="771" t="str">
        <f t="shared" si="62"/>
        <v>Média support d'archive</v>
      </c>
      <c r="F134" s="783" t="str">
        <f>Endp</f>
        <v>Endommagement physique</v>
      </c>
      <c r="G134" s="780" t="s">
        <v>1811</v>
      </c>
      <c r="H134" s="780"/>
      <c r="I134" s="771" t="s">
        <v>1813</v>
      </c>
      <c r="J134" s="775"/>
      <c r="K134" s="769" t="s">
        <v>1364</v>
      </c>
      <c r="L134" s="775" t="s">
        <v>1257</v>
      </c>
      <c r="M134" s="788"/>
      <c r="N134" s="767"/>
      <c r="O134" s="767"/>
      <c r="P134" s="772"/>
      <c r="Q134" s="803"/>
      <c r="R134" s="803"/>
      <c r="S134" s="804"/>
      <c r="T134" s="772"/>
      <c r="U134" s="772"/>
      <c r="V134" s="805"/>
      <c r="W134" s="767"/>
      <c r="X134" s="767"/>
      <c r="Y134" s="772"/>
      <c r="Z134" s="772"/>
      <c r="AA134" s="772"/>
      <c r="AB134" s="805"/>
      <c r="AC134" s="806"/>
      <c r="AD134" s="806"/>
      <c r="AE134" s="806"/>
      <c r="AF134" s="806"/>
      <c r="AG134" s="806"/>
      <c r="AH134" s="805"/>
      <c r="AI134" s="807" t="str">
        <f t="shared" si="57"/>
        <v/>
      </c>
      <c r="AJ134" s="805"/>
      <c r="AK134" s="359"/>
      <c r="AM134" t="str">
        <f t="shared" si="34"/>
        <v/>
      </c>
      <c r="AN134">
        <f t="shared" si="35"/>
        <v>0</v>
      </c>
      <c r="AW134" s="882">
        <f t="shared" si="53"/>
        <v>0</v>
      </c>
      <c r="AX134" s="882">
        <f t="shared" si="58"/>
        <v>1</v>
      </c>
      <c r="AY134" s="882">
        <f t="shared" si="59"/>
        <v>1</v>
      </c>
      <c r="AZ134" s="927">
        <f t="shared" si="60"/>
        <v>1</v>
      </c>
      <c r="BA134" s="882">
        <v>1</v>
      </c>
      <c r="BB134" s="925">
        <f t="shared" si="36"/>
        <v>0</v>
      </c>
      <c r="BC134" s="882">
        <f t="shared" si="61"/>
        <v>1</v>
      </c>
      <c r="BD134" s="342" t="e">
        <f>IF(AND($BC134=0,C134=Tab_sel!$P$7,$D134=Tab_sel!$O$24,$E134=Tab_sel!$B$31),1,"")</f>
        <v>#N/A</v>
      </c>
      <c r="BE134" s="322" t="e">
        <f>IF(AND($BC134=0,C134=Tab_sel!$P$7,$D134=Tab_sel!$O$24,$E134=Tab_sel!$B$32),1,"")</f>
        <v>#N/A</v>
      </c>
      <c r="BF134" s="322" t="e">
        <f>IF(AND($BC134=0,C134=Tab_sel!$P$7,$D134=Tab_sel!$O$24,$E134=Tab_sel!$B$33),1,"")</f>
        <v>#N/A</v>
      </c>
      <c r="BG134" s="322" t="e">
        <f>IF(AND($BC134=0,C134=Tab_sel!$P$7,$D134=Tab_sel!$O$24,$E134=Tab_sel!$B$34),1,"")</f>
        <v>#N/A</v>
      </c>
      <c r="BH134" s="322" t="e">
        <f>IF(AND($BC134=0,C134=Tab_sel!$P$7,$D134=Tab_sel!$O$24,$E134=Tab_sel!$B$35),1,"")</f>
        <v>#N/A</v>
      </c>
      <c r="BI134" s="343" t="e">
        <f>IF(AND($BC134=0,C134=Tab_sel!$P$7,$D134=Tab_sel!$O$24,$E134=Tab_sel!$B$36),1,"")</f>
        <v>#N/A</v>
      </c>
      <c r="BJ134" s="342" t="e">
        <f>IF(AND($BC134=0,$C134=Tab_sel!$P$7,$D134=Tab_sel!$O$24,$E134=Tab_sel!$N$31,$F134=Tab_sel!$B$40),1,"")</f>
        <v>#N/A</v>
      </c>
      <c r="BK134" s="322" t="e">
        <f>IF(AND($BC134=0,$C134=Tab_sel!$P$7,$D134=Tab_sel!$O$24,$E134=Tab_sel!$N$31,$F134=Tab_sel!$B$41),1,"")</f>
        <v>#N/A</v>
      </c>
      <c r="BL134" s="322" t="e">
        <f>IF(AND($BC134=0,$C134=Tab_sel!$P$7,$D134=Tab_sel!$O$24,$E134=Tab_sel!$N$31,$F134=Tab_sel!$B$42),1,"")</f>
        <v>#N/A</v>
      </c>
      <c r="BM134" s="322" t="e">
        <f>IF(AND($BC134=0,$C134=Tab_sel!$P$7,$D134=Tab_sel!$O$24,$E134=Tab_sel!$N$31,$F134=Tab_sel!$B$43),1,"")</f>
        <v>#N/A</v>
      </c>
      <c r="BN134" s="322" t="e">
        <f>IF(AND($BC134=0,$C134=Tab_sel!$P$7,$D134=Tab_sel!$O$24,$E134=Tab_sel!$N$31,$F134=Tab_sel!$B$44),1,"")</f>
        <v>#N/A</v>
      </c>
      <c r="BO134" s="343" t="e">
        <f>IF(AND($BC134=0,$C134=Tab_sel!$P$7,$D134=Tab_sel!$O$24,$E134=Tab_sel!$N$31,$F134=Tab_sel!$B$45),1,"")</f>
        <v>#N/A</v>
      </c>
      <c r="BP134" s="354" t="e">
        <f>IF(AND($BC134=0,$C134=Tab_sel!$P$7,$D134=Tab_sel!$O$24,$E134=Tab_sel!$N$31,$F134=Tab_sel!$N$40,$I134=Tab_sel!$B$61),1,"")</f>
        <v>#N/A</v>
      </c>
      <c r="BQ134" s="355" t="e">
        <f>IF(AND($BC134=0,$C134=Tab_sel!$P$7,$D134=Tab_sel!$O$24,$E134=Tab_sel!$N$31,$F134=Tab_sel!$N$40,$I134=Tab_sel!$B$62),1,"")</f>
        <v>#N/A</v>
      </c>
      <c r="BR134" s="355" t="e">
        <f>IF(AND($BC134=0,$C134=Tab_sel!$P$7,$D134=Tab_sel!$O$24,$E134=Tab_sel!$N$31,$F134=Tab_sel!$N$40,$I134=Tab_sel!$B$63),1,"")</f>
        <v>#N/A</v>
      </c>
      <c r="BS134" s="355" t="e">
        <f>IF(AND($BC134=0,$C134=Tab_sel!$P$7,$D134=Tab_sel!$O$24,$E134=Tab_sel!$N$31,$F134=Tab_sel!$N$40,$I134=Tab_sel!$B$64),1,"")</f>
        <v>#N/A</v>
      </c>
      <c r="BT134" s="356" t="e">
        <f>IF(AND($BC134=0,$C134=Tab_sel!$P$7,$D134=Tab_sel!$O$24,$E134=Tab_sel!$N$31,$F134=Tab_sel!$N$40,$I134=Tab_sel!$B$65),1,"")</f>
        <v>#N/A</v>
      </c>
      <c r="BU134" s="856" t="e">
        <f>IF(AND($BC134=0,$C134=Tab_sel!$P$7,$D134=Tab_sel!$O$24,$E134=Tab_sel!$N$31,$F134=Tab_sel!$N$40,$I134=Tab_sel!$P$61,$H134=Tab_sel!$B$77),1,"")</f>
        <v>#N/A</v>
      </c>
      <c r="BV134" s="883" t="e">
        <f>IF(AND($BC134=0,$C134=Tab_sel!$P$7,$D134=Tab_sel!$O$24,$E134=Tab_sel!$N$31,$F134=Tab_sel!$N$40,$I134=Tab_sel!$P$61,$H134=Tab_sel!$B$78),1,"")</f>
        <v>#N/A</v>
      </c>
      <c r="BW134" s="883" t="e">
        <f>IF(AND($BC134=0,$C134=Tab_sel!$P$7,$D134=Tab_sel!$O$24,$E134=Tab_sel!$N$31,$F134=Tab_sel!$N$40,$I134=Tab_sel!$P$61,$H134=Tab_sel!$B$79),1,"")</f>
        <v>#N/A</v>
      </c>
      <c r="BX134" s="883" t="e">
        <f>IF(AND($BC134=0,$C134=Tab_sel!$P$7,$D134=Tab_sel!$O$24,$E134=Tab_sel!$N$31,$F134=Tab_sel!$N$40,$I134=Tab_sel!$P$61,$H134=Tab_sel!$B$80),1,"")</f>
        <v>#N/A</v>
      </c>
      <c r="BY134" s="883" t="e">
        <f>IF(AND($BC134=0,$C134=Tab_sel!$P$7,$D134=Tab_sel!$O$24,$E134=Tab_sel!$N$31,$F134=Tab_sel!$N$40,$I134=Tab_sel!$P$61,$H134=Tab_sel!$B$81),1,"")</f>
        <v>#N/A</v>
      </c>
      <c r="BZ134" s="857" t="e">
        <f>IF(AND($BC134=0,$C134=Tab_sel!$P$7,$D134=Tab_sel!$O$24,$E134=Tab_sel!$N$31,$F134=Tab_sel!$N$40,$I134=Tab_sel!$P$61,$H134=Tab_sel!$B$82),1,"")</f>
        <v>#N/A</v>
      </c>
      <c r="CA134" s="359"/>
      <c r="CC134">
        <f t="shared" si="54"/>
        <v>0</v>
      </c>
      <c r="CD134" s="882">
        <f t="shared" si="55"/>
        <v>0</v>
      </c>
      <c r="CE134" s="882">
        <f t="shared" si="56"/>
        <v>0</v>
      </c>
      <c r="CH134" t="s">
        <v>2658</v>
      </c>
      <c r="CI134" t="s">
        <v>2686</v>
      </c>
    </row>
    <row r="135" spans="2:88" ht="33.75" customHeight="1" x14ac:dyDescent="0.25">
      <c r="B135" s="791" t="s">
        <v>1433</v>
      </c>
      <c r="C135" s="771" t="s">
        <v>35</v>
      </c>
      <c r="D135" s="772" t="s">
        <v>76</v>
      </c>
      <c r="E135" s="771" t="str">
        <f t="shared" si="62"/>
        <v>Média support d'archive</v>
      </c>
      <c r="F135" s="783" t="str">
        <f>Endp</f>
        <v>Endommagement physique</v>
      </c>
      <c r="G135" s="780" t="s">
        <v>1131</v>
      </c>
      <c r="H135" s="780"/>
      <c r="I135" s="771" t="s">
        <v>1206</v>
      </c>
      <c r="J135" s="775"/>
      <c r="K135" s="769" t="s">
        <v>1364</v>
      </c>
      <c r="L135" s="775"/>
      <c r="M135" s="788"/>
      <c r="N135" s="767"/>
      <c r="O135" s="767"/>
      <c r="P135" s="772"/>
      <c r="Q135" s="803"/>
      <c r="R135" s="803"/>
      <c r="S135" s="804"/>
      <c r="T135" s="772"/>
      <c r="U135" s="772"/>
      <c r="V135" s="805"/>
      <c r="W135" s="767"/>
      <c r="X135" s="767"/>
      <c r="Y135" s="772"/>
      <c r="Z135" s="772"/>
      <c r="AA135" s="772"/>
      <c r="AB135" s="805"/>
      <c r="AC135" s="806"/>
      <c r="AD135" s="806"/>
      <c r="AE135" s="806"/>
      <c r="AF135" s="806"/>
      <c r="AG135" s="806"/>
      <c r="AH135" s="805"/>
      <c r="AI135" s="807" t="str">
        <f t="shared" si="57"/>
        <v/>
      </c>
      <c r="AJ135" s="805"/>
      <c r="AK135" s="359"/>
      <c r="AM135" t="str">
        <f t="shared" si="34"/>
        <v/>
      </c>
      <c r="AN135">
        <f t="shared" si="35"/>
        <v>0</v>
      </c>
      <c r="AW135" s="882">
        <f t="shared" si="53"/>
        <v>0</v>
      </c>
      <c r="AX135" s="882">
        <f t="shared" si="58"/>
        <v>1</v>
      </c>
      <c r="AY135" s="882">
        <f t="shared" si="59"/>
        <v>1</v>
      </c>
      <c r="AZ135" s="927">
        <f t="shared" si="60"/>
        <v>1</v>
      </c>
      <c r="BA135" s="882">
        <v>1</v>
      </c>
      <c r="BB135" s="925">
        <f t="shared" si="36"/>
        <v>0</v>
      </c>
      <c r="BC135" s="882">
        <f t="shared" si="61"/>
        <v>1</v>
      </c>
      <c r="BD135" s="342" t="e">
        <f>IF(AND($BC135=0,C135=Tab_sel!$P$7,$D135=Tab_sel!$O$24,$E135=Tab_sel!$B$31),1,"")</f>
        <v>#N/A</v>
      </c>
      <c r="BE135" s="322" t="e">
        <f>IF(AND($BC135=0,C135=Tab_sel!$P$7,$D135=Tab_sel!$O$24,$E135=Tab_sel!$B$32),1,"")</f>
        <v>#N/A</v>
      </c>
      <c r="BF135" s="322" t="e">
        <f>IF(AND($BC135=0,C135=Tab_sel!$P$7,$D135=Tab_sel!$O$24,$E135=Tab_sel!$B$33),1,"")</f>
        <v>#N/A</v>
      </c>
      <c r="BG135" s="322" t="e">
        <f>IF(AND($BC135=0,C135=Tab_sel!$P$7,$D135=Tab_sel!$O$24,$E135=Tab_sel!$B$34),1,"")</f>
        <v>#N/A</v>
      </c>
      <c r="BH135" s="322" t="e">
        <f>IF(AND($BC135=0,C135=Tab_sel!$P$7,$D135=Tab_sel!$O$24,$E135=Tab_sel!$B$35),1,"")</f>
        <v>#N/A</v>
      </c>
      <c r="BI135" s="343" t="e">
        <f>IF(AND($BC135=0,C135=Tab_sel!$P$7,$D135=Tab_sel!$O$24,$E135=Tab_sel!$B$36),1,"")</f>
        <v>#N/A</v>
      </c>
      <c r="BJ135" s="342" t="e">
        <f>IF(AND($BC135=0,$C135=Tab_sel!$P$7,$D135=Tab_sel!$O$24,$E135=Tab_sel!$N$31,$F135=Tab_sel!$B$40),1,"")</f>
        <v>#N/A</v>
      </c>
      <c r="BK135" s="322" t="e">
        <f>IF(AND($BC135=0,$C135=Tab_sel!$P$7,$D135=Tab_sel!$O$24,$E135=Tab_sel!$N$31,$F135=Tab_sel!$B$41),1,"")</f>
        <v>#N/A</v>
      </c>
      <c r="BL135" s="322" t="e">
        <f>IF(AND($BC135=0,$C135=Tab_sel!$P$7,$D135=Tab_sel!$O$24,$E135=Tab_sel!$N$31,$F135=Tab_sel!$B$42),1,"")</f>
        <v>#N/A</v>
      </c>
      <c r="BM135" s="322" t="e">
        <f>IF(AND($BC135=0,$C135=Tab_sel!$P$7,$D135=Tab_sel!$O$24,$E135=Tab_sel!$N$31,$F135=Tab_sel!$B$43),1,"")</f>
        <v>#N/A</v>
      </c>
      <c r="BN135" s="322" t="e">
        <f>IF(AND($BC135=0,$C135=Tab_sel!$P$7,$D135=Tab_sel!$O$24,$E135=Tab_sel!$N$31,$F135=Tab_sel!$B$44),1,"")</f>
        <v>#N/A</v>
      </c>
      <c r="BO135" s="343" t="e">
        <f>IF(AND($BC135=0,$C135=Tab_sel!$P$7,$D135=Tab_sel!$O$24,$E135=Tab_sel!$N$31,$F135=Tab_sel!$B$45),1,"")</f>
        <v>#N/A</v>
      </c>
      <c r="BP135" s="354" t="e">
        <f>IF(AND($BC135=0,$C135=Tab_sel!$P$7,$D135=Tab_sel!$O$24,$E135=Tab_sel!$N$31,$F135=Tab_sel!$N$40,$I135=Tab_sel!$B$61),1,"")</f>
        <v>#N/A</v>
      </c>
      <c r="BQ135" s="355" t="e">
        <f>IF(AND($BC135=0,$C135=Tab_sel!$P$7,$D135=Tab_sel!$O$24,$E135=Tab_sel!$N$31,$F135=Tab_sel!$N$40,$I135=Tab_sel!$B$62),1,"")</f>
        <v>#N/A</v>
      </c>
      <c r="BR135" s="355" t="e">
        <f>IF(AND($BC135=0,$C135=Tab_sel!$P$7,$D135=Tab_sel!$O$24,$E135=Tab_sel!$N$31,$F135=Tab_sel!$N$40,$I135=Tab_sel!$B$63),1,"")</f>
        <v>#N/A</v>
      </c>
      <c r="BS135" s="355" t="e">
        <f>IF(AND($BC135=0,$C135=Tab_sel!$P$7,$D135=Tab_sel!$O$24,$E135=Tab_sel!$N$31,$F135=Tab_sel!$N$40,$I135=Tab_sel!$B$64),1,"")</f>
        <v>#N/A</v>
      </c>
      <c r="BT135" s="356" t="e">
        <f>IF(AND($BC135=0,$C135=Tab_sel!$P$7,$D135=Tab_sel!$O$24,$E135=Tab_sel!$N$31,$F135=Tab_sel!$N$40,$I135=Tab_sel!$B$65),1,"")</f>
        <v>#N/A</v>
      </c>
      <c r="BU135" s="856" t="e">
        <f>IF(AND($BC135=0,$C135=Tab_sel!$P$7,$D135=Tab_sel!$O$24,$E135=Tab_sel!$N$31,$F135=Tab_sel!$N$40,$I135=Tab_sel!$P$61,$H135=Tab_sel!$B$77),1,"")</f>
        <v>#N/A</v>
      </c>
      <c r="BV135" s="883" t="e">
        <f>IF(AND($BC135=0,$C135=Tab_sel!$P$7,$D135=Tab_sel!$O$24,$E135=Tab_sel!$N$31,$F135=Tab_sel!$N$40,$I135=Tab_sel!$P$61,$H135=Tab_sel!$B$78),1,"")</f>
        <v>#N/A</v>
      </c>
      <c r="BW135" s="883" t="e">
        <f>IF(AND($BC135=0,$C135=Tab_sel!$P$7,$D135=Tab_sel!$O$24,$E135=Tab_sel!$N$31,$F135=Tab_sel!$N$40,$I135=Tab_sel!$P$61,$H135=Tab_sel!$B$79),1,"")</f>
        <v>#N/A</v>
      </c>
      <c r="BX135" s="883" t="e">
        <f>IF(AND($BC135=0,$C135=Tab_sel!$P$7,$D135=Tab_sel!$O$24,$E135=Tab_sel!$N$31,$F135=Tab_sel!$N$40,$I135=Tab_sel!$P$61,$H135=Tab_sel!$B$80),1,"")</f>
        <v>#N/A</v>
      </c>
      <c r="BY135" s="883" t="e">
        <f>IF(AND($BC135=0,$C135=Tab_sel!$P$7,$D135=Tab_sel!$O$24,$E135=Tab_sel!$N$31,$F135=Tab_sel!$N$40,$I135=Tab_sel!$P$61,$H135=Tab_sel!$B$81),1,"")</f>
        <v>#N/A</v>
      </c>
      <c r="BZ135" s="857" t="e">
        <f>IF(AND($BC135=0,$C135=Tab_sel!$P$7,$D135=Tab_sel!$O$24,$E135=Tab_sel!$N$31,$F135=Tab_sel!$N$40,$I135=Tab_sel!$P$61,$H135=Tab_sel!$B$82),1,"")</f>
        <v>#N/A</v>
      </c>
      <c r="CA135" s="359"/>
      <c r="CC135">
        <f t="shared" si="54"/>
        <v>0</v>
      </c>
      <c r="CD135" s="882">
        <f t="shared" si="55"/>
        <v>0</v>
      </c>
      <c r="CE135" s="882">
        <f t="shared" si="56"/>
        <v>0</v>
      </c>
      <c r="CH135" t="s">
        <v>2658</v>
      </c>
    </row>
    <row r="136" spans="2:88" ht="33.75" customHeight="1" x14ac:dyDescent="0.25">
      <c r="B136" s="791" t="s">
        <v>1434</v>
      </c>
      <c r="C136" s="771" t="s">
        <v>35</v>
      </c>
      <c r="D136" s="772" t="s">
        <v>76</v>
      </c>
      <c r="E136" s="771" t="str">
        <f t="shared" si="62"/>
        <v>Média support d'archive</v>
      </c>
      <c r="F136" s="773" t="str">
        <f>Inex</f>
        <v>Inexploitabilité</v>
      </c>
      <c r="G136" s="776" t="s">
        <v>1113</v>
      </c>
      <c r="H136" s="776"/>
      <c r="I136" s="771" t="s">
        <v>1197</v>
      </c>
      <c r="J136" s="777"/>
      <c r="K136" s="769" t="s">
        <v>1364</v>
      </c>
      <c r="L136" s="777"/>
      <c r="M136" s="822"/>
      <c r="N136" s="767"/>
      <c r="O136" s="767"/>
      <c r="P136" s="772"/>
      <c r="Q136" s="803"/>
      <c r="R136" s="803"/>
      <c r="S136" s="804"/>
      <c r="T136" s="772"/>
      <c r="U136" s="772"/>
      <c r="V136" s="805"/>
      <c r="W136" s="767"/>
      <c r="X136" s="767"/>
      <c r="Y136" s="772"/>
      <c r="Z136" s="772"/>
      <c r="AA136" s="772"/>
      <c r="AB136" s="805"/>
      <c r="AC136" s="806"/>
      <c r="AD136" s="806"/>
      <c r="AE136" s="806"/>
      <c r="AF136" s="806"/>
      <c r="AG136" s="806"/>
      <c r="AH136" s="805"/>
      <c r="AI136" s="807" t="str">
        <f t="shared" si="57"/>
        <v/>
      </c>
      <c r="AJ136" s="805"/>
      <c r="AK136" s="359"/>
      <c r="AM136" t="str">
        <f t="shared" ref="AM136:AM199" si="63">IF(AN136=1,IF(Ig=0,10*P136+N136,10*Y136+W136),"")</f>
        <v/>
      </c>
      <c r="AN136">
        <f t="shared" ref="AN136:AN199" si="64">IF(OR(AND(AB136="A",Ia=1),AND(AB136="E",Ie=1),AND(AB136="R",Ir=1),AND(AB136="T",It=1),AND(AB136="I",Ii=1),AND(OR(AB136="-",AB136="0"),Isd=1)),1,0)</f>
        <v>0</v>
      </c>
      <c r="AW136" s="882">
        <f t="shared" si="53"/>
        <v>0</v>
      </c>
      <c r="AX136" s="882">
        <f t="shared" si="58"/>
        <v>1</v>
      </c>
      <c r="AY136" s="882">
        <f t="shared" si="59"/>
        <v>1</v>
      </c>
      <c r="AZ136" s="927">
        <f t="shared" si="60"/>
        <v>1</v>
      </c>
      <c r="BA136" s="882">
        <v>1</v>
      </c>
      <c r="BB136" s="925">
        <f t="shared" ref="BB136:BB199" si="65">AW136*AX136*AY136*AZ136*BA136</f>
        <v>0</v>
      </c>
      <c r="BC136" s="882">
        <f t="shared" si="61"/>
        <v>1</v>
      </c>
      <c r="BD136" s="342" t="e">
        <f>IF(AND($BC136=0,C136=Tab_sel!$P$7,$D136=Tab_sel!$O$24,$E136=Tab_sel!$B$31),1,"")</f>
        <v>#N/A</v>
      </c>
      <c r="BE136" s="322" t="e">
        <f>IF(AND($BC136=0,C136=Tab_sel!$P$7,$D136=Tab_sel!$O$24,$E136=Tab_sel!$B$32),1,"")</f>
        <v>#N/A</v>
      </c>
      <c r="BF136" s="322" t="e">
        <f>IF(AND($BC136=0,C136=Tab_sel!$P$7,$D136=Tab_sel!$O$24,$E136=Tab_sel!$B$33),1,"")</f>
        <v>#N/A</v>
      </c>
      <c r="BG136" s="322" t="e">
        <f>IF(AND($BC136=0,C136=Tab_sel!$P$7,$D136=Tab_sel!$O$24,$E136=Tab_sel!$B$34),1,"")</f>
        <v>#N/A</v>
      </c>
      <c r="BH136" s="322" t="e">
        <f>IF(AND($BC136=0,C136=Tab_sel!$P$7,$D136=Tab_sel!$O$24,$E136=Tab_sel!$B$35),1,"")</f>
        <v>#N/A</v>
      </c>
      <c r="BI136" s="343" t="e">
        <f>IF(AND($BC136=0,C136=Tab_sel!$P$7,$D136=Tab_sel!$O$24,$E136=Tab_sel!$B$36),1,"")</f>
        <v>#N/A</v>
      </c>
      <c r="BJ136" s="342" t="e">
        <f>IF(AND($BC136=0,$C136=Tab_sel!$P$7,$D136=Tab_sel!$O$24,$E136=Tab_sel!$N$31,$F136=Tab_sel!$B$40),1,"")</f>
        <v>#N/A</v>
      </c>
      <c r="BK136" s="322" t="e">
        <f>IF(AND($BC136=0,$C136=Tab_sel!$P$7,$D136=Tab_sel!$O$24,$E136=Tab_sel!$N$31,$F136=Tab_sel!$B$41),1,"")</f>
        <v>#N/A</v>
      </c>
      <c r="BL136" s="322" t="e">
        <f>IF(AND($BC136=0,$C136=Tab_sel!$P$7,$D136=Tab_sel!$O$24,$E136=Tab_sel!$N$31,$F136=Tab_sel!$B$42),1,"")</f>
        <v>#N/A</v>
      </c>
      <c r="BM136" s="322" t="e">
        <f>IF(AND($BC136=0,$C136=Tab_sel!$P$7,$D136=Tab_sel!$O$24,$E136=Tab_sel!$N$31,$F136=Tab_sel!$B$43),1,"")</f>
        <v>#N/A</v>
      </c>
      <c r="BN136" s="322" t="e">
        <f>IF(AND($BC136=0,$C136=Tab_sel!$P$7,$D136=Tab_sel!$O$24,$E136=Tab_sel!$N$31,$F136=Tab_sel!$B$44),1,"")</f>
        <v>#N/A</v>
      </c>
      <c r="BO136" s="343" t="e">
        <f>IF(AND($BC136=0,$C136=Tab_sel!$P$7,$D136=Tab_sel!$O$24,$E136=Tab_sel!$N$31,$F136=Tab_sel!$B$45),1,"")</f>
        <v>#N/A</v>
      </c>
      <c r="BP136" s="354" t="e">
        <f>IF(AND($BC136=0,$C136=Tab_sel!$P$7,$D136=Tab_sel!$O$24,$E136=Tab_sel!$N$31,$F136=Tab_sel!$N$40,$I136=Tab_sel!$B$61),1,"")</f>
        <v>#N/A</v>
      </c>
      <c r="BQ136" s="355" t="e">
        <f>IF(AND($BC136=0,$C136=Tab_sel!$P$7,$D136=Tab_sel!$O$24,$E136=Tab_sel!$N$31,$F136=Tab_sel!$N$40,$I136=Tab_sel!$B$62),1,"")</f>
        <v>#N/A</v>
      </c>
      <c r="BR136" s="355" t="e">
        <f>IF(AND($BC136=0,$C136=Tab_sel!$P$7,$D136=Tab_sel!$O$24,$E136=Tab_sel!$N$31,$F136=Tab_sel!$N$40,$I136=Tab_sel!$B$63),1,"")</f>
        <v>#N/A</v>
      </c>
      <c r="BS136" s="355" t="e">
        <f>IF(AND($BC136=0,$C136=Tab_sel!$P$7,$D136=Tab_sel!$O$24,$E136=Tab_sel!$N$31,$F136=Tab_sel!$N$40,$I136=Tab_sel!$B$64),1,"")</f>
        <v>#N/A</v>
      </c>
      <c r="BT136" s="356" t="e">
        <f>IF(AND($BC136=0,$C136=Tab_sel!$P$7,$D136=Tab_sel!$O$24,$E136=Tab_sel!$N$31,$F136=Tab_sel!$N$40,$I136=Tab_sel!$B$65),1,"")</f>
        <v>#N/A</v>
      </c>
      <c r="BU136" s="856" t="e">
        <f>IF(AND($BC136=0,$C136=Tab_sel!$P$7,$D136=Tab_sel!$O$24,$E136=Tab_sel!$N$31,$F136=Tab_sel!$N$40,$I136=Tab_sel!$P$61,$H136=Tab_sel!$B$77),1,"")</f>
        <v>#N/A</v>
      </c>
      <c r="BV136" s="883" t="e">
        <f>IF(AND($BC136=0,$C136=Tab_sel!$P$7,$D136=Tab_sel!$O$24,$E136=Tab_sel!$N$31,$F136=Tab_sel!$N$40,$I136=Tab_sel!$P$61,$H136=Tab_sel!$B$78),1,"")</f>
        <v>#N/A</v>
      </c>
      <c r="BW136" s="883" t="e">
        <f>IF(AND($BC136=0,$C136=Tab_sel!$P$7,$D136=Tab_sel!$O$24,$E136=Tab_sel!$N$31,$F136=Tab_sel!$N$40,$I136=Tab_sel!$P$61,$H136=Tab_sel!$B$79),1,"")</f>
        <v>#N/A</v>
      </c>
      <c r="BX136" s="883" t="e">
        <f>IF(AND($BC136=0,$C136=Tab_sel!$P$7,$D136=Tab_sel!$O$24,$E136=Tab_sel!$N$31,$F136=Tab_sel!$N$40,$I136=Tab_sel!$P$61,$H136=Tab_sel!$B$80),1,"")</f>
        <v>#N/A</v>
      </c>
      <c r="BY136" s="883" t="e">
        <f>IF(AND($BC136=0,$C136=Tab_sel!$P$7,$D136=Tab_sel!$O$24,$E136=Tab_sel!$N$31,$F136=Tab_sel!$N$40,$I136=Tab_sel!$P$61,$H136=Tab_sel!$B$81),1,"")</f>
        <v>#N/A</v>
      </c>
      <c r="BZ136" s="857" t="e">
        <f>IF(AND($BC136=0,$C136=Tab_sel!$P$7,$D136=Tab_sel!$O$24,$E136=Tab_sel!$N$31,$F136=Tab_sel!$N$40,$I136=Tab_sel!$P$61,$H136=Tab_sel!$B$82),1,"")</f>
        <v>#N/A</v>
      </c>
      <c r="CA136" s="359"/>
      <c r="CC136">
        <f t="shared" si="54"/>
        <v>0</v>
      </c>
      <c r="CD136" s="882">
        <f t="shared" si="55"/>
        <v>0</v>
      </c>
      <c r="CE136" s="882">
        <f t="shared" si="56"/>
        <v>0</v>
      </c>
      <c r="CH136" t="s">
        <v>2658</v>
      </c>
    </row>
    <row r="137" spans="2:88" ht="39.6" x14ac:dyDescent="0.25">
      <c r="B137" s="791" t="s">
        <v>1435</v>
      </c>
      <c r="C137" s="771" t="s">
        <v>35</v>
      </c>
      <c r="D137" s="772" t="s">
        <v>34</v>
      </c>
      <c r="E137" s="771" t="str">
        <f>Fic</f>
        <v xml:space="preserve">Fichier ou base de données </v>
      </c>
      <c r="F137" s="768" t="str">
        <f>Dive</f>
        <v>Divulgation de données</v>
      </c>
      <c r="G137" s="778" t="s">
        <v>1132</v>
      </c>
      <c r="H137" s="904"/>
      <c r="I137" s="771" t="s">
        <v>1202</v>
      </c>
      <c r="J137" s="769" t="s">
        <v>2537</v>
      </c>
      <c r="K137" s="778" t="s">
        <v>2458</v>
      </c>
      <c r="L137" s="778"/>
      <c r="M137" s="824"/>
      <c r="N137" s="767"/>
      <c r="O137" s="767"/>
      <c r="P137" s="772"/>
      <c r="Q137" s="803"/>
      <c r="R137" s="803"/>
      <c r="S137" s="804"/>
      <c r="T137" s="772"/>
      <c r="U137" s="772"/>
      <c r="V137" s="805"/>
      <c r="W137" s="767"/>
      <c r="X137" s="767"/>
      <c r="Y137" s="772"/>
      <c r="Z137" s="772"/>
      <c r="AA137" s="772"/>
      <c r="AB137" s="805"/>
      <c r="AC137" s="806"/>
      <c r="AD137" s="806"/>
      <c r="AE137" s="806"/>
      <c r="AF137" s="806"/>
      <c r="AG137" s="806"/>
      <c r="AH137" s="805"/>
      <c r="AI137" s="807" t="str">
        <f t="shared" si="57"/>
        <v/>
      </c>
      <c r="AJ137" s="805"/>
      <c r="AK137" s="359"/>
      <c r="AM137" t="str">
        <f t="shared" si="63"/>
        <v/>
      </c>
      <c r="AN137">
        <f t="shared" si="64"/>
        <v>0</v>
      </c>
      <c r="AW137" s="882">
        <f t="shared" si="53"/>
        <v>0</v>
      </c>
      <c r="AX137" s="882">
        <f t="shared" si="58"/>
        <v>1</v>
      </c>
      <c r="AY137" s="882">
        <f t="shared" si="59"/>
        <v>1</v>
      </c>
      <c r="AZ137" s="927">
        <f t="shared" si="60"/>
        <v>1</v>
      </c>
      <c r="BA137" s="882">
        <v>1</v>
      </c>
      <c r="BB137" s="925">
        <f t="shared" si="65"/>
        <v>0</v>
      </c>
      <c r="BC137" s="882">
        <f t="shared" si="61"/>
        <v>1</v>
      </c>
      <c r="BD137" s="342" t="e">
        <f>IF(AND($BC137=0,C137=Tab_sel!$P$7,$D137=Tab_sel!$O$24,$E137=Tab_sel!$B$31),1,"")</f>
        <v>#N/A</v>
      </c>
      <c r="BE137" s="322" t="e">
        <f>IF(AND($BC137=0,C137=Tab_sel!$P$7,$D137=Tab_sel!$O$24,$E137=Tab_sel!$B$32),1,"")</f>
        <v>#N/A</v>
      </c>
      <c r="BF137" s="322" t="e">
        <f>IF(AND($BC137=0,C137=Tab_sel!$P$7,$D137=Tab_sel!$O$24,$E137=Tab_sel!$B$33),1,"")</f>
        <v>#N/A</v>
      </c>
      <c r="BG137" s="322" t="e">
        <f>IF(AND($BC137=0,C137=Tab_sel!$P$7,$D137=Tab_sel!$O$24,$E137=Tab_sel!$B$34),1,"")</f>
        <v>#N/A</v>
      </c>
      <c r="BH137" s="322" t="e">
        <f>IF(AND($BC137=0,C137=Tab_sel!$P$7,$D137=Tab_sel!$O$24,$E137=Tab_sel!$B$35),1,"")</f>
        <v>#N/A</v>
      </c>
      <c r="BI137" s="343" t="e">
        <f>IF(AND($BC137=0,C137=Tab_sel!$P$7,$D137=Tab_sel!$O$24,$E137=Tab_sel!$B$36),1,"")</f>
        <v>#N/A</v>
      </c>
      <c r="BJ137" s="342" t="e">
        <f>IF(AND($BC137=0,$C137=Tab_sel!$P$7,$D137=Tab_sel!$O$24,$E137=Tab_sel!$N$31,$F137=Tab_sel!$B$40),1,"")</f>
        <v>#N/A</v>
      </c>
      <c r="BK137" s="322" t="e">
        <f>IF(AND($BC137=0,$C137=Tab_sel!$P$7,$D137=Tab_sel!$O$24,$E137=Tab_sel!$N$31,$F137=Tab_sel!$B$41),1,"")</f>
        <v>#N/A</v>
      </c>
      <c r="BL137" s="322" t="e">
        <f>IF(AND($BC137=0,$C137=Tab_sel!$P$7,$D137=Tab_sel!$O$24,$E137=Tab_sel!$N$31,$F137=Tab_sel!$B$42),1,"")</f>
        <v>#N/A</v>
      </c>
      <c r="BM137" s="322" t="e">
        <f>IF(AND($BC137=0,$C137=Tab_sel!$P$7,$D137=Tab_sel!$O$24,$E137=Tab_sel!$N$31,$F137=Tab_sel!$B$43),1,"")</f>
        <v>#N/A</v>
      </c>
      <c r="BN137" s="322" t="e">
        <f>IF(AND($BC137=0,$C137=Tab_sel!$P$7,$D137=Tab_sel!$O$24,$E137=Tab_sel!$N$31,$F137=Tab_sel!$B$44),1,"")</f>
        <v>#N/A</v>
      </c>
      <c r="BO137" s="343" t="e">
        <f>IF(AND($BC137=0,$C137=Tab_sel!$P$7,$D137=Tab_sel!$O$24,$E137=Tab_sel!$N$31,$F137=Tab_sel!$B$45),1,"")</f>
        <v>#N/A</v>
      </c>
      <c r="BP137" s="354" t="e">
        <f>IF(AND($BC137=0,$C137=Tab_sel!$P$7,$D137=Tab_sel!$O$24,$E137=Tab_sel!$N$31,$F137=Tab_sel!$N$40,$I137=Tab_sel!$B$61),1,"")</f>
        <v>#N/A</v>
      </c>
      <c r="BQ137" s="355" t="e">
        <f>IF(AND($BC137=0,$C137=Tab_sel!$P$7,$D137=Tab_sel!$O$24,$E137=Tab_sel!$N$31,$F137=Tab_sel!$N$40,$I137=Tab_sel!$B$62),1,"")</f>
        <v>#N/A</v>
      </c>
      <c r="BR137" s="355" t="e">
        <f>IF(AND($BC137=0,$C137=Tab_sel!$P$7,$D137=Tab_sel!$O$24,$E137=Tab_sel!$N$31,$F137=Tab_sel!$N$40,$I137=Tab_sel!$B$63),1,"")</f>
        <v>#N/A</v>
      </c>
      <c r="BS137" s="355" t="e">
        <f>IF(AND($BC137=0,$C137=Tab_sel!$P$7,$D137=Tab_sel!$O$24,$E137=Tab_sel!$N$31,$F137=Tab_sel!$N$40,$I137=Tab_sel!$B$64),1,"")</f>
        <v>#N/A</v>
      </c>
      <c r="BT137" s="356" t="e">
        <f>IF(AND($BC137=0,$C137=Tab_sel!$P$7,$D137=Tab_sel!$O$24,$E137=Tab_sel!$N$31,$F137=Tab_sel!$N$40,$I137=Tab_sel!$B$65),1,"")</f>
        <v>#N/A</v>
      </c>
      <c r="BU137" s="856" t="e">
        <f>IF(AND($BC137=0,$C137=Tab_sel!$P$7,$D137=Tab_sel!$O$24,$E137=Tab_sel!$N$31,$F137=Tab_sel!$N$40,$I137=Tab_sel!$P$61,$H137=Tab_sel!$B$77),1,"")</f>
        <v>#N/A</v>
      </c>
      <c r="BV137" s="883" t="e">
        <f>IF(AND($BC137=0,$C137=Tab_sel!$P$7,$D137=Tab_sel!$O$24,$E137=Tab_sel!$N$31,$F137=Tab_sel!$N$40,$I137=Tab_sel!$P$61,$H137=Tab_sel!$B$78),1,"")</f>
        <v>#N/A</v>
      </c>
      <c r="BW137" s="883" t="e">
        <f>IF(AND($BC137=0,$C137=Tab_sel!$P$7,$D137=Tab_sel!$O$24,$E137=Tab_sel!$N$31,$F137=Tab_sel!$N$40,$I137=Tab_sel!$P$61,$H137=Tab_sel!$B$79),1,"")</f>
        <v>#N/A</v>
      </c>
      <c r="BX137" s="883" t="e">
        <f>IF(AND($BC137=0,$C137=Tab_sel!$P$7,$D137=Tab_sel!$O$24,$E137=Tab_sel!$N$31,$F137=Tab_sel!$N$40,$I137=Tab_sel!$P$61,$H137=Tab_sel!$B$80),1,"")</f>
        <v>#N/A</v>
      </c>
      <c r="BY137" s="883" t="e">
        <f>IF(AND($BC137=0,$C137=Tab_sel!$P$7,$D137=Tab_sel!$O$24,$E137=Tab_sel!$N$31,$F137=Tab_sel!$N$40,$I137=Tab_sel!$P$61,$H137=Tab_sel!$B$81),1,"")</f>
        <v>#N/A</v>
      </c>
      <c r="BZ137" s="857" t="e">
        <f>IF(AND($BC137=0,$C137=Tab_sel!$P$7,$D137=Tab_sel!$O$24,$E137=Tab_sel!$N$31,$F137=Tab_sel!$N$40,$I137=Tab_sel!$P$61,$H137=Tab_sel!$B$82),1,"")</f>
        <v>#N/A</v>
      </c>
      <c r="CA137" s="359"/>
      <c r="CC137">
        <f t="shared" si="54"/>
        <v>0</v>
      </c>
      <c r="CD137" s="882">
        <f t="shared" si="55"/>
        <v>0</v>
      </c>
      <c r="CE137" s="882">
        <f t="shared" si="56"/>
        <v>0</v>
      </c>
      <c r="CG137" t="s">
        <v>2609</v>
      </c>
      <c r="CH137" t="s">
        <v>2659</v>
      </c>
    </row>
    <row r="138" spans="2:88" ht="39.6" x14ac:dyDescent="0.25">
      <c r="B138" s="791" t="s">
        <v>2410</v>
      </c>
      <c r="C138" s="874" t="s">
        <v>35</v>
      </c>
      <c r="D138" s="875" t="s">
        <v>34</v>
      </c>
      <c r="E138" s="771" t="str">
        <f>Fic</f>
        <v xml:space="preserve">Fichier ou base de données </v>
      </c>
      <c r="F138" s="768" t="str">
        <f>Dive</f>
        <v>Divulgation de données</v>
      </c>
      <c r="G138" s="864" t="s">
        <v>1132</v>
      </c>
      <c r="H138" s="864" t="s">
        <v>2288</v>
      </c>
      <c r="I138" s="874" t="s">
        <v>1202</v>
      </c>
      <c r="J138" s="877" t="s">
        <v>2350</v>
      </c>
      <c r="K138" s="864" t="s">
        <v>2458</v>
      </c>
      <c r="L138" s="864" t="s">
        <v>2350</v>
      </c>
      <c r="M138" s="824" t="s">
        <v>2350</v>
      </c>
      <c r="N138" s="851"/>
      <c r="O138" s="851"/>
      <c r="P138" s="875"/>
      <c r="Q138" s="803"/>
      <c r="R138" s="803"/>
      <c r="S138" s="804"/>
      <c r="T138" s="875"/>
      <c r="U138" s="875"/>
      <c r="V138" s="805"/>
      <c r="W138" s="851"/>
      <c r="X138" s="851"/>
      <c r="Y138" s="875"/>
      <c r="Z138" s="875"/>
      <c r="AA138" s="875"/>
      <c r="AB138" s="805"/>
      <c r="AC138" s="806"/>
      <c r="AD138" s="806"/>
      <c r="AE138" s="806"/>
      <c r="AF138" s="806"/>
      <c r="AG138" s="806"/>
      <c r="AH138" s="805"/>
      <c r="AI138" s="807" t="str">
        <f t="shared" si="57"/>
        <v/>
      </c>
      <c r="AJ138" s="805"/>
      <c r="AK138" s="359"/>
      <c r="AM138" t="str">
        <f t="shared" si="63"/>
        <v/>
      </c>
      <c r="AN138">
        <f t="shared" si="64"/>
        <v>0</v>
      </c>
      <c r="AV138" s="882"/>
      <c r="AW138" s="882">
        <f t="shared" si="53"/>
        <v>0</v>
      </c>
      <c r="AX138" s="882">
        <f t="shared" si="58"/>
        <v>1</v>
      </c>
      <c r="AY138" s="882">
        <f t="shared" si="59"/>
        <v>1</v>
      </c>
      <c r="AZ138" s="927">
        <f t="shared" si="60"/>
        <v>1</v>
      </c>
      <c r="BA138" s="882">
        <v>0</v>
      </c>
      <c r="BB138" s="925">
        <f t="shared" si="65"/>
        <v>0</v>
      </c>
      <c r="BC138" s="882">
        <f t="shared" si="61"/>
        <v>1</v>
      </c>
      <c r="BD138" s="342" t="e">
        <f>IF(AND($BC138=0,C138=Tab_sel!$P$7,$D138=Tab_sel!$O$24,$E138=Tab_sel!$B$31),1,"")</f>
        <v>#N/A</v>
      </c>
      <c r="BE138" s="322" t="e">
        <f>IF(AND($BC138=0,C138=Tab_sel!$P$7,$D138=Tab_sel!$O$24,$E138=Tab_sel!$B$32),1,"")</f>
        <v>#N/A</v>
      </c>
      <c r="BF138" s="322" t="e">
        <f>IF(AND($BC138=0,C138=Tab_sel!$P$7,$D138=Tab_sel!$O$24,$E138=Tab_sel!$B$33),1,"")</f>
        <v>#N/A</v>
      </c>
      <c r="BG138" s="322" t="e">
        <f>IF(AND($BC138=0,C138=Tab_sel!$P$7,$D138=Tab_sel!$O$24,$E138=Tab_sel!$B$34),1,"")</f>
        <v>#N/A</v>
      </c>
      <c r="BH138" s="322" t="e">
        <f>IF(AND($BC138=0,C138=Tab_sel!$P$7,$D138=Tab_sel!$O$24,$E138=Tab_sel!$B$35),1,"")</f>
        <v>#N/A</v>
      </c>
      <c r="BI138" s="343" t="e">
        <f>IF(AND($BC138=0,C138=Tab_sel!$P$7,$D138=Tab_sel!$O$24,$E138=Tab_sel!$B$36),1,"")</f>
        <v>#N/A</v>
      </c>
      <c r="BJ138" s="342" t="e">
        <f>IF(AND($BC138=0,$C138=Tab_sel!$P$7,$D138=Tab_sel!$O$24,$E138=Tab_sel!$N$31,$F138=Tab_sel!$B$40),1,"")</f>
        <v>#N/A</v>
      </c>
      <c r="BK138" s="322" t="e">
        <f>IF(AND($BC138=0,$C138=Tab_sel!$P$7,$D138=Tab_sel!$O$24,$E138=Tab_sel!$N$31,$F138=Tab_sel!$B$41),1,"")</f>
        <v>#N/A</v>
      </c>
      <c r="BL138" s="322" t="e">
        <f>IF(AND($BC138=0,$C138=Tab_sel!$P$7,$D138=Tab_sel!$O$24,$E138=Tab_sel!$N$31,$F138=Tab_sel!$B$42),1,"")</f>
        <v>#N/A</v>
      </c>
      <c r="BM138" s="322" t="e">
        <f>IF(AND($BC138=0,$C138=Tab_sel!$P$7,$D138=Tab_sel!$O$24,$E138=Tab_sel!$N$31,$F138=Tab_sel!$B$43),1,"")</f>
        <v>#N/A</v>
      </c>
      <c r="BN138" s="322" t="e">
        <f>IF(AND($BC138=0,$C138=Tab_sel!$P$7,$D138=Tab_sel!$O$24,$E138=Tab_sel!$N$31,$F138=Tab_sel!$B$44),1,"")</f>
        <v>#N/A</v>
      </c>
      <c r="BO138" s="343" t="e">
        <f>IF(AND($BC138=0,$C138=Tab_sel!$P$7,$D138=Tab_sel!$O$24,$E138=Tab_sel!$N$31,$F138=Tab_sel!$B$45),1,"")</f>
        <v>#N/A</v>
      </c>
      <c r="BP138" s="354" t="e">
        <f>IF(AND($BC138=0,$C138=Tab_sel!$P$7,$D138=Tab_sel!$O$24,$E138=Tab_sel!$N$31,$F138=Tab_sel!$N$40,$I138=Tab_sel!$B$61),1,"")</f>
        <v>#N/A</v>
      </c>
      <c r="BQ138" s="355" t="e">
        <f>IF(AND($BC138=0,$C138=Tab_sel!$P$7,$D138=Tab_sel!$O$24,$E138=Tab_sel!$N$31,$F138=Tab_sel!$N$40,$I138=Tab_sel!$B$62),1,"")</f>
        <v>#N/A</v>
      </c>
      <c r="BR138" s="355" t="e">
        <f>IF(AND($BC138=0,$C138=Tab_sel!$P$7,$D138=Tab_sel!$O$24,$E138=Tab_sel!$N$31,$F138=Tab_sel!$N$40,$I138=Tab_sel!$B$63),1,"")</f>
        <v>#N/A</v>
      </c>
      <c r="BS138" s="355" t="e">
        <f>IF(AND($BC138=0,$C138=Tab_sel!$P$7,$D138=Tab_sel!$O$24,$E138=Tab_sel!$N$31,$F138=Tab_sel!$N$40,$I138=Tab_sel!$B$64),1,"")</f>
        <v>#N/A</v>
      </c>
      <c r="BT138" s="356" t="e">
        <f>IF(AND($BC138=0,$C138=Tab_sel!$P$7,$D138=Tab_sel!$O$24,$E138=Tab_sel!$N$31,$F138=Tab_sel!$N$40,$I138=Tab_sel!$B$65),1,"")</f>
        <v>#N/A</v>
      </c>
      <c r="BU138" s="856" t="e">
        <f>IF(AND($BC138=0,$C138=Tab_sel!$P$7,$D138=Tab_sel!$O$24,$E138=Tab_sel!$N$31,$F138=Tab_sel!$N$40,$I138=Tab_sel!$P$61,$H138=Tab_sel!$B$77),1,"")</f>
        <v>#N/A</v>
      </c>
      <c r="BV138" s="883" t="e">
        <f>IF(AND($BC138=0,$C138=Tab_sel!$P$7,$D138=Tab_sel!$O$24,$E138=Tab_sel!$N$31,$F138=Tab_sel!$N$40,$I138=Tab_sel!$P$61,$H138=Tab_sel!$B$78),1,"")</f>
        <v>#N/A</v>
      </c>
      <c r="BW138" s="883" t="e">
        <f>IF(AND($BC138=0,$C138=Tab_sel!$P$7,$D138=Tab_sel!$O$24,$E138=Tab_sel!$N$31,$F138=Tab_sel!$N$40,$I138=Tab_sel!$P$61,$H138=Tab_sel!$B$79),1,"")</f>
        <v>#N/A</v>
      </c>
      <c r="BX138" s="883" t="e">
        <f>IF(AND($BC138=0,$C138=Tab_sel!$P$7,$D138=Tab_sel!$O$24,$E138=Tab_sel!$N$31,$F138=Tab_sel!$N$40,$I138=Tab_sel!$P$61,$H138=Tab_sel!$B$80),1,"")</f>
        <v>#N/A</v>
      </c>
      <c r="BY138" s="883" t="e">
        <f>IF(AND($BC138=0,$C138=Tab_sel!$P$7,$D138=Tab_sel!$O$24,$E138=Tab_sel!$N$31,$F138=Tab_sel!$N$40,$I138=Tab_sel!$P$61,$H138=Tab_sel!$B$81),1,"")</f>
        <v>#N/A</v>
      </c>
      <c r="BZ138" s="857" t="e">
        <f>IF(AND($BC138=0,$C138=Tab_sel!$P$7,$D138=Tab_sel!$O$24,$E138=Tab_sel!$N$31,$F138=Tab_sel!$N$40,$I138=Tab_sel!$P$61,$H138=Tab_sel!$B$82),1,"")</f>
        <v>#N/A</v>
      </c>
      <c r="CA138" s="359"/>
      <c r="CC138">
        <f t="shared" si="54"/>
        <v>0</v>
      </c>
      <c r="CD138" s="882">
        <f t="shared" si="55"/>
        <v>0</v>
      </c>
      <c r="CE138" s="882">
        <f t="shared" si="56"/>
        <v>0</v>
      </c>
      <c r="CH138" t="s">
        <v>2659</v>
      </c>
    </row>
    <row r="139" spans="2:88" ht="26.4" x14ac:dyDescent="0.25">
      <c r="B139" s="791" t="s">
        <v>2411</v>
      </c>
      <c r="C139" s="874" t="s">
        <v>35</v>
      </c>
      <c r="D139" s="875" t="s">
        <v>34</v>
      </c>
      <c r="E139" s="771" t="str">
        <f>Fic</f>
        <v xml:space="preserve">Fichier ou base de données </v>
      </c>
      <c r="F139" s="768" t="str">
        <f>Dive</f>
        <v>Divulgation de données</v>
      </c>
      <c r="G139" s="864" t="s">
        <v>1132</v>
      </c>
      <c r="H139" s="864" t="s">
        <v>2531</v>
      </c>
      <c r="I139" s="874" t="s">
        <v>1202</v>
      </c>
      <c r="J139" s="877" t="s">
        <v>2537</v>
      </c>
      <c r="K139" s="864" t="s">
        <v>1316</v>
      </c>
      <c r="L139" s="864" t="s">
        <v>2350</v>
      </c>
      <c r="M139" s="824" t="s">
        <v>2350</v>
      </c>
      <c r="N139" s="851"/>
      <c r="O139" s="851"/>
      <c r="P139" s="875"/>
      <c r="Q139" s="803"/>
      <c r="R139" s="803"/>
      <c r="S139" s="804"/>
      <c r="T139" s="875"/>
      <c r="U139" s="875"/>
      <c r="V139" s="805"/>
      <c r="W139" s="851"/>
      <c r="X139" s="851"/>
      <c r="Y139" s="875"/>
      <c r="Z139" s="875"/>
      <c r="AA139" s="875"/>
      <c r="AB139" s="805"/>
      <c r="AC139" s="806"/>
      <c r="AD139" s="806"/>
      <c r="AE139" s="806"/>
      <c r="AF139" s="806"/>
      <c r="AG139" s="806"/>
      <c r="AH139" s="805"/>
      <c r="AI139" s="807" t="str">
        <f t="shared" si="57"/>
        <v/>
      </c>
      <c r="AJ139" s="805"/>
      <c r="AK139" s="359"/>
      <c r="AM139" t="str">
        <f t="shared" si="63"/>
        <v/>
      </c>
      <c r="AN139">
        <f t="shared" si="64"/>
        <v>0</v>
      </c>
      <c r="AV139" s="882"/>
      <c r="AW139" s="882">
        <f t="shared" si="53"/>
        <v>0</v>
      </c>
      <c r="AX139" s="882">
        <f t="shared" si="58"/>
        <v>1</v>
      </c>
      <c r="AY139" s="882">
        <f t="shared" si="59"/>
        <v>1</v>
      </c>
      <c r="AZ139" s="927">
        <f t="shared" si="60"/>
        <v>1</v>
      </c>
      <c r="BA139" s="882">
        <v>0</v>
      </c>
      <c r="BB139" s="925">
        <f t="shared" si="65"/>
        <v>0</v>
      </c>
      <c r="BC139" s="882">
        <f t="shared" si="61"/>
        <v>1</v>
      </c>
      <c r="BD139" s="342" t="e">
        <f>IF(AND($BC139=0,C139=Tab_sel!$P$7,$D139=Tab_sel!$O$24,$E139=Tab_sel!$B$31),1,"")</f>
        <v>#N/A</v>
      </c>
      <c r="BE139" s="322" t="e">
        <f>IF(AND($BC139=0,C139=Tab_sel!$P$7,$D139=Tab_sel!$O$24,$E139=Tab_sel!$B$32),1,"")</f>
        <v>#N/A</v>
      </c>
      <c r="BF139" s="322" t="e">
        <f>IF(AND($BC139=0,C139=Tab_sel!$P$7,$D139=Tab_sel!$O$24,$E139=Tab_sel!$B$33),1,"")</f>
        <v>#N/A</v>
      </c>
      <c r="BG139" s="322" t="e">
        <f>IF(AND($BC139=0,C139=Tab_sel!$P$7,$D139=Tab_sel!$O$24,$E139=Tab_sel!$B$34),1,"")</f>
        <v>#N/A</v>
      </c>
      <c r="BH139" s="322" t="e">
        <f>IF(AND($BC139=0,C139=Tab_sel!$P$7,$D139=Tab_sel!$O$24,$E139=Tab_sel!$B$35),1,"")</f>
        <v>#N/A</v>
      </c>
      <c r="BI139" s="343" t="e">
        <f>IF(AND($BC139=0,C139=Tab_sel!$P$7,$D139=Tab_sel!$O$24,$E139=Tab_sel!$B$36),1,"")</f>
        <v>#N/A</v>
      </c>
      <c r="BJ139" s="342" t="e">
        <f>IF(AND($BC139=0,$C139=Tab_sel!$P$7,$D139=Tab_sel!$O$24,$E139=Tab_sel!$N$31,$F139=Tab_sel!$B$40),1,"")</f>
        <v>#N/A</v>
      </c>
      <c r="BK139" s="322" t="e">
        <f>IF(AND($BC139=0,$C139=Tab_sel!$P$7,$D139=Tab_sel!$O$24,$E139=Tab_sel!$N$31,$F139=Tab_sel!$B$41),1,"")</f>
        <v>#N/A</v>
      </c>
      <c r="BL139" s="322" t="e">
        <f>IF(AND($BC139=0,$C139=Tab_sel!$P$7,$D139=Tab_sel!$O$24,$E139=Tab_sel!$N$31,$F139=Tab_sel!$B$42),1,"")</f>
        <v>#N/A</v>
      </c>
      <c r="BM139" s="322" t="e">
        <f>IF(AND($BC139=0,$C139=Tab_sel!$P$7,$D139=Tab_sel!$O$24,$E139=Tab_sel!$N$31,$F139=Tab_sel!$B$43),1,"")</f>
        <v>#N/A</v>
      </c>
      <c r="BN139" s="322" t="e">
        <f>IF(AND($BC139=0,$C139=Tab_sel!$P$7,$D139=Tab_sel!$O$24,$E139=Tab_sel!$N$31,$F139=Tab_sel!$B$44),1,"")</f>
        <v>#N/A</v>
      </c>
      <c r="BO139" s="343" t="e">
        <f>IF(AND($BC139=0,$C139=Tab_sel!$P$7,$D139=Tab_sel!$O$24,$E139=Tab_sel!$N$31,$F139=Tab_sel!$B$45),1,"")</f>
        <v>#N/A</v>
      </c>
      <c r="BP139" s="354" t="e">
        <f>IF(AND($BC139=0,$C139=Tab_sel!$P$7,$D139=Tab_sel!$O$24,$E139=Tab_sel!$N$31,$F139=Tab_sel!$N$40,$I139=Tab_sel!$B$61),1,"")</f>
        <v>#N/A</v>
      </c>
      <c r="BQ139" s="355" t="e">
        <f>IF(AND($BC139=0,$C139=Tab_sel!$P$7,$D139=Tab_sel!$O$24,$E139=Tab_sel!$N$31,$F139=Tab_sel!$N$40,$I139=Tab_sel!$B$62),1,"")</f>
        <v>#N/A</v>
      </c>
      <c r="BR139" s="355" t="e">
        <f>IF(AND($BC139=0,$C139=Tab_sel!$P$7,$D139=Tab_sel!$O$24,$E139=Tab_sel!$N$31,$F139=Tab_sel!$N$40,$I139=Tab_sel!$B$63),1,"")</f>
        <v>#N/A</v>
      </c>
      <c r="BS139" s="355" t="e">
        <f>IF(AND($BC139=0,$C139=Tab_sel!$P$7,$D139=Tab_sel!$O$24,$E139=Tab_sel!$N$31,$F139=Tab_sel!$N$40,$I139=Tab_sel!$B$64),1,"")</f>
        <v>#N/A</v>
      </c>
      <c r="BT139" s="356" t="e">
        <f>IF(AND($BC139=0,$C139=Tab_sel!$P$7,$D139=Tab_sel!$O$24,$E139=Tab_sel!$N$31,$F139=Tab_sel!$N$40,$I139=Tab_sel!$B$65),1,"")</f>
        <v>#N/A</v>
      </c>
      <c r="BU139" s="856" t="e">
        <f>IF(AND($BC139=0,$C139=Tab_sel!$P$7,$D139=Tab_sel!$O$24,$E139=Tab_sel!$N$31,$F139=Tab_sel!$N$40,$I139=Tab_sel!$P$61,$H139=Tab_sel!$B$77),1,"")</f>
        <v>#N/A</v>
      </c>
      <c r="BV139" s="883" t="e">
        <f>IF(AND($BC139=0,$C139=Tab_sel!$P$7,$D139=Tab_sel!$O$24,$E139=Tab_sel!$N$31,$F139=Tab_sel!$N$40,$I139=Tab_sel!$P$61,$H139=Tab_sel!$B$78),1,"")</f>
        <v>#N/A</v>
      </c>
      <c r="BW139" s="883" t="e">
        <f>IF(AND($BC139=0,$C139=Tab_sel!$P$7,$D139=Tab_sel!$O$24,$E139=Tab_sel!$N$31,$F139=Tab_sel!$N$40,$I139=Tab_sel!$P$61,$H139=Tab_sel!$B$79),1,"")</f>
        <v>#N/A</v>
      </c>
      <c r="BX139" s="883" t="e">
        <f>IF(AND($BC139=0,$C139=Tab_sel!$P$7,$D139=Tab_sel!$O$24,$E139=Tab_sel!$N$31,$F139=Tab_sel!$N$40,$I139=Tab_sel!$P$61,$H139=Tab_sel!$B$80),1,"")</f>
        <v>#N/A</v>
      </c>
      <c r="BY139" s="883" t="e">
        <f>IF(AND($BC139=0,$C139=Tab_sel!$P$7,$D139=Tab_sel!$O$24,$E139=Tab_sel!$N$31,$F139=Tab_sel!$N$40,$I139=Tab_sel!$P$61,$H139=Tab_sel!$B$81),1,"")</f>
        <v>#N/A</v>
      </c>
      <c r="BZ139" s="857" t="e">
        <f>IF(AND($BC139=0,$C139=Tab_sel!$P$7,$D139=Tab_sel!$O$24,$E139=Tab_sel!$N$31,$F139=Tab_sel!$N$40,$I139=Tab_sel!$P$61,$H139=Tab_sel!$B$82),1,"")</f>
        <v>#N/A</v>
      </c>
      <c r="CA139" s="359"/>
      <c r="CC139">
        <f t="shared" si="54"/>
        <v>0</v>
      </c>
      <c r="CD139" s="882">
        <f t="shared" si="55"/>
        <v>0</v>
      </c>
      <c r="CE139" s="882">
        <f t="shared" si="56"/>
        <v>0</v>
      </c>
      <c r="CG139" t="s">
        <v>2609</v>
      </c>
      <c r="CH139" t="s">
        <v>2631</v>
      </c>
    </row>
    <row r="140" spans="2:88" ht="41.25" customHeight="1" x14ac:dyDescent="0.25">
      <c r="B140" s="791" t="s">
        <v>1436</v>
      </c>
      <c r="C140" s="771" t="s">
        <v>35</v>
      </c>
      <c r="D140" s="772" t="s">
        <v>34</v>
      </c>
      <c r="E140" s="771" t="str">
        <f>Msa</f>
        <v>Média support d'archive</v>
      </c>
      <c r="F140" s="768" t="str">
        <f>Dive</f>
        <v>Divulgation de données</v>
      </c>
      <c r="G140" s="768" t="s">
        <v>1077</v>
      </c>
      <c r="H140" s="768"/>
      <c r="I140" s="771" t="s">
        <v>1204</v>
      </c>
      <c r="J140" s="769"/>
      <c r="K140" s="769" t="s">
        <v>2458</v>
      </c>
      <c r="L140" s="769"/>
      <c r="M140" s="795"/>
      <c r="N140" s="767"/>
      <c r="O140" s="767"/>
      <c r="P140" s="772"/>
      <c r="Q140" s="803"/>
      <c r="R140" s="803"/>
      <c r="S140" s="804"/>
      <c r="T140" s="772"/>
      <c r="U140" s="772"/>
      <c r="V140" s="805"/>
      <c r="W140" s="767"/>
      <c r="X140" s="767"/>
      <c r="Y140" s="772"/>
      <c r="Z140" s="772"/>
      <c r="AA140" s="772"/>
      <c r="AB140" s="805"/>
      <c r="AC140" s="806"/>
      <c r="AD140" s="806"/>
      <c r="AE140" s="806"/>
      <c r="AF140" s="806"/>
      <c r="AG140" s="806"/>
      <c r="AH140" s="805"/>
      <c r="AI140" s="807" t="str">
        <f t="shared" si="57"/>
        <v/>
      </c>
      <c r="AJ140" s="805"/>
      <c r="AK140" s="359"/>
      <c r="AM140" t="str">
        <f t="shared" si="63"/>
        <v/>
      </c>
      <c r="AN140">
        <f t="shared" si="64"/>
        <v>0</v>
      </c>
      <c r="AW140" s="882">
        <f t="shared" si="53"/>
        <v>0</v>
      </c>
      <c r="AX140" s="882">
        <f t="shared" si="58"/>
        <v>1</v>
      </c>
      <c r="AY140" s="882">
        <f t="shared" si="59"/>
        <v>1</v>
      </c>
      <c r="AZ140" s="927">
        <f t="shared" si="60"/>
        <v>1</v>
      </c>
      <c r="BA140" s="882">
        <v>1</v>
      </c>
      <c r="BB140" s="925">
        <f t="shared" si="65"/>
        <v>0</v>
      </c>
      <c r="BC140" s="882">
        <f t="shared" si="61"/>
        <v>1</v>
      </c>
      <c r="BD140" s="342" t="e">
        <f>IF(AND($BC140=0,C140=Tab_sel!$P$7,$D140=Tab_sel!$O$24,$E140=Tab_sel!$B$31),1,"")</f>
        <v>#N/A</v>
      </c>
      <c r="BE140" s="322" t="e">
        <f>IF(AND($BC140=0,C140=Tab_sel!$P$7,$D140=Tab_sel!$O$24,$E140=Tab_sel!$B$32),1,"")</f>
        <v>#N/A</v>
      </c>
      <c r="BF140" s="322" t="e">
        <f>IF(AND($BC140=0,C140=Tab_sel!$P$7,$D140=Tab_sel!$O$24,$E140=Tab_sel!$B$33),1,"")</f>
        <v>#N/A</v>
      </c>
      <c r="BG140" s="322" t="e">
        <f>IF(AND($BC140=0,C140=Tab_sel!$P$7,$D140=Tab_sel!$O$24,$E140=Tab_sel!$B$34),1,"")</f>
        <v>#N/A</v>
      </c>
      <c r="BH140" s="322" t="e">
        <f>IF(AND($BC140=0,C140=Tab_sel!$P$7,$D140=Tab_sel!$O$24,$E140=Tab_sel!$B$35),1,"")</f>
        <v>#N/A</v>
      </c>
      <c r="BI140" s="343" t="e">
        <f>IF(AND($BC140=0,C140=Tab_sel!$P$7,$D140=Tab_sel!$O$24,$E140=Tab_sel!$B$36),1,"")</f>
        <v>#N/A</v>
      </c>
      <c r="BJ140" s="342" t="e">
        <f>IF(AND($BC140=0,$C140=Tab_sel!$P$7,$D140=Tab_sel!$O$24,$E140=Tab_sel!$N$31,$F140=Tab_sel!$B$40),1,"")</f>
        <v>#N/A</v>
      </c>
      <c r="BK140" s="322" t="e">
        <f>IF(AND($BC140=0,$C140=Tab_sel!$P$7,$D140=Tab_sel!$O$24,$E140=Tab_sel!$N$31,$F140=Tab_sel!$B$41),1,"")</f>
        <v>#N/A</v>
      </c>
      <c r="BL140" s="322" t="e">
        <f>IF(AND($BC140=0,$C140=Tab_sel!$P$7,$D140=Tab_sel!$O$24,$E140=Tab_sel!$N$31,$F140=Tab_sel!$B$42),1,"")</f>
        <v>#N/A</v>
      </c>
      <c r="BM140" s="322" t="e">
        <f>IF(AND($BC140=0,$C140=Tab_sel!$P$7,$D140=Tab_sel!$O$24,$E140=Tab_sel!$N$31,$F140=Tab_sel!$B$43),1,"")</f>
        <v>#N/A</v>
      </c>
      <c r="BN140" s="322" t="e">
        <f>IF(AND($BC140=0,$C140=Tab_sel!$P$7,$D140=Tab_sel!$O$24,$E140=Tab_sel!$N$31,$F140=Tab_sel!$B$44),1,"")</f>
        <v>#N/A</v>
      </c>
      <c r="BO140" s="343" t="e">
        <f>IF(AND($BC140=0,$C140=Tab_sel!$P$7,$D140=Tab_sel!$O$24,$E140=Tab_sel!$N$31,$F140=Tab_sel!$B$45),1,"")</f>
        <v>#N/A</v>
      </c>
      <c r="BP140" s="354" t="e">
        <f>IF(AND($BC140=0,$C140=Tab_sel!$P$7,$D140=Tab_sel!$O$24,$E140=Tab_sel!$N$31,$F140=Tab_sel!$N$40,$I140=Tab_sel!$B$61),1,"")</f>
        <v>#N/A</v>
      </c>
      <c r="BQ140" s="355" t="e">
        <f>IF(AND($BC140=0,$C140=Tab_sel!$P$7,$D140=Tab_sel!$O$24,$E140=Tab_sel!$N$31,$F140=Tab_sel!$N$40,$I140=Tab_sel!$B$62),1,"")</f>
        <v>#N/A</v>
      </c>
      <c r="BR140" s="355" t="e">
        <f>IF(AND($BC140=0,$C140=Tab_sel!$P$7,$D140=Tab_sel!$O$24,$E140=Tab_sel!$N$31,$F140=Tab_sel!$N$40,$I140=Tab_sel!$B$63),1,"")</f>
        <v>#N/A</v>
      </c>
      <c r="BS140" s="355" t="e">
        <f>IF(AND($BC140=0,$C140=Tab_sel!$P$7,$D140=Tab_sel!$O$24,$E140=Tab_sel!$N$31,$F140=Tab_sel!$N$40,$I140=Tab_sel!$B$64),1,"")</f>
        <v>#N/A</v>
      </c>
      <c r="BT140" s="356" t="e">
        <f>IF(AND($BC140=0,$C140=Tab_sel!$P$7,$D140=Tab_sel!$O$24,$E140=Tab_sel!$N$31,$F140=Tab_sel!$N$40,$I140=Tab_sel!$B$65),1,"")</f>
        <v>#N/A</v>
      </c>
      <c r="BU140" s="856" t="e">
        <f>IF(AND($BC140=0,$C140=Tab_sel!$P$7,$D140=Tab_sel!$O$24,$E140=Tab_sel!$N$31,$F140=Tab_sel!$N$40,$I140=Tab_sel!$P$61,$H140=Tab_sel!$B$77),1,"")</f>
        <v>#N/A</v>
      </c>
      <c r="BV140" s="883" t="e">
        <f>IF(AND($BC140=0,$C140=Tab_sel!$P$7,$D140=Tab_sel!$O$24,$E140=Tab_sel!$N$31,$F140=Tab_sel!$N$40,$I140=Tab_sel!$P$61,$H140=Tab_sel!$B$78),1,"")</f>
        <v>#N/A</v>
      </c>
      <c r="BW140" s="883" t="e">
        <f>IF(AND($BC140=0,$C140=Tab_sel!$P$7,$D140=Tab_sel!$O$24,$E140=Tab_sel!$N$31,$F140=Tab_sel!$N$40,$I140=Tab_sel!$P$61,$H140=Tab_sel!$B$79),1,"")</f>
        <v>#N/A</v>
      </c>
      <c r="BX140" s="883" t="e">
        <f>IF(AND($BC140=0,$C140=Tab_sel!$P$7,$D140=Tab_sel!$O$24,$E140=Tab_sel!$N$31,$F140=Tab_sel!$N$40,$I140=Tab_sel!$P$61,$H140=Tab_sel!$B$80),1,"")</f>
        <v>#N/A</v>
      </c>
      <c r="BY140" s="883" t="e">
        <f>IF(AND($BC140=0,$C140=Tab_sel!$P$7,$D140=Tab_sel!$O$24,$E140=Tab_sel!$N$31,$F140=Tab_sel!$N$40,$I140=Tab_sel!$P$61,$H140=Tab_sel!$B$81),1,"")</f>
        <v>#N/A</v>
      </c>
      <c r="BZ140" s="857" t="e">
        <f>IF(AND($BC140=0,$C140=Tab_sel!$P$7,$D140=Tab_sel!$O$24,$E140=Tab_sel!$N$31,$F140=Tab_sel!$N$40,$I140=Tab_sel!$P$61,$H140=Tab_sel!$B$82),1,"")</f>
        <v>#N/A</v>
      </c>
      <c r="CA140" s="359"/>
      <c r="CC140">
        <f t="shared" si="54"/>
        <v>0</v>
      </c>
      <c r="CD140" s="882">
        <f t="shared" si="55"/>
        <v>0</v>
      </c>
      <c r="CE140" s="882">
        <f t="shared" si="56"/>
        <v>0</v>
      </c>
      <c r="CH140" t="s">
        <v>2659</v>
      </c>
    </row>
    <row r="141" spans="2:88" ht="20.25" customHeight="1" x14ac:dyDescent="0.25">
      <c r="B141" s="825" t="s">
        <v>2004</v>
      </c>
      <c r="C141" s="1024" t="str">
        <f>Dpu</f>
        <v xml:space="preserve">Données et informations publiées </v>
      </c>
      <c r="D141" s="1024"/>
      <c r="E141" s="1024"/>
      <c r="F141" s="1024"/>
      <c r="G141" s="1024"/>
      <c r="H141" s="1024"/>
      <c r="I141" s="1024"/>
      <c r="J141" s="1024"/>
      <c r="K141" s="1024"/>
      <c r="L141" s="1024"/>
      <c r="M141" s="1025"/>
      <c r="N141" s="826"/>
      <c r="O141" s="826"/>
      <c r="P141" s="827"/>
      <c r="Q141" s="828"/>
      <c r="R141" s="828"/>
      <c r="S141" s="829"/>
      <c r="T141" s="827"/>
      <c r="U141" s="827"/>
      <c r="V141" s="830"/>
      <c r="W141" s="826"/>
      <c r="X141" s="826"/>
      <c r="Y141" s="827"/>
      <c r="Z141" s="827"/>
      <c r="AA141" s="827"/>
      <c r="AB141" s="830"/>
      <c r="AC141" s="831"/>
      <c r="AD141" s="831"/>
      <c r="AE141" s="831"/>
      <c r="AF141" s="831"/>
      <c r="AG141" s="831"/>
      <c r="AH141" s="830"/>
      <c r="AI141" s="807" t="str">
        <f t="shared" si="57"/>
        <v/>
      </c>
      <c r="AJ141" s="830"/>
      <c r="AK141" s="359"/>
      <c r="AW141" s="882"/>
      <c r="AX141" s="882"/>
      <c r="AY141" s="882"/>
      <c r="AZ141" s="927"/>
      <c r="BA141" s="882"/>
      <c r="BB141" s="925"/>
      <c r="BC141" s="882"/>
      <c r="BD141" s="342"/>
      <c r="BE141" s="322"/>
      <c r="BF141" s="322"/>
      <c r="BG141" s="322"/>
      <c r="BH141" s="322"/>
      <c r="BI141" s="343"/>
      <c r="BJ141" s="342"/>
      <c r="BK141" s="322"/>
      <c r="BL141" s="322"/>
      <c r="BM141" s="322"/>
      <c r="BN141" s="322"/>
      <c r="BO141" s="343"/>
      <c r="BP141" s="354"/>
      <c r="BQ141" s="355"/>
      <c r="BR141" s="355"/>
      <c r="BS141" s="355"/>
      <c r="BT141" s="356"/>
      <c r="BU141" s="856"/>
      <c r="BV141" s="883"/>
      <c r="BW141" s="883"/>
      <c r="BX141" s="883"/>
      <c r="BY141" s="883"/>
      <c r="BZ141" s="857"/>
      <c r="CA141" s="359"/>
      <c r="CC141">
        <f t="shared" si="54"/>
        <v>0</v>
      </c>
      <c r="CD141" s="882">
        <f t="shared" si="55"/>
        <v>0</v>
      </c>
      <c r="CE141" s="882">
        <f t="shared" si="56"/>
        <v>0</v>
      </c>
    </row>
    <row r="142" spans="2:88" ht="54.75" customHeight="1" x14ac:dyDescent="0.25">
      <c r="B142" s="791" t="s">
        <v>2005</v>
      </c>
      <c r="C142" s="771" t="s">
        <v>1133</v>
      </c>
      <c r="D142" s="772" t="s">
        <v>76</v>
      </c>
      <c r="E142" s="771" t="str">
        <f>Fic</f>
        <v xml:space="preserve">Fichier ou base de données </v>
      </c>
      <c r="F142" s="768" t="str">
        <f>Disp</f>
        <v>Disparition</v>
      </c>
      <c r="G142" s="768" t="s">
        <v>1406</v>
      </c>
      <c r="H142" s="768"/>
      <c r="I142" s="771" t="s">
        <v>1171</v>
      </c>
      <c r="J142" s="769"/>
      <c r="K142" s="769"/>
      <c r="L142" s="769" t="s">
        <v>2042</v>
      </c>
      <c r="M142" s="788" t="s">
        <v>1259</v>
      </c>
      <c r="N142" s="767"/>
      <c r="O142" s="767"/>
      <c r="P142" s="772"/>
      <c r="Q142" s="803"/>
      <c r="R142" s="803"/>
      <c r="S142" s="804"/>
      <c r="T142" s="772"/>
      <c r="U142" s="772"/>
      <c r="V142" s="805"/>
      <c r="W142" s="767"/>
      <c r="X142" s="767"/>
      <c r="Y142" s="772"/>
      <c r="Z142" s="772"/>
      <c r="AA142" s="772"/>
      <c r="AB142" s="805"/>
      <c r="AC142" s="806"/>
      <c r="AD142" s="806"/>
      <c r="AE142" s="806"/>
      <c r="AF142" s="806"/>
      <c r="AG142" s="806"/>
      <c r="AH142" s="805"/>
      <c r="AI142" s="807" t="str">
        <f t="shared" si="57"/>
        <v/>
      </c>
      <c r="AJ142" s="805"/>
      <c r="AK142" s="359"/>
      <c r="AM142" t="str">
        <f t="shared" si="63"/>
        <v/>
      </c>
      <c r="AN142">
        <f t="shared" si="64"/>
        <v>0</v>
      </c>
      <c r="AW142" s="882">
        <f t="shared" si="53"/>
        <v>0</v>
      </c>
      <c r="AX142" s="882">
        <f>VLOOKUP(E142,Tab_ActS,2,FALSE)</f>
        <v>1</v>
      </c>
      <c r="AY142" s="882">
        <f>VLOOKUP(F142,Tab_SDom,3,FALSE)</f>
        <v>1</v>
      </c>
      <c r="AZ142" s="927">
        <f>VLOOKUP($I142,Tabexpo,8,FALSE)</f>
        <v>1</v>
      </c>
      <c r="BA142" s="882">
        <v>1</v>
      </c>
      <c r="BB142" s="925">
        <f t="shared" si="65"/>
        <v>0</v>
      </c>
      <c r="BC142" s="882">
        <f>IF(IndS=FALSE,IF(BB142=1,0,1),IF(BB142=0,1,AV142))</f>
        <v>1</v>
      </c>
      <c r="BD142" s="342" t="e">
        <f>IF(AND($BC142=0,C142=Tab_sel!$P$7,$D142=Tab_sel!$O$24,$E142=Tab_sel!$B$31),1,"")</f>
        <v>#N/A</v>
      </c>
      <c r="BE142" s="322" t="e">
        <f>IF(AND($BC142=0,C142=Tab_sel!$P$7,$D142=Tab_sel!$O$24,$E142=Tab_sel!$B$32),1,"")</f>
        <v>#N/A</v>
      </c>
      <c r="BF142" s="322" t="e">
        <f>IF(AND($BC142=0,C142=Tab_sel!$P$7,$D142=Tab_sel!$O$24,$E142=Tab_sel!$B$33),1,"")</f>
        <v>#N/A</v>
      </c>
      <c r="BG142" s="322" t="e">
        <f>IF(AND($BC142=0,C142=Tab_sel!$P$7,$D142=Tab_sel!$O$24,$E142=Tab_sel!$B$34),1,"")</f>
        <v>#N/A</v>
      </c>
      <c r="BH142" s="322" t="e">
        <f>IF(AND($BC142=0,C142=Tab_sel!$P$7,$D142=Tab_sel!$O$24,$E142=Tab_sel!$B$35),1,"")</f>
        <v>#N/A</v>
      </c>
      <c r="BI142" s="343" t="e">
        <f>IF(AND($BC142=0,C142=Tab_sel!$P$7,$D142=Tab_sel!$O$24,$E142=Tab_sel!$B$36),1,"")</f>
        <v>#N/A</v>
      </c>
      <c r="BJ142" s="342" t="e">
        <f>IF(AND($BC142=0,$C142=Tab_sel!$P$7,$D142=Tab_sel!$O$24,$E142=Tab_sel!$N$31,$F142=Tab_sel!$B$40),1,"")</f>
        <v>#N/A</v>
      </c>
      <c r="BK142" s="322" t="e">
        <f>IF(AND($BC142=0,$C142=Tab_sel!$P$7,$D142=Tab_sel!$O$24,$E142=Tab_sel!$N$31,$F142=Tab_sel!$B$41),1,"")</f>
        <v>#N/A</v>
      </c>
      <c r="BL142" s="322" t="e">
        <f>IF(AND($BC142=0,$C142=Tab_sel!$P$7,$D142=Tab_sel!$O$24,$E142=Tab_sel!$N$31,$F142=Tab_sel!$B$42),1,"")</f>
        <v>#N/A</v>
      </c>
      <c r="BM142" s="322" t="e">
        <f>IF(AND($BC142=0,$C142=Tab_sel!$P$7,$D142=Tab_sel!$O$24,$E142=Tab_sel!$N$31,$F142=Tab_sel!$B$43),1,"")</f>
        <v>#N/A</v>
      </c>
      <c r="BN142" s="322" t="e">
        <f>IF(AND($BC142=0,$C142=Tab_sel!$P$7,$D142=Tab_sel!$O$24,$E142=Tab_sel!$N$31,$F142=Tab_sel!$B$44),1,"")</f>
        <v>#N/A</v>
      </c>
      <c r="BO142" s="343" t="e">
        <f>IF(AND($BC142=0,$C142=Tab_sel!$P$7,$D142=Tab_sel!$O$24,$E142=Tab_sel!$N$31,$F142=Tab_sel!$B$45),1,"")</f>
        <v>#N/A</v>
      </c>
      <c r="BP142" s="354" t="e">
        <f>IF(AND($BC142=0,$C142=Tab_sel!$P$7,$D142=Tab_sel!$O$24,$E142=Tab_sel!$N$31,$F142=Tab_sel!$N$40,$I142=Tab_sel!$B$61),1,"")</f>
        <v>#N/A</v>
      </c>
      <c r="BQ142" s="355" t="e">
        <f>IF(AND($BC142=0,$C142=Tab_sel!$P$7,$D142=Tab_sel!$O$24,$E142=Tab_sel!$N$31,$F142=Tab_sel!$N$40,$I142=Tab_sel!$B$62),1,"")</f>
        <v>#N/A</v>
      </c>
      <c r="BR142" s="355" t="e">
        <f>IF(AND($BC142=0,$C142=Tab_sel!$P$7,$D142=Tab_sel!$O$24,$E142=Tab_sel!$N$31,$F142=Tab_sel!$N$40,$I142=Tab_sel!$B$63),1,"")</f>
        <v>#N/A</v>
      </c>
      <c r="BS142" s="355" t="e">
        <f>IF(AND($BC142=0,$C142=Tab_sel!$P$7,$D142=Tab_sel!$O$24,$E142=Tab_sel!$N$31,$F142=Tab_sel!$N$40,$I142=Tab_sel!$B$64),1,"")</f>
        <v>#N/A</v>
      </c>
      <c r="BT142" s="356" t="e">
        <f>IF(AND($BC142=0,$C142=Tab_sel!$P$7,$D142=Tab_sel!$O$24,$E142=Tab_sel!$N$31,$F142=Tab_sel!$N$40,$I142=Tab_sel!$B$65),1,"")</f>
        <v>#N/A</v>
      </c>
      <c r="BU142" s="856" t="e">
        <f>IF(AND($BC142=0,$C142=Tab_sel!$P$7,$D142=Tab_sel!$O$24,$E142=Tab_sel!$N$31,$F142=Tab_sel!$N$40,$I142=Tab_sel!$P$61,$H142=Tab_sel!$B$77),1,"")</f>
        <v>#N/A</v>
      </c>
      <c r="BV142" s="883" t="e">
        <f>IF(AND($BC142=0,$C142=Tab_sel!$P$7,$D142=Tab_sel!$O$24,$E142=Tab_sel!$N$31,$F142=Tab_sel!$N$40,$I142=Tab_sel!$P$61,$H142=Tab_sel!$B$78),1,"")</f>
        <v>#N/A</v>
      </c>
      <c r="BW142" s="883" t="e">
        <f>IF(AND($BC142=0,$C142=Tab_sel!$P$7,$D142=Tab_sel!$O$24,$E142=Tab_sel!$N$31,$F142=Tab_sel!$N$40,$I142=Tab_sel!$P$61,$H142=Tab_sel!$B$79),1,"")</f>
        <v>#N/A</v>
      </c>
      <c r="BX142" s="883" t="e">
        <f>IF(AND($BC142=0,$C142=Tab_sel!$P$7,$D142=Tab_sel!$O$24,$E142=Tab_sel!$N$31,$F142=Tab_sel!$N$40,$I142=Tab_sel!$P$61,$H142=Tab_sel!$B$80),1,"")</f>
        <v>#N/A</v>
      </c>
      <c r="BY142" s="883" t="e">
        <f>IF(AND($BC142=0,$C142=Tab_sel!$P$7,$D142=Tab_sel!$O$24,$E142=Tab_sel!$N$31,$F142=Tab_sel!$N$40,$I142=Tab_sel!$P$61,$H142=Tab_sel!$B$81),1,"")</f>
        <v>#N/A</v>
      </c>
      <c r="BZ142" s="857" t="e">
        <f>IF(AND($BC142=0,$C142=Tab_sel!$P$7,$D142=Tab_sel!$O$24,$E142=Tab_sel!$N$31,$F142=Tab_sel!$N$40,$I142=Tab_sel!$P$61,$H142=Tab_sel!$B$82),1,"")</f>
        <v>#N/A</v>
      </c>
      <c r="CA142" s="359"/>
      <c r="CC142">
        <f t="shared" si="54"/>
        <v>0</v>
      </c>
      <c r="CD142" s="882">
        <f t="shared" si="55"/>
        <v>0</v>
      </c>
      <c r="CE142" s="882">
        <f t="shared" si="56"/>
        <v>0</v>
      </c>
      <c r="CI142" t="s">
        <v>2660</v>
      </c>
      <c r="CJ142" t="s">
        <v>2611</v>
      </c>
    </row>
    <row r="143" spans="2:88" ht="52.8" x14ac:dyDescent="0.25">
      <c r="B143" s="791" t="s">
        <v>2006</v>
      </c>
      <c r="C143" s="771" t="s">
        <v>1133</v>
      </c>
      <c r="D143" s="772" t="s">
        <v>23</v>
      </c>
      <c r="E143" s="771" t="str">
        <f>Fic</f>
        <v xml:space="preserve">Fichier ou base de données </v>
      </c>
      <c r="F143" s="768" t="str">
        <f>Altd</f>
        <v>Altération (non détectée) de donnée</v>
      </c>
      <c r="G143" s="768" t="s">
        <v>1107</v>
      </c>
      <c r="H143" s="768"/>
      <c r="I143" s="771" t="s">
        <v>1198</v>
      </c>
      <c r="J143" s="769" t="s">
        <v>2537</v>
      </c>
      <c r="K143" s="769" t="s">
        <v>2451</v>
      </c>
      <c r="L143" s="769" t="s">
        <v>2042</v>
      </c>
      <c r="M143" s="790"/>
      <c r="N143" s="767"/>
      <c r="O143" s="767"/>
      <c r="P143" s="772"/>
      <c r="Q143" s="803"/>
      <c r="R143" s="803"/>
      <c r="S143" s="804"/>
      <c r="T143" s="772"/>
      <c r="U143" s="772"/>
      <c r="V143" s="805"/>
      <c r="W143" s="767"/>
      <c r="X143" s="767"/>
      <c r="Y143" s="772"/>
      <c r="Z143" s="772"/>
      <c r="AA143" s="772"/>
      <c r="AB143" s="805"/>
      <c r="AC143" s="806"/>
      <c r="AD143" s="806"/>
      <c r="AE143" s="806"/>
      <c r="AF143" s="806"/>
      <c r="AG143" s="806"/>
      <c r="AH143" s="805"/>
      <c r="AI143" s="807" t="str">
        <f t="shared" si="57"/>
        <v/>
      </c>
      <c r="AJ143" s="805"/>
      <c r="AK143" s="359"/>
      <c r="AM143" t="str">
        <f t="shared" si="63"/>
        <v/>
      </c>
      <c r="AN143">
        <f t="shared" si="64"/>
        <v>0</v>
      </c>
      <c r="AW143" s="882">
        <f t="shared" si="53"/>
        <v>0</v>
      </c>
      <c r="AX143" s="882">
        <f>VLOOKUP(E143,Tab_ActS,2,FALSE)</f>
        <v>1</v>
      </c>
      <c r="AY143" s="882">
        <f>VLOOKUP(F143,Tab_SDom,3,FALSE)</f>
        <v>1</v>
      </c>
      <c r="AZ143" s="927">
        <f>VLOOKUP($I143,Tabexpo,8,FALSE)</f>
        <v>1</v>
      </c>
      <c r="BA143" s="882">
        <v>1</v>
      </c>
      <c r="BB143" s="925">
        <f t="shared" si="65"/>
        <v>0</v>
      </c>
      <c r="BC143" s="882">
        <f>IF(IndS=FALSE,IF(BB143=1,0,1),IF(BB143=0,1,AV143))</f>
        <v>1</v>
      </c>
      <c r="BD143" s="342" t="e">
        <f>IF(AND($BC143=0,C143=Tab_sel!$P$7,$D143=Tab_sel!$O$24,$E143=Tab_sel!$B$31),1,"")</f>
        <v>#N/A</v>
      </c>
      <c r="BE143" s="322" t="e">
        <f>IF(AND($BC143=0,C143=Tab_sel!$P$7,$D143=Tab_sel!$O$24,$E143=Tab_sel!$B$32),1,"")</f>
        <v>#N/A</v>
      </c>
      <c r="BF143" s="322" t="e">
        <f>IF(AND($BC143=0,C143=Tab_sel!$P$7,$D143=Tab_sel!$O$24,$E143=Tab_sel!$B$33),1,"")</f>
        <v>#N/A</v>
      </c>
      <c r="BG143" s="322" t="e">
        <f>IF(AND($BC143=0,C143=Tab_sel!$P$7,$D143=Tab_sel!$O$24,$E143=Tab_sel!$B$34),1,"")</f>
        <v>#N/A</v>
      </c>
      <c r="BH143" s="322" t="e">
        <f>IF(AND($BC143=0,C143=Tab_sel!$P$7,$D143=Tab_sel!$O$24,$E143=Tab_sel!$B$35),1,"")</f>
        <v>#N/A</v>
      </c>
      <c r="BI143" s="343" t="e">
        <f>IF(AND($BC143=0,C143=Tab_sel!$P$7,$D143=Tab_sel!$O$24,$E143=Tab_sel!$B$36),1,"")</f>
        <v>#N/A</v>
      </c>
      <c r="BJ143" s="342" t="e">
        <f>IF(AND($BC143=0,$C143=Tab_sel!$P$7,$D143=Tab_sel!$O$24,$E143=Tab_sel!$N$31,$F143=Tab_sel!$B$40),1,"")</f>
        <v>#N/A</v>
      </c>
      <c r="BK143" s="322" t="e">
        <f>IF(AND($BC143=0,$C143=Tab_sel!$P$7,$D143=Tab_sel!$O$24,$E143=Tab_sel!$N$31,$F143=Tab_sel!$B$41),1,"")</f>
        <v>#N/A</v>
      </c>
      <c r="BL143" s="322" t="e">
        <f>IF(AND($BC143=0,$C143=Tab_sel!$P$7,$D143=Tab_sel!$O$24,$E143=Tab_sel!$N$31,$F143=Tab_sel!$B$42),1,"")</f>
        <v>#N/A</v>
      </c>
      <c r="BM143" s="322" t="e">
        <f>IF(AND($BC143=0,$C143=Tab_sel!$P$7,$D143=Tab_sel!$O$24,$E143=Tab_sel!$N$31,$F143=Tab_sel!$B$43),1,"")</f>
        <v>#N/A</v>
      </c>
      <c r="BN143" s="322" t="e">
        <f>IF(AND($BC143=0,$C143=Tab_sel!$P$7,$D143=Tab_sel!$O$24,$E143=Tab_sel!$N$31,$F143=Tab_sel!$B$44),1,"")</f>
        <v>#N/A</v>
      </c>
      <c r="BO143" s="343" t="e">
        <f>IF(AND($BC143=0,$C143=Tab_sel!$P$7,$D143=Tab_sel!$O$24,$E143=Tab_sel!$N$31,$F143=Tab_sel!$B$45),1,"")</f>
        <v>#N/A</v>
      </c>
      <c r="BP143" s="354" t="e">
        <f>IF(AND($BC143=0,$C143=Tab_sel!$P$7,$D143=Tab_sel!$O$24,$E143=Tab_sel!$N$31,$F143=Tab_sel!$N$40,$I143=Tab_sel!$B$61),1,"")</f>
        <v>#N/A</v>
      </c>
      <c r="BQ143" s="355" t="e">
        <f>IF(AND($BC143=0,$C143=Tab_sel!$P$7,$D143=Tab_sel!$O$24,$E143=Tab_sel!$N$31,$F143=Tab_sel!$N$40,$I143=Tab_sel!$B$62),1,"")</f>
        <v>#N/A</v>
      </c>
      <c r="BR143" s="355" t="e">
        <f>IF(AND($BC143=0,$C143=Tab_sel!$P$7,$D143=Tab_sel!$O$24,$E143=Tab_sel!$N$31,$F143=Tab_sel!$N$40,$I143=Tab_sel!$B$63),1,"")</f>
        <v>#N/A</v>
      </c>
      <c r="BS143" s="355" t="e">
        <f>IF(AND($BC143=0,$C143=Tab_sel!$P$7,$D143=Tab_sel!$O$24,$E143=Tab_sel!$N$31,$F143=Tab_sel!$N$40,$I143=Tab_sel!$B$64),1,"")</f>
        <v>#N/A</v>
      </c>
      <c r="BT143" s="356" t="e">
        <f>IF(AND($BC143=0,$C143=Tab_sel!$P$7,$D143=Tab_sel!$O$24,$E143=Tab_sel!$N$31,$F143=Tab_sel!$N$40,$I143=Tab_sel!$B$65),1,"")</f>
        <v>#N/A</v>
      </c>
      <c r="BU143" s="856" t="e">
        <f>IF(AND($BC143=0,$C143=Tab_sel!$P$7,$D143=Tab_sel!$O$24,$E143=Tab_sel!$N$31,$F143=Tab_sel!$N$40,$I143=Tab_sel!$P$61,$H143=Tab_sel!$B$77),1,"")</f>
        <v>#N/A</v>
      </c>
      <c r="BV143" s="883" t="e">
        <f>IF(AND($BC143=0,$C143=Tab_sel!$P$7,$D143=Tab_sel!$O$24,$E143=Tab_sel!$N$31,$F143=Tab_sel!$N$40,$I143=Tab_sel!$P$61,$H143=Tab_sel!$B$78),1,"")</f>
        <v>#N/A</v>
      </c>
      <c r="BW143" s="883" t="e">
        <f>IF(AND($BC143=0,$C143=Tab_sel!$P$7,$D143=Tab_sel!$O$24,$E143=Tab_sel!$N$31,$F143=Tab_sel!$N$40,$I143=Tab_sel!$P$61,$H143=Tab_sel!$B$79),1,"")</f>
        <v>#N/A</v>
      </c>
      <c r="BX143" s="883" t="e">
        <f>IF(AND($BC143=0,$C143=Tab_sel!$P$7,$D143=Tab_sel!$O$24,$E143=Tab_sel!$N$31,$F143=Tab_sel!$N$40,$I143=Tab_sel!$P$61,$H143=Tab_sel!$B$80),1,"")</f>
        <v>#N/A</v>
      </c>
      <c r="BY143" s="883" t="e">
        <f>IF(AND($BC143=0,$C143=Tab_sel!$P$7,$D143=Tab_sel!$O$24,$E143=Tab_sel!$N$31,$F143=Tab_sel!$N$40,$I143=Tab_sel!$P$61,$H143=Tab_sel!$B$81),1,"")</f>
        <v>#N/A</v>
      </c>
      <c r="BZ143" s="857" t="e">
        <f>IF(AND($BC143=0,$C143=Tab_sel!$P$7,$D143=Tab_sel!$O$24,$E143=Tab_sel!$N$31,$F143=Tab_sel!$N$40,$I143=Tab_sel!$P$61,$H143=Tab_sel!$B$82),1,"")</f>
        <v>#N/A</v>
      </c>
      <c r="CA143" s="359"/>
      <c r="CC143">
        <f t="shared" si="54"/>
        <v>0</v>
      </c>
      <c r="CD143" s="882">
        <f t="shared" si="55"/>
        <v>0</v>
      </c>
      <c r="CE143" s="882">
        <f t="shared" si="56"/>
        <v>0</v>
      </c>
      <c r="CG143" t="s">
        <v>2609</v>
      </c>
      <c r="CH143" t="s">
        <v>2661</v>
      </c>
      <c r="CI143" t="s">
        <v>2660</v>
      </c>
    </row>
    <row r="144" spans="2:88" ht="39.6" x14ac:dyDescent="0.25">
      <c r="B144" s="791" t="s">
        <v>2412</v>
      </c>
      <c r="C144" s="874" t="s">
        <v>1133</v>
      </c>
      <c r="D144" s="875" t="s">
        <v>23</v>
      </c>
      <c r="E144" s="771" t="str">
        <f>Fic</f>
        <v xml:space="preserve">Fichier ou base de données </v>
      </c>
      <c r="F144" s="768" t="str">
        <f>Altd</f>
        <v>Altération (non détectée) de donnée</v>
      </c>
      <c r="G144" s="876" t="s">
        <v>1107</v>
      </c>
      <c r="H144" s="876" t="s">
        <v>2592</v>
      </c>
      <c r="I144" s="874" t="s">
        <v>1198</v>
      </c>
      <c r="J144" s="877" t="s">
        <v>2537</v>
      </c>
      <c r="K144" s="877" t="s">
        <v>2042</v>
      </c>
      <c r="L144" s="877" t="s">
        <v>2042</v>
      </c>
      <c r="M144" s="790" t="s">
        <v>2350</v>
      </c>
      <c r="N144" s="851"/>
      <c r="O144" s="851"/>
      <c r="P144" s="875"/>
      <c r="Q144" s="803"/>
      <c r="R144" s="803"/>
      <c r="S144" s="804"/>
      <c r="T144" s="875"/>
      <c r="U144" s="875"/>
      <c r="V144" s="805"/>
      <c r="W144" s="851"/>
      <c r="X144" s="851"/>
      <c r="Y144" s="875"/>
      <c r="Z144" s="875"/>
      <c r="AA144" s="875"/>
      <c r="AB144" s="805"/>
      <c r="AC144" s="806"/>
      <c r="AD144" s="806"/>
      <c r="AE144" s="806"/>
      <c r="AF144" s="806"/>
      <c r="AG144" s="806"/>
      <c r="AH144" s="805"/>
      <c r="AI144" s="807" t="str">
        <f t="shared" si="57"/>
        <v/>
      </c>
      <c r="AJ144" s="805"/>
      <c r="AK144" s="359"/>
      <c r="AM144" t="str">
        <f t="shared" si="63"/>
        <v/>
      </c>
      <c r="AN144">
        <f t="shared" si="64"/>
        <v>0</v>
      </c>
      <c r="AV144" s="882"/>
      <c r="AW144" s="882">
        <f t="shared" si="53"/>
        <v>0</v>
      </c>
      <c r="AX144" s="882">
        <f>VLOOKUP(E144,Tab_ActS,2,FALSE)</f>
        <v>1</v>
      </c>
      <c r="AY144" s="882">
        <f>VLOOKUP(F144,Tab_SDom,3,FALSE)</f>
        <v>1</v>
      </c>
      <c r="AZ144" s="927">
        <f>VLOOKUP($I144,Tabexpo,8,FALSE)</f>
        <v>1</v>
      </c>
      <c r="BA144" s="882">
        <v>0</v>
      </c>
      <c r="BB144" s="925">
        <f t="shared" si="65"/>
        <v>0</v>
      </c>
      <c r="BC144" s="882">
        <f>IF(IndS=FALSE,IF(BB144=1,0,1),IF(BB144=0,1,AV144))</f>
        <v>1</v>
      </c>
      <c r="BD144" s="342" t="e">
        <f>IF(AND($BC144=0,C144=Tab_sel!$P$7,$D144=Tab_sel!$O$24,$E144=Tab_sel!$B$31),1,"")</f>
        <v>#N/A</v>
      </c>
      <c r="BE144" s="322" t="e">
        <f>IF(AND($BC144=0,C144=Tab_sel!$P$7,$D144=Tab_sel!$O$24,$E144=Tab_sel!$B$32),1,"")</f>
        <v>#N/A</v>
      </c>
      <c r="BF144" s="322" t="e">
        <f>IF(AND($BC144=0,C144=Tab_sel!$P$7,$D144=Tab_sel!$O$24,$E144=Tab_sel!$B$33),1,"")</f>
        <v>#N/A</v>
      </c>
      <c r="BG144" s="322" t="e">
        <f>IF(AND($BC144=0,C144=Tab_sel!$P$7,$D144=Tab_sel!$O$24,$E144=Tab_sel!$B$34),1,"")</f>
        <v>#N/A</v>
      </c>
      <c r="BH144" s="322" t="e">
        <f>IF(AND($BC144=0,C144=Tab_sel!$P$7,$D144=Tab_sel!$O$24,$E144=Tab_sel!$B$35),1,"")</f>
        <v>#N/A</v>
      </c>
      <c r="BI144" s="343" t="e">
        <f>IF(AND($BC144=0,C144=Tab_sel!$P$7,$D144=Tab_sel!$O$24,$E144=Tab_sel!$B$36),1,"")</f>
        <v>#N/A</v>
      </c>
      <c r="BJ144" s="342" t="e">
        <f>IF(AND($BC144=0,$C144=Tab_sel!$P$7,$D144=Tab_sel!$O$24,$E144=Tab_sel!$N$31,$F144=Tab_sel!$B$40),1,"")</f>
        <v>#N/A</v>
      </c>
      <c r="BK144" s="322" t="e">
        <f>IF(AND($BC144=0,$C144=Tab_sel!$P$7,$D144=Tab_sel!$O$24,$E144=Tab_sel!$N$31,$F144=Tab_sel!$B$41),1,"")</f>
        <v>#N/A</v>
      </c>
      <c r="BL144" s="322" t="e">
        <f>IF(AND($BC144=0,$C144=Tab_sel!$P$7,$D144=Tab_sel!$O$24,$E144=Tab_sel!$N$31,$F144=Tab_sel!$B$42),1,"")</f>
        <v>#N/A</v>
      </c>
      <c r="BM144" s="322" t="e">
        <f>IF(AND($BC144=0,$C144=Tab_sel!$P$7,$D144=Tab_sel!$O$24,$E144=Tab_sel!$N$31,$F144=Tab_sel!$B$43),1,"")</f>
        <v>#N/A</v>
      </c>
      <c r="BN144" s="322" t="e">
        <f>IF(AND($BC144=0,$C144=Tab_sel!$P$7,$D144=Tab_sel!$O$24,$E144=Tab_sel!$N$31,$F144=Tab_sel!$B$44),1,"")</f>
        <v>#N/A</v>
      </c>
      <c r="BO144" s="343" t="e">
        <f>IF(AND($BC144=0,$C144=Tab_sel!$P$7,$D144=Tab_sel!$O$24,$E144=Tab_sel!$N$31,$F144=Tab_sel!$B$45),1,"")</f>
        <v>#N/A</v>
      </c>
      <c r="BP144" s="354" t="e">
        <f>IF(AND($BC144=0,$C144=Tab_sel!$P$7,$D144=Tab_sel!$O$24,$E144=Tab_sel!$N$31,$F144=Tab_sel!$N$40,$I144=Tab_sel!$B$61),1,"")</f>
        <v>#N/A</v>
      </c>
      <c r="BQ144" s="355" t="e">
        <f>IF(AND($BC144=0,$C144=Tab_sel!$P$7,$D144=Tab_sel!$O$24,$E144=Tab_sel!$N$31,$F144=Tab_sel!$N$40,$I144=Tab_sel!$B$62),1,"")</f>
        <v>#N/A</v>
      </c>
      <c r="BR144" s="355" t="e">
        <f>IF(AND($BC144=0,$C144=Tab_sel!$P$7,$D144=Tab_sel!$O$24,$E144=Tab_sel!$N$31,$F144=Tab_sel!$N$40,$I144=Tab_sel!$B$63),1,"")</f>
        <v>#N/A</v>
      </c>
      <c r="BS144" s="355" t="e">
        <f>IF(AND($BC144=0,$C144=Tab_sel!$P$7,$D144=Tab_sel!$O$24,$E144=Tab_sel!$N$31,$F144=Tab_sel!$N$40,$I144=Tab_sel!$B$64),1,"")</f>
        <v>#N/A</v>
      </c>
      <c r="BT144" s="356" t="e">
        <f>IF(AND($BC144=0,$C144=Tab_sel!$P$7,$D144=Tab_sel!$O$24,$E144=Tab_sel!$N$31,$F144=Tab_sel!$N$40,$I144=Tab_sel!$B$65),1,"")</f>
        <v>#N/A</v>
      </c>
      <c r="BU144" s="856" t="e">
        <f>IF(AND($BC144=0,$C144=Tab_sel!$P$7,$D144=Tab_sel!$O$24,$E144=Tab_sel!$N$31,$F144=Tab_sel!$N$40,$I144=Tab_sel!$P$61,$H144=Tab_sel!$B$77),1,"")</f>
        <v>#N/A</v>
      </c>
      <c r="BV144" s="883" t="e">
        <f>IF(AND($BC144=0,$C144=Tab_sel!$P$7,$D144=Tab_sel!$O$24,$E144=Tab_sel!$N$31,$F144=Tab_sel!$N$40,$I144=Tab_sel!$P$61,$H144=Tab_sel!$B$78),1,"")</f>
        <v>#N/A</v>
      </c>
      <c r="BW144" s="883" t="e">
        <f>IF(AND($BC144=0,$C144=Tab_sel!$P$7,$D144=Tab_sel!$O$24,$E144=Tab_sel!$N$31,$F144=Tab_sel!$N$40,$I144=Tab_sel!$P$61,$H144=Tab_sel!$B$79),1,"")</f>
        <v>#N/A</v>
      </c>
      <c r="BX144" s="883" t="e">
        <f>IF(AND($BC144=0,$C144=Tab_sel!$P$7,$D144=Tab_sel!$O$24,$E144=Tab_sel!$N$31,$F144=Tab_sel!$N$40,$I144=Tab_sel!$P$61,$H144=Tab_sel!$B$80),1,"")</f>
        <v>#N/A</v>
      </c>
      <c r="BY144" s="883" t="e">
        <f>IF(AND($BC144=0,$C144=Tab_sel!$P$7,$D144=Tab_sel!$O$24,$E144=Tab_sel!$N$31,$F144=Tab_sel!$N$40,$I144=Tab_sel!$P$61,$H144=Tab_sel!$B$81),1,"")</f>
        <v>#N/A</v>
      </c>
      <c r="BZ144" s="857" t="e">
        <f>IF(AND($BC144=0,$C144=Tab_sel!$P$7,$D144=Tab_sel!$O$24,$E144=Tab_sel!$N$31,$F144=Tab_sel!$N$40,$I144=Tab_sel!$P$61,$H144=Tab_sel!$B$82),1,"")</f>
        <v>#N/A</v>
      </c>
      <c r="CA144" s="359"/>
      <c r="CC144">
        <f t="shared" si="54"/>
        <v>0</v>
      </c>
      <c r="CD144" s="882">
        <f t="shared" si="55"/>
        <v>0</v>
      </c>
      <c r="CE144" s="882">
        <f t="shared" si="56"/>
        <v>0</v>
      </c>
      <c r="CG144" t="s">
        <v>2609</v>
      </c>
      <c r="CH144" t="s">
        <v>2660</v>
      </c>
      <c r="CI144" t="s">
        <v>2660</v>
      </c>
    </row>
    <row r="145" spans="2:88" ht="52.8" x14ac:dyDescent="0.25">
      <c r="B145" s="791" t="s">
        <v>2413</v>
      </c>
      <c r="C145" s="874" t="s">
        <v>1133</v>
      </c>
      <c r="D145" s="875" t="s">
        <v>23</v>
      </c>
      <c r="E145" s="771" t="str">
        <f>Fic</f>
        <v xml:space="preserve">Fichier ou base de données </v>
      </c>
      <c r="F145" s="768" t="str">
        <f>Altd</f>
        <v>Altération (non détectée) de donnée</v>
      </c>
      <c r="G145" s="876" t="s">
        <v>1107</v>
      </c>
      <c r="H145" s="876" t="s">
        <v>2288</v>
      </c>
      <c r="I145" s="874" t="s">
        <v>1198</v>
      </c>
      <c r="J145" s="877" t="s">
        <v>2350</v>
      </c>
      <c r="K145" s="877" t="s">
        <v>2451</v>
      </c>
      <c r="L145" s="877" t="s">
        <v>2042</v>
      </c>
      <c r="M145" s="790" t="s">
        <v>2350</v>
      </c>
      <c r="N145" s="851"/>
      <c r="O145" s="851"/>
      <c r="P145" s="875"/>
      <c r="Q145" s="803"/>
      <c r="R145" s="803"/>
      <c r="S145" s="804"/>
      <c r="T145" s="875"/>
      <c r="U145" s="875"/>
      <c r="V145" s="805"/>
      <c r="W145" s="851"/>
      <c r="X145" s="851"/>
      <c r="Y145" s="875"/>
      <c r="Z145" s="875"/>
      <c r="AA145" s="875"/>
      <c r="AB145" s="805"/>
      <c r="AC145" s="806"/>
      <c r="AD145" s="806"/>
      <c r="AE145" s="806"/>
      <c r="AF145" s="806"/>
      <c r="AG145" s="806"/>
      <c r="AH145" s="805"/>
      <c r="AI145" s="807" t="str">
        <f t="shared" si="57"/>
        <v/>
      </c>
      <c r="AJ145" s="805"/>
      <c r="AK145" s="359"/>
      <c r="AM145" t="str">
        <f t="shared" si="63"/>
        <v/>
      </c>
      <c r="AN145">
        <f t="shared" si="64"/>
        <v>0</v>
      </c>
      <c r="AV145" s="882"/>
      <c r="AW145" s="882">
        <f t="shared" si="53"/>
        <v>0</v>
      </c>
      <c r="AX145" s="882">
        <f>VLOOKUP(E145,Tab_ActS,2,FALSE)</f>
        <v>1</v>
      </c>
      <c r="AY145" s="882">
        <f>VLOOKUP(F145,Tab_SDom,3,FALSE)</f>
        <v>1</v>
      </c>
      <c r="AZ145" s="927">
        <f>VLOOKUP($I145,Tabexpo,8,FALSE)</f>
        <v>1</v>
      </c>
      <c r="BA145" s="882">
        <v>0</v>
      </c>
      <c r="BB145" s="925">
        <f t="shared" si="65"/>
        <v>0</v>
      </c>
      <c r="BC145" s="882">
        <f>IF(IndS=FALSE,IF(BB145=1,0,1),IF(BB145=0,1,AV145))</f>
        <v>1</v>
      </c>
      <c r="BD145" s="342" t="e">
        <f>IF(AND($BC145=0,C145=Tab_sel!$P$7,$D145=Tab_sel!$O$24,$E145=Tab_sel!$B$31),1,"")</f>
        <v>#N/A</v>
      </c>
      <c r="BE145" s="322" t="e">
        <f>IF(AND($BC145=0,C145=Tab_sel!$P$7,$D145=Tab_sel!$O$24,$E145=Tab_sel!$B$32),1,"")</f>
        <v>#N/A</v>
      </c>
      <c r="BF145" s="322" t="e">
        <f>IF(AND($BC145=0,C145=Tab_sel!$P$7,$D145=Tab_sel!$O$24,$E145=Tab_sel!$B$33),1,"")</f>
        <v>#N/A</v>
      </c>
      <c r="BG145" s="322" t="e">
        <f>IF(AND($BC145=0,C145=Tab_sel!$P$7,$D145=Tab_sel!$O$24,$E145=Tab_sel!$B$34),1,"")</f>
        <v>#N/A</v>
      </c>
      <c r="BH145" s="322" t="e">
        <f>IF(AND($BC145=0,C145=Tab_sel!$P$7,$D145=Tab_sel!$O$24,$E145=Tab_sel!$B$35),1,"")</f>
        <v>#N/A</v>
      </c>
      <c r="BI145" s="343" t="e">
        <f>IF(AND($BC145=0,C145=Tab_sel!$P$7,$D145=Tab_sel!$O$24,$E145=Tab_sel!$B$36),1,"")</f>
        <v>#N/A</v>
      </c>
      <c r="BJ145" s="342" t="e">
        <f>IF(AND($BC145=0,$C145=Tab_sel!$P$7,$D145=Tab_sel!$O$24,$E145=Tab_sel!$N$31,$F145=Tab_sel!$B$40),1,"")</f>
        <v>#N/A</v>
      </c>
      <c r="BK145" s="322" t="e">
        <f>IF(AND($BC145=0,$C145=Tab_sel!$P$7,$D145=Tab_sel!$O$24,$E145=Tab_sel!$N$31,$F145=Tab_sel!$B$41),1,"")</f>
        <v>#N/A</v>
      </c>
      <c r="BL145" s="322" t="e">
        <f>IF(AND($BC145=0,$C145=Tab_sel!$P$7,$D145=Tab_sel!$O$24,$E145=Tab_sel!$N$31,$F145=Tab_sel!$B$42),1,"")</f>
        <v>#N/A</v>
      </c>
      <c r="BM145" s="322" t="e">
        <f>IF(AND($BC145=0,$C145=Tab_sel!$P$7,$D145=Tab_sel!$O$24,$E145=Tab_sel!$N$31,$F145=Tab_sel!$B$43),1,"")</f>
        <v>#N/A</v>
      </c>
      <c r="BN145" s="322" t="e">
        <f>IF(AND($BC145=0,$C145=Tab_sel!$P$7,$D145=Tab_sel!$O$24,$E145=Tab_sel!$N$31,$F145=Tab_sel!$B$44),1,"")</f>
        <v>#N/A</v>
      </c>
      <c r="BO145" s="343" t="e">
        <f>IF(AND($BC145=0,$C145=Tab_sel!$P$7,$D145=Tab_sel!$O$24,$E145=Tab_sel!$N$31,$F145=Tab_sel!$B$45),1,"")</f>
        <v>#N/A</v>
      </c>
      <c r="BP145" s="354" t="e">
        <f>IF(AND($BC145=0,$C145=Tab_sel!$P$7,$D145=Tab_sel!$O$24,$E145=Tab_sel!$N$31,$F145=Tab_sel!$N$40,$I145=Tab_sel!$B$61),1,"")</f>
        <v>#N/A</v>
      </c>
      <c r="BQ145" s="355" t="e">
        <f>IF(AND($BC145=0,$C145=Tab_sel!$P$7,$D145=Tab_sel!$O$24,$E145=Tab_sel!$N$31,$F145=Tab_sel!$N$40,$I145=Tab_sel!$B$62),1,"")</f>
        <v>#N/A</v>
      </c>
      <c r="BR145" s="355" t="e">
        <f>IF(AND($BC145=0,$C145=Tab_sel!$P$7,$D145=Tab_sel!$O$24,$E145=Tab_sel!$N$31,$F145=Tab_sel!$N$40,$I145=Tab_sel!$B$63),1,"")</f>
        <v>#N/A</v>
      </c>
      <c r="BS145" s="355" t="e">
        <f>IF(AND($BC145=0,$C145=Tab_sel!$P$7,$D145=Tab_sel!$O$24,$E145=Tab_sel!$N$31,$F145=Tab_sel!$N$40,$I145=Tab_sel!$B$64),1,"")</f>
        <v>#N/A</v>
      </c>
      <c r="BT145" s="356" t="e">
        <f>IF(AND($BC145=0,$C145=Tab_sel!$P$7,$D145=Tab_sel!$O$24,$E145=Tab_sel!$N$31,$F145=Tab_sel!$N$40,$I145=Tab_sel!$B$65),1,"")</f>
        <v>#N/A</v>
      </c>
      <c r="BU145" s="856" t="e">
        <f>IF(AND($BC145=0,$C145=Tab_sel!$P$7,$D145=Tab_sel!$O$24,$E145=Tab_sel!$N$31,$F145=Tab_sel!$N$40,$I145=Tab_sel!$P$61,$H145=Tab_sel!$B$77),1,"")</f>
        <v>#N/A</v>
      </c>
      <c r="BV145" s="883" t="e">
        <f>IF(AND($BC145=0,$C145=Tab_sel!$P$7,$D145=Tab_sel!$O$24,$E145=Tab_sel!$N$31,$F145=Tab_sel!$N$40,$I145=Tab_sel!$P$61,$H145=Tab_sel!$B$78),1,"")</f>
        <v>#N/A</v>
      </c>
      <c r="BW145" s="883" t="e">
        <f>IF(AND($BC145=0,$C145=Tab_sel!$P$7,$D145=Tab_sel!$O$24,$E145=Tab_sel!$N$31,$F145=Tab_sel!$N$40,$I145=Tab_sel!$P$61,$H145=Tab_sel!$B$79),1,"")</f>
        <v>#N/A</v>
      </c>
      <c r="BX145" s="883" t="e">
        <f>IF(AND($BC145=0,$C145=Tab_sel!$P$7,$D145=Tab_sel!$O$24,$E145=Tab_sel!$N$31,$F145=Tab_sel!$N$40,$I145=Tab_sel!$P$61,$H145=Tab_sel!$B$80),1,"")</f>
        <v>#N/A</v>
      </c>
      <c r="BY145" s="883" t="e">
        <f>IF(AND($BC145=0,$C145=Tab_sel!$P$7,$D145=Tab_sel!$O$24,$E145=Tab_sel!$N$31,$F145=Tab_sel!$N$40,$I145=Tab_sel!$P$61,$H145=Tab_sel!$B$81),1,"")</f>
        <v>#N/A</v>
      </c>
      <c r="BZ145" s="857" t="e">
        <f>IF(AND($BC145=0,$C145=Tab_sel!$P$7,$D145=Tab_sel!$O$24,$E145=Tab_sel!$N$31,$F145=Tab_sel!$N$40,$I145=Tab_sel!$P$61,$H145=Tab_sel!$B$82),1,"")</f>
        <v>#N/A</v>
      </c>
      <c r="CA145" s="359"/>
      <c r="CC145">
        <f t="shared" si="54"/>
        <v>0</v>
      </c>
      <c r="CD145" s="882">
        <f t="shared" si="55"/>
        <v>0</v>
      </c>
      <c r="CE145" s="882">
        <f t="shared" si="56"/>
        <v>0</v>
      </c>
      <c r="CH145" t="s">
        <v>2661</v>
      </c>
      <c r="CI145" t="s">
        <v>2660</v>
      </c>
    </row>
    <row r="146" spans="2:88" x14ac:dyDescent="0.25">
      <c r="B146" s="825" t="s">
        <v>1134</v>
      </c>
      <c r="C146" s="1024" t="str">
        <f>Dex</f>
        <v>Données externalisées</v>
      </c>
      <c r="D146" s="1024"/>
      <c r="E146" s="1024"/>
      <c r="F146" s="1024"/>
      <c r="G146" s="1024"/>
      <c r="H146" s="1024"/>
      <c r="I146" s="1024"/>
      <c r="J146" s="1024"/>
      <c r="K146" s="1024"/>
      <c r="L146" s="1024"/>
      <c r="M146" s="1025"/>
      <c r="N146" s="826"/>
      <c r="O146" s="826"/>
      <c r="P146" s="827"/>
      <c r="Q146" s="828"/>
      <c r="R146" s="828"/>
      <c r="S146" s="829"/>
      <c r="T146" s="827"/>
      <c r="U146" s="827"/>
      <c r="V146" s="830"/>
      <c r="W146" s="826"/>
      <c r="X146" s="826"/>
      <c r="Y146" s="827"/>
      <c r="Z146" s="827"/>
      <c r="AA146" s="827"/>
      <c r="AB146" s="830"/>
      <c r="AC146" s="831"/>
      <c r="AD146" s="831"/>
      <c r="AE146" s="831"/>
      <c r="AF146" s="831"/>
      <c r="AG146" s="831"/>
      <c r="AH146" s="830"/>
      <c r="AI146" s="807" t="str">
        <f t="shared" si="57"/>
        <v/>
      </c>
      <c r="AJ146" s="830"/>
      <c r="AK146" s="359"/>
      <c r="AW146" s="882"/>
      <c r="AX146" s="882"/>
      <c r="AY146" s="882"/>
      <c r="AZ146" s="927"/>
      <c r="BA146" s="882"/>
      <c r="BB146" s="925"/>
      <c r="BC146" s="882"/>
      <c r="BD146" s="342"/>
      <c r="BE146" s="322"/>
      <c r="BF146" s="322"/>
      <c r="BG146" s="322"/>
      <c r="BH146" s="322"/>
      <c r="BI146" s="343"/>
      <c r="BJ146" s="342"/>
      <c r="BK146" s="322"/>
      <c r="BL146" s="322"/>
      <c r="BM146" s="322"/>
      <c r="BN146" s="322"/>
      <c r="BO146" s="343"/>
      <c r="BP146" s="354"/>
      <c r="BQ146" s="355"/>
      <c r="BR146" s="355"/>
      <c r="BS146" s="355"/>
      <c r="BT146" s="356"/>
      <c r="BU146" s="856"/>
      <c r="BV146" s="883"/>
      <c r="BW146" s="883"/>
      <c r="BX146" s="883"/>
      <c r="BY146" s="883"/>
      <c r="BZ146" s="857"/>
      <c r="CA146" s="359"/>
      <c r="CC146">
        <f t="shared" si="54"/>
        <v>0</v>
      </c>
      <c r="CD146" s="882">
        <f t="shared" si="55"/>
        <v>0</v>
      </c>
      <c r="CE146" s="882">
        <f t="shared" si="56"/>
        <v>0</v>
      </c>
    </row>
    <row r="147" spans="2:88" ht="23.25" customHeight="1" x14ac:dyDescent="0.25">
      <c r="B147" s="791" t="s">
        <v>2007</v>
      </c>
      <c r="C147" s="771" t="s">
        <v>71</v>
      </c>
      <c r="D147" s="772" t="s">
        <v>76</v>
      </c>
      <c r="E147" s="771" t="str">
        <f>Fic</f>
        <v xml:space="preserve">Fichier ou base de données </v>
      </c>
      <c r="F147" s="768" t="str">
        <f>Disp</f>
        <v>Disparition</v>
      </c>
      <c r="G147" s="768" t="s">
        <v>1406</v>
      </c>
      <c r="H147" s="768"/>
      <c r="I147" s="771" t="s">
        <v>1171</v>
      </c>
      <c r="J147" s="769"/>
      <c r="K147" s="769"/>
      <c r="L147" s="769"/>
      <c r="M147" s="788" t="s">
        <v>2369</v>
      </c>
      <c r="N147" s="767"/>
      <c r="O147" s="767"/>
      <c r="P147" s="772"/>
      <c r="Q147" s="803"/>
      <c r="R147" s="803"/>
      <c r="S147" s="804"/>
      <c r="T147" s="772"/>
      <c r="U147" s="772"/>
      <c r="V147" s="805"/>
      <c r="W147" s="767"/>
      <c r="X147" s="767"/>
      <c r="Y147" s="772"/>
      <c r="Z147" s="772"/>
      <c r="AA147" s="772"/>
      <c r="AB147" s="805"/>
      <c r="AC147" s="806"/>
      <c r="AD147" s="806"/>
      <c r="AE147" s="806"/>
      <c r="AF147" s="806"/>
      <c r="AG147" s="806"/>
      <c r="AH147" s="805"/>
      <c r="AI147" s="807" t="str">
        <f t="shared" si="57"/>
        <v/>
      </c>
      <c r="AJ147" s="805"/>
      <c r="AK147" s="359"/>
      <c r="AM147" t="str">
        <f t="shared" si="63"/>
        <v/>
      </c>
      <c r="AN147">
        <f t="shared" si="64"/>
        <v>0</v>
      </c>
      <c r="AW147" s="882">
        <f t="shared" si="53"/>
        <v>0</v>
      </c>
      <c r="AX147" s="882">
        <f t="shared" ref="AX147:AX157" si="66">VLOOKUP(E147,Tab_ActS,2,FALSE)</f>
        <v>1</v>
      </c>
      <c r="AY147" s="882">
        <f t="shared" ref="AY147:AY157" si="67">VLOOKUP(F147,Tab_SDom,3,FALSE)</f>
        <v>1</v>
      </c>
      <c r="AZ147" s="927">
        <f t="shared" ref="AZ147:AZ157" si="68">VLOOKUP($I147,Tabexpo,8,FALSE)</f>
        <v>1</v>
      </c>
      <c r="BA147" s="882">
        <v>1</v>
      </c>
      <c r="BB147" s="925">
        <f t="shared" si="65"/>
        <v>0</v>
      </c>
      <c r="BC147" s="882">
        <f t="shared" ref="BC147:BC157" si="69">IF(IndS=FALSE,IF(BB147=1,0,1),IF(BB147=0,1,AV147))</f>
        <v>1</v>
      </c>
      <c r="BD147" s="342" t="e">
        <f>IF(AND($BC147=0,C147=Tab_sel!$P$7,$D147=Tab_sel!$O$24,$E147=Tab_sel!$B$31),1,"")</f>
        <v>#N/A</v>
      </c>
      <c r="BE147" s="322" t="e">
        <f>IF(AND($BC147=0,C147=Tab_sel!$P$7,$D147=Tab_sel!$O$24,$E147=Tab_sel!$B$32),1,"")</f>
        <v>#N/A</v>
      </c>
      <c r="BF147" s="322" t="e">
        <f>IF(AND($BC147=0,C147=Tab_sel!$P$7,$D147=Tab_sel!$O$24,$E147=Tab_sel!$B$33),1,"")</f>
        <v>#N/A</v>
      </c>
      <c r="BG147" s="322" t="e">
        <f>IF(AND($BC147=0,C147=Tab_sel!$P$7,$D147=Tab_sel!$O$24,$E147=Tab_sel!$B$34),1,"")</f>
        <v>#N/A</v>
      </c>
      <c r="BH147" s="322" t="e">
        <f>IF(AND($BC147=0,C147=Tab_sel!$P$7,$D147=Tab_sel!$O$24,$E147=Tab_sel!$B$35),1,"")</f>
        <v>#N/A</v>
      </c>
      <c r="BI147" s="343" t="e">
        <f>IF(AND($BC147=0,C147=Tab_sel!$P$7,$D147=Tab_sel!$O$24,$E147=Tab_sel!$B$36),1,"")</f>
        <v>#N/A</v>
      </c>
      <c r="BJ147" s="342" t="e">
        <f>IF(AND($BC147=0,$C147=Tab_sel!$P$7,$D147=Tab_sel!$O$24,$E147=Tab_sel!$N$31,$F147=Tab_sel!$B$40),1,"")</f>
        <v>#N/A</v>
      </c>
      <c r="BK147" s="322" t="e">
        <f>IF(AND($BC147=0,$C147=Tab_sel!$P$7,$D147=Tab_sel!$O$24,$E147=Tab_sel!$N$31,$F147=Tab_sel!$B$41),1,"")</f>
        <v>#N/A</v>
      </c>
      <c r="BL147" s="322" t="e">
        <f>IF(AND($BC147=0,$C147=Tab_sel!$P$7,$D147=Tab_sel!$O$24,$E147=Tab_sel!$N$31,$F147=Tab_sel!$B$42),1,"")</f>
        <v>#N/A</v>
      </c>
      <c r="BM147" s="322" t="e">
        <f>IF(AND($BC147=0,$C147=Tab_sel!$P$7,$D147=Tab_sel!$O$24,$E147=Tab_sel!$N$31,$F147=Tab_sel!$B$43),1,"")</f>
        <v>#N/A</v>
      </c>
      <c r="BN147" s="322" t="e">
        <f>IF(AND($BC147=0,$C147=Tab_sel!$P$7,$D147=Tab_sel!$O$24,$E147=Tab_sel!$N$31,$F147=Tab_sel!$B$44),1,"")</f>
        <v>#N/A</v>
      </c>
      <c r="BO147" s="343" t="e">
        <f>IF(AND($BC147=0,$C147=Tab_sel!$P$7,$D147=Tab_sel!$O$24,$E147=Tab_sel!$N$31,$F147=Tab_sel!$B$45),1,"")</f>
        <v>#N/A</v>
      </c>
      <c r="BP147" s="354" t="e">
        <f>IF(AND($BC147=0,$C147=Tab_sel!$P$7,$D147=Tab_sel!$O$24,$E147=Tab_sel!$N$31,$F147=Tab_sel!$N$40,$I147=Tab_sel!$B$61),1,"")</f>
        <v>#N/A</v>
      </c>
      <c r="BQ147" s="355" t="e">
        <f>IF(AND($BC147=0,$C147=Tab_sel!$P$7,$D147=Tab_sel!$O$24,$E147=Tab_sel!$N$31,$F147=Tab_sel!$N$40,$I147=Tab_sel!$B$62),1,"")</f>
        <v>#N/A</v>
      </c>
      <c r="BR147" s="355" t="e">
        <f>IF(AND($BC147=0,$C147=Tab_sel!$P$7,$D147=Tab_sel!$O$24,$E147=Tab_sel!$N$31,$F147=Tab_sel!$N$40,$I147=Tab_sel!$B$63),1,"")</f>
        <v>#N/A</v>
      </c>
      <c r="BS147" s="355" t="e">
        <f>IF(AND($BC147=0,$C147=Tab_sel!$P$7,$D147=Tab_sel!$O$24,$E147=Tab_sel!$N$31,$F147=Tab_sel!$N$40,$I147=Tab_sel!$B$64),1,"")</f>
        <v>#N/A</v>
      </c>
      <c r="BT147" s="356" t="e">
        <f>IF(AND($BC147=0,$C147=Tab_sel!$P$7,$D147=Tab_sel!$O$24,$E147=Tab_sel!$N$31,$F147=Tab_sel!$N$40,$I147=Tab_sel!$B$65),1,"")</f>
        <v>#N/A</v>
      </c>
      <c r="BU147" s="856" t="e">
        <f>IF(AND($BC147=0,$C147=Tab_sel!$P$7,$D147=Tab_sel!$O$24,$E147=Tab_sel!$N$31,$F147=Tab_sel!$N$40,$I147=Tab_sel!$P$61,$H147=Tab_sel!$B$77),1,"")</f>
        <v>#N/A</v>
      </c>
      <c r="BV147" s="883" t="e">
        <f>IF(AND($BC147=0,$C147=Tab_sel!$P$7,$D147=Tab_sel!$O$24,$E147=Tab_sel!$N$31,$F147=Tab_sel!$N$40,$I147=Tab_sel!$P$61,$H147=Tab_sel!$B$78),1,"")</f>
        <v>#N/A</v>
      </c>
      <c r="BW147" s="883" t="e">
        <f>IF(AND($BC147=0,$C147=Tab_sel!$P$7,$D147=Tab_sel!$O$24,$E147=Tab_sel!$N$31,$F147=Tab_sel!$N$40,$I147=Tab_sel!$P$61,$H147=Tab_sel!$B$79),1,"")</f>
        <v>#N/A</v>
      </c>
      <c r="BX147" s="883" t="e">
        <f>IF(AND($BC147=0,$C147=Tab_sel!$P$7,$D147=Tab_sel!$O$24,$E147=Tab_sel!$N$31,$F147=Tab_sel!$N$40,$I147=Tab_sel!$P$61,$H147=Tab_sel!$B$80),1,"")</f>
        <v>#N/A</v>
      </c>
      <c r="BY147" s="883" t="e">
        <f>IF(AND($BC147=0,$C147=Tab_sel!$P$7,$D147=Tab_sel!$O$24,$E147=Tab_sel!$N$31,$F147=Tab_sel!$N$40,$I147=Tab_sel!$P$61,$H147=Tab_sel!$B$81),1,"")</f>
        <v>#N/A</v>
      </c>
      <c r="BZ147" s="857" t="e">
        <f>IF(AND($BC147=0,$C147=Tab_sel!$P$7,$D147=Tab_sel!$O$24,$E147=Tab_sel!$N$31,$F147=Tab_sel!$N$40,$I147=Tab_sel!$P$61,$H147=Tab_sel!$B$82),1,"")</f>
        <v>#N/A</v>
      </c>
      <c r="CA147" s="359"/>
      <c r="CC147">
        <f t="shared" si="54"/>
        <v>0</v>
      </c>
      <c r="CD147" s="882">
        <f t="shared" si="55"/>
        <v>0</v>
      </c>
      <c r="CE147" s="882">
        <f t="shared" si="56"/>
        <v>0</v>
      </c>
      <c r="CJ147" t="s">
        <v>2662</v>
      </c>
    </row>
    <row r="148" spans="2:88" ht="25.5" customHeight="1" x14ac:dyDescent="0.25">
      <c r="B148" s="791" t="s">
        <v>2008</v>
      </c>
      <c r="C148" s="874" t="s">
        <v>71</v>
      </c>
      <c r="D148" s="875" t="s">
        <v>76</v>
      </c>
      <c r="E148" s="771" t="str">
        <f>Fic</f>
        <v xml:space="preserve">Fichier ou base de données </v>
      </c>
      <c r="F148" s="768" t="str">
        <f>Disp</f>
        <v>Disparition</v>
      </c>
      <c r="G148" s="876" t="s">
        <v>2475</v>
      </c>
      <c r="H148" s="876"/>
      <c r="I148" s="874" t="s">
        <v>1197</v>
      </c>
      <c r="J148" s="877" t="s">
        <v>2350</v>
      </c>
      <c r="K148" s="877" t="s">
        <v>2032</v>
      </c>
      <c r="L148" s="877" t="s">
        <v>2350</v>
      </c>
      <c r="M148" s="788" t="s">
        <v>2369</v>
      </c>
      <c r="N148" s="851"/>
      <c r="O148" s="851"/>
      <c r="P148" s="875"/>
      <c r="Q148" s="803"/>
      <c r="R148" s="803"/>
      <c r="S148" s="804"/>
      <c r="T148" s="875"/>
      <c r="U148" s="875"/>
      <c r="V148" s="805"/>
      <c r="W148" s="851"/>
      <c r="X148" s="851"/>
      <c r="Y148" s="875"/>
      <c r="Z148" s="875"/>
      <c r="AA148" s="875"/>
      <c r="AB148" s="805"/>
      <c r="AC148" s="806"/>
      <c r="AD148" s="806"/>
      <c r="AE148" s="806"/>
      <c r="AF148" s="806"/>
      <c r="AG148" s="806"/>
      <c r="AH148" s="805"/>
      <c r="AI148" s="807" t="str">
        <f t="shared" si="57"/>
        <v/>
      </c>
      <c r="AJ148" s="805"/>
      <c r="AK148" s="359"/>
      <c r="AM148" t="str">
        <f t="shared" si="63"/>
        <v/>
      </c>
      <c r="AN148">
        <f t="shared" si="64"/>
        <v>0</v>
      </c>
      <c r="AV148" s="882"/>
      <c r="AW148" s="882">
        <f t="shared" si="53"/>
        <v>0</v>
      </c>
      <c r="AX148" s="882">
        <f t="shared" si="66"/>
        <v>1</v>
      </c>
      <c r="AY148" s="882">
        <f t="shared" si="67"/>
        <v>1</v>
      </c>
      <c r="AZ148" s="927">
        <f t="shared" si="68"/>
        <v>1</v>
      </c>
      <c r="BA148" s="882">
        <v>1</v>
      </c>
      <c r="BB148" s="925">
        <f t="shared" si="65"/>
        <v>0</v>
      </c>
      <c r="BC148" s="882">
        <f t="shared" si="69"/>
        <v>1</v>
      </c>
      <c r="BD148" s="342" t="e">
        <f>IF(AND($BC148=0,C148=Tab_sel!$P$7,$D148=Tab_sel!$O$24,$E148=Tab_sel!$B$31),1,"")</f>
        <v>#N/A</v>
      </c>
      <c r="BE148" s="322" t="e">
        <f>IF(AND($BC148=0,C148=Tab_sel!$P$7,$D148=Tab_sel!$O$24,$E148=Tab_sel!$B$32),1,"")</f>
        <v>#N/A</v>
      </c>
      <c r="BF148" s="322" t="e">
        <f>IF(AND($BC148=0,C148=Tab_sel!$P$7,$D148=Tab_sel!$O$24,$E148=Tab_sel!$B$33),1,"")</f>
        <v>#N/A</v>
      </c>
      <c r="BG148" s="322" t="e">
        <f>IF(AND($BC148=0,C148=Tab_sel!$P$7,$D148=Tab_sel!$O$24,$E148=Tab_sel!$B$34),1,"")</f>
        <v>#N/A</v>
      </c>
      <c r="BH148" s="322" t="e">
        <f>IF(AND($BC148=0,C148=Tab_sel!$P$7,$D148=Tab_sel!$O$24,$E148=Tab_sel!$B$35),1,"")</f>
        <v>#N/A</v>
      </c>
      <c r="BI148" s="343" t="e">
        <f>IF(AND($BC148=0,C148=Tab_sel!$P$7,$D148=Tab_sel!$O$24,$E148=Tab_sel!$B$36),1,"")</f>
        <v>#N/A</v>
      </c>
      <c r="BJ148" s="342" t="e">
        <f>IF(AND($BC148=0,$C148=Tab_sel!$P$7,$D148=Tab_sel!$O$24,$E148=Tab_sel!$N$31,$F148=Tab_sel!$B$40),1,"")</f>
        <v>#N/A</v>
      </c>
      <c r="BK148" s="322" t="e">
        <f>IF(AND($BC148=0,$C148=Tab_sel!$P$7,$D148=Tab_sel!$O$24,$E148=Tab_sel!$N$31,$F148=Tab_sel!$B$41),1,"")</f>
        <v>#N/A</v>
      </c>
      <c r="BL148" s="322" t="e">
        <f>IF(AND($BC148=0,$C148=Tab_sel!$P$7,$D148=Tab_sel!$O$24,$E148=Tab_sel!$N$31,$F148=Tab_sel!$B$42),1,"")</f>
        <v>#N/A</v>
      </c>
      <c r="BM148" s="322" t="e">
        <f>IF(AND($BC148=0,$C148=Tab_sel!$P$7,$D148=Tab_sel!$O$24,$E148=Tab_sel!$N$31,$F148=Tab_sel!$B$43),1,"")</f>
        <v>#N/A</v>
      </c>
      <c r="BN148" s="322" t="e">
        <f>IF(AND($BC148=0,$C148=Tab_sel!$P$7,$D148=Tab_sel!$O$24,$E148=Tab_sel!$N$31,$F148=Tab_sel!$B$44),1,"")</f>
        <v>#N/A</v>
      </c>
      <c r="BO148" s="343" t="e">
        <f>IF(AND($BC148=0,$C148=Tab_sel!$P$7,$D148=Tab_sel!$O$24,$E148=Tab_sel!$N$31,$F148=Tab_sel!$B$45),1,"")</f>
        <v>#N/A</v>
      </c>
      <c r="BP148" s="354" t="e">
        <f>IF(AND($BC148=0,$C148=Tab_sel!$P$7,$D148=Tab_sel!$O$24,$E148=Tab_sel!$N$31,$F148=Tab_sel!$N$40,$I148=Tab_sel!$B$61),1,"")</f>
        <v>#N/A</v>
      </c>
      <c r="BQ148" s="355" t="e">
        <f>IF(AND($BC148=0,$C148=Tab_sel!$P$7,$D148=Tab_sel!$O$24,$E148=Tab_sel!$N$31,$F148=Tab_sel!$N$40,$I148=Tab_sel!$B$62),1,"")</f>
        <v>#N/A</v>
      </c>
      <c r="BR148" s="355" t="e">
        <f>IF(AND($BC148=0,$C148=Tab_sel!$P$7,$D148=Tab_sel!$O$24,$E148=Tab_sel!$N$31,$F148=Tab_sel!$N$40,$I148=Tab_sel!$B$63),1,"")</f>
        <v>#N/A</v>
      </c>
      <c r="BS148" s="355" t="e">
        <f>IF(AND($BC148=0,$C148=Tab_sel!$P$7,$D148=Tab_sel!$O$24,$E148=Tab_sel!$N$31,$F148=Tab_sel!$N$40,$I148=Tab_sel!$B$64),1,"")</f>
        <v>#N/A</v>
      </c>
      <c r="BT148" s="356" t="e">
        <f>IF(AND($BC148=0,$C148=Tab_sel!$P$7,$D148=Tab_sel!$O$24,$E148=Tab_sel!$N$31,$F148=Tab_sel!$N$40,$I148=Tab_sel!$B$65),1,"")</f>
        <v>#N/A</v>
      </c>
      <c r="BU148" s="856" t="e">
        <f>IF(AND($BC148=0,$C148=Tab_sel!$P$7,$D148=Tab_sel!$O$24,$E148=Tab_sel!$N$31,$F148=Tab_sel!$N$40,$I148=Tab_sel!$P$61,$H148=Tab_sel!$B$77),1,"")</f>
        <v>#N/A</v>
      </c>
      <c r="BV148" s="883" t="e">
        <f>IF(AND($BC148=0,$C148=Tab_sel!$P$7,$D148=Tab_sel!$O$24,$E148=Tab_sel!$N$31,$F148=Tab_sel!$N$40,$I148=Tab_sel!$P$61,$H148=Tab_sel!$B$78),1,"")</f>
        <v>#N/A</v>
      </c>
      <c r="BW148" s="883" t="e">
        <f>IF(AND($BC148=0,$C148=Tab_sel!$P$7,$D148=Tab_sel!$O$24,$E148=Tab_sel!$N$31,$F148=Tab_sel!$N$40,$I148=Tab_sel!$P$61,$H148=Tab_sel!$B$79),1,"")</f>
        <v>#N/A</v>
      </c>
      <c r="BX148" s="883" t="e">
        <f>IF(AND($BC148=0,$C148=Tab_sel!$P$7,$D148=Tab_sel!$O$24,$E148=Tab_sel!$N$31,$F148=Tab_sel!$N$40,$I148=Tab_sel!$P$61,$H148=Tab_sel!$B$80),1,"")</f>
        <v>#N/A</v>
      </c>
      <c r="BY148" s="883" t="e">
        <f>IF(AND($BC148=0,$C148=Tab_sel!$P$7,$D148=Tab_sel!$O$24,$E148=Tab_sel!$N$31,$F148=Tab_sel!$N$40,$I148=Tab_sel!$P$61,$H148=Tab_sel!$B$81),1,"")</f>
        <v>#N/A</v>
      </c>
      <c r="BZ148" s="857" t="e">
        <f>IF(AND($BC148=0,$C148=Tab_sel!$P$7,$D148=Tab_sel!$O$24,$E148=Tab_sel!$N$31,$F148=Tab_sel!$N$40,$I148=Tab_sel!$P$61,$H148=Tab_sel!$B$82),1,"")</f>
        <v>#N/A</v>
      </c>
      <c r="CA148" s="359"/>
      <c r="CC148">
        <f t="shared" si="54"/>
        <v>0</v>
      </c>
      <c r="CD148" s="882">
        <f t="shared" si="55"/>
        <v>0</v>
      </c>
      <c r="CE148" s="882">
        <f t="shared" si="56"/>
        <v>0</v>
      </c>
      <c r="CH148" t="s">
        <v>2663</v>
      </c>
      <c r="CJ148" t="s">
        <v>2662</v>
      </c>
    </row>
    <row r="149" spans="2:88" ht="29.25" customHeight="1" x14ac:dyDescent="0.25">
      <c r="B149" s="791" t="s">
        <v>2481</v>
      </c>
      <c r="C149" s="874" t="s">
        <v>71</v>
      </c>
      <c r="D149" s="875" t="s">
        <v>76</v>
      </c>
      <c r="E149" s="771" t="str">
        <f>Fic</f>
        <v xml:space="preserve">Fichier ou base de données </v>
      </c>
      <c r="F149" s="768" t="str">
        <f>Disp</f>
        <v>Disparition</v>
      </c>
      <c r="G149" s="876" t="s">
        <v>2475</v>
      </c>
      <c r="H149" s="876" t="s">
        <v>2592</v>
      </c>
      <c r="I149" s="874" t="s">
        <v>1197</v>
      </c>
      <c r="J149" s="894"/>
      <c r="K149" s="877" t="s">
        <v>2350</v>
      </c>
      <c r="L149" s="877" t="s">
        <v>2350</v>
      </c>
      <c r="M149" s="788" t="s">
        <v>2369</v>
      </c>
      <c r="N149" s="851"/>
      <c r="O149" s="851"/>
      <c r="P149" s="875"/>
      <c r="Q149" s="803"/>
      <c r="R149" s="803"/>
      <c r="S149" s="804"/>
      <c r="T149" s="875"/>
      <c r="U149" s="875"/>
      <c r="V149" s="805"/>
      <c r="W149" s="851"/>
      <c r="X149" s="851"/>
      <c r="Y149" s="875"/>
      <c r="Z149" s="875"/>
      <c r="AA149" s="875"/>
      <c r="AB149" s="805"/>
      <c r="AC149" s="806"/>
      <c r="AD149" s="806"/>
      <c r="AE149" s="806"/>
      <c r="AF149" s="806"/>
      <c r="AG149" s="806"/>
      <c r="AH149" s="805"/>
      <c r="AI149" s="807" t="str">
        <f t="shared" si="57"/>
        <v/>
      </c>
      <c r="AJ149" s="805"/>
      <c r="AK149" s="359"/>
      <c r="AM149" t="str">
        <f t="shared" si="63"/>
        <v/>
      </c>
      <c r="AN149">
        <f t="shared" si="64"/>
        <v>0</v>
      </c>
      <c r="AV149" s="882"/>
      <c r="AW149" s="882">
        <f t="shared" si="53"/>
        <v>0</v>
      </c>
      <c r="AX149" s="882">
        <f t="shared" si="66"/>
        <v>1</v>
      </c>
      <c r="AY149" s="882">
        <f t="shared" si="67"/>
        <v>1</v>
      </c>
      <c r="AZ149" s="927">
        <f t="shared" si="68"/>
        <v>1</v>
      </c>
      <c r="BA149" s="882">
        <v>0</v>
      </c>
      <c r="BB149" s="925">
        <f t="shared" si="65"/>
        <v>0</v>
      </c>
      <c r="BC149" s="882">
        <f t="shared" si="69"/>
        <v>1</v>
      </c>
      <c r="BD149" s="342" t="e">
        <f>IF(AND($BC149=0,C149=Tab_sel!$P$7,$D149=Tab_sel!$O$24,$E149=Tab_sel!$B$31),1,"")</f>
        <v>#N/A</v>
      </c>
      <c r="BE149" s="322" t="e">
        <f>IF(AND($BC149=0,C149=Tab_sel!$P$7,$D149=Tab_sel!$O$24,$E149=Tab_sel!$B$32),1,"")</f>
        <v>#N/A</v>
      </c>
      <c r="BF149" s="322" t="e">
        <f>IF(AND($BC149=0,C149=Tab_sel!$P$7,$D149=Tab_sel!$O$24,$E149=Tab_sel!$B$33),1,"")</f>
        <v>#N/A</v>
      </c>
      <c r="BG149" s="322" t="e">
        <f>IF(AND($BC149=0,C149=Tab_sel!$P$7,$D149=Tab_sel!$O$24,$E149=Tab_sel!$B$34),1,"")</f>
        <v>#N/A</v>
      </c>
      <c r="BH149" s="322" t="e">
        <f>IF(AND($BC149=0,C149=Tab_sel!$P$7,$D149=Tab_sel!$O$24,$E149=Tab_sel!$B$35),1,"")</f>
        <v>#N/A</v>
      </c>
      <c r="BI149" s="343" t="e">
        <f>IF(AND($BC149=0,C149=Tab_sel!$P$7,$D149=Tab_sel!$O$24,$E149=Tab_sel!$B$36),1,"")</f>
        <v>#N/A</v>
      </c>
      <c r="BJ149" s="342" t="e">
        <f>IF(AND($BC149=0,$C149=Tab_sel!$P$7,$D149=Tab_sel!$O$24,$E149=Tab_sel!$N$31,$F149=Tab_sel!$B$40),1,"")</f>
        <v>#N/A</v>
      </c>
      <c r="BK149" s="322" t="e">
        <f>IF(AND($BC149=0,$C149=Tab_sel!$P$7,$D149=Tab_sel!$O$24,$E149=Tab_sel!$N$31,$F149=Tab_sel!$B$41),1,"")</f>
        <v>#N/A</v>
      </c>
      <c r="BL149" s="322" t="e">
        <f>IF(AND($BC149=0,$C149=Tab_sel!$P$7,$D149=Tab_sel!$O$24,$E149=Tab_sel!$N$31,$F149=Tab_sel!$B$42),1,"")</f>
        <v>#N/A</v>
      </c>
      <c r="BM149" s="322" t="e">
        <f>IF(AND($BC149=0,$C149=Tab_sel!$P$7,$D149=Tab_sel!$O$24,$E149=Tab_sel!$N$31,$F149=Tab_sel!$B$43),1,"")</f>
        <v>#N/A</v>
      </c>
      <c r="BN149" s="322" t="e">
        <f>IF(AND($BC149=0,$C149=Tab_sel!$P$7,$D149=Tab_sel!$O$24,$E149=Tab_sel!$N$31,$F149=Tab_sel!$B$44),1,"")</f>
        <v>#N/A</v>
      </c>
      <c r="BO149" s="343" t="e">
        <f>IF(AND($BC149=0,$C149=Tab_sel!$P$7,$D149=Tab_sel!$O$24,$E149=Tab_sel!$N$31,$F149=Tab_sel!$B$45),1,"")</f>
        <v>#N/A</v>
      </c>
      <c r="BP149" s="354" t="e">
        <f>IF(AND($BC149=0,$C149=Tab_sel!$P$7,$D149=Tab_sel!$O$24,$E149=Tab_sel!$N$31,$F149=Tab_sel!$N$40,$I149=Tab_sel!$B$61),1,"")</f>
        <v>#N/A</v>
      </c>
      <c r="BQ149" s="355" t="e">
        <f>IF(AND($BC149=0,$C149=Tab_sel!$P$7,$D149=Tab_sel!$O$24,$E149=Tab_sel!$N$31,$F149=Tab_sel!$N$40,$I149=Tab_sel!$B$62),1,"")</f>
        <v>#N/A</v>
      </c>
      <c r="BR149" s="355" t="e">
        <f>IF(AND($BC149=0,$C149=Tab_sel!$P$7,$D149=Tab_sel!$O$24,$E149=Tab_sel!$N$31,$F149=Tab_sel!$N$40,$I149=Tab_sel!$B$63),1,"")</f>
        <v>#N/A</v>
      </c>
      <c r="BS149" s="355" t="e">
        <f>IF(AND($BC149=0,$C149=Tab_sel!$P$7,$D149=Tab_sel!$O$24,$E149=Tab_sel!$N$31,$F149=Tab_sel!$N$40,$I149=Tab_sel!$B$64),1,"")</f>
        <v>#N/A</v>
      </c>
      <c r="BT149" s="356" t="e">
        <f>IF(AND($BC149=0,$C149=Tab_sel!$P$7,$D149=Tab_sel!$O$24,$E149=Tab_sel!$N$31,$F149=Tab_sel!$N$40,$I149=Tab_sel!$B$65),1,"")</f>
        <v>#N/A</v>
      </c>
      <c r="BU149" s="856" t="e">
        <f>IF(AND($BC149=0,$C149=Tab_sel!$P$7,$D149=Tab_sel!$O$24,$E149=Tab_sel!$N$31,$F149=Tab_sel!$N$40,$I149=Tab_sel!$P$61,$H149=Tab_sel!$B$77),1,"")</f>
        <v>#N/A</v>
      </c>
      <c r="BV149" s="883" t="e">
        <f>IF(AND($BC149=0,$C149=Tab_sel!$P$7,$D149=Tab_sel!$O$24,$E149=Tab_sel!$N$31,$F149=Tab_sel!$N$40,$I149=Tab_sel!$P$61,$H149=Tab_sel!$B$78),1,"")</f>
        <v>#N/A</v>
      </c>
      <c r="BW149" s="883" t="e">
        <f>IF(AND($BC149=0,$C149=Tab_sel!$P$7,$D149=Tab_sel!$O$24,$E149=Tab_sel!$N$31,$F149=Tab_sel!$N$40,$I149=Tab_sel!$P$61,$H149=Tab_sel!$B$79),1,"")</f>
        <v>#N/A</v>
      </c>
      <c r="BX149" s="883" t="e">
        <f>IF(AND($BC149=0,$C149=Tab_sel!$P$7,$D149=Tab_sel!$O$24,$E149=Tab_sel!$N$31,$F149=Tab_sel!$N$40,$I149=Tab_sel!$P$61,$H149=Tab_sel!$B$80),1,"")</f>
        <v>#N/A</v>
      </c>
      <c r="BY149" s="883" t="e">
        <f>IF(AND($BC149=0,$C149=Tab_sel!$P$7,$D149=Tab_sel!$O$24,$E149=Tab_sel!$N$31,$F149=Tab_sel!$N$40,$I149=Tab_sel!$P$61,$H149=Tab_sel!$B$81),1,"")</f>
        <v>#N/A</v>
      </c>
      <c r="BZ149" s="857" t="e">
        <f>IF(AND($BC149=0,$C149=Tab_sel!$P$7,$D149=Tab_sel!$O$24,$E149=Tab_sel!$N$31,$F149=Tab_sel!$N$40,$I149=Tab_sel!$P$61,$H149=Tab_sel!$B$82),1,"")</f>
        <v>#N/A</v>
      </c>
      <c r="CA149" s="359"/>
      <c r="CC149">
        <f t="shared" si="54"/>
        <v>0</v>
      </c>
      <c r="CD149" s="882">
        <f t="shared" si="55"/>
        <v>0</v>
      </c>
      <c r="CE149" s="882">
        <f t="shared" si="56"/>
        <v>0</v>
      </c>
      <c r="CJ149" t="s">
        <v>2662</v>
      </c>
    </row>
    <row r="150" spans="2:88" ht="32.25" customHeight="1" x14ac:dyDescent="0.25">
      <c r="B150" s="791" t="s">
        <v>2482</v>
      </c>
      <c r="C150" s="874" t="s">
        <v>71</v>
      </c>
      <c r="D150" s="875" t="s">
        <v>76</v>
      </c>
      <c r="E150" s="771" t="str">
        <f>Fic</f>
        <v xml:space="preserve">Fichier ou base de données </v>
      </c>
      <c r="F150" s="768" t="str">
        <f>Disp</f>
        <v>Disparition</v>
      </c>
      <c r="G150" s="876" t="s">
        <v>2475</v>
      </c>
      <c r="H150" s="876" t="s">
        <v>2288</v>
      </c>
      <c r="I150" s="874" t="s">
        <v>1197</v>
      </c>
      <c r="J150" s="877" t="s">
        <v>2350</v>
      </c>
      <c r="K150" s="877" t="s">
        <v>2032</v>
      </c>
      <c r="L150" s="877" t="s">
        <v>2350</v>
      </c>
      <c r="M150" s="788" t="s">
        <v>2369</v>
      </c>
      <c r="N150" s="851"/>
      <c r="O150" s="851"/>
      <c r="P150" s="875"/>
      <c r="Q150" s="803"/>
      <c r="R150" s="803"/>
      <c r="S150" s="804"/>
      <c r="T150" s="875"/>
      <c r="U150" s="875"/>
      <c r="V150" s="805"/>
      <c r="W150" s="851"/>
      <c r="X150" s="851"/>
      <c r="Y150" s="875"/>
      <c r="Z150" s="875"/>
      <c r="AA150" s="875"/>
      <c r="AB150" s="805"/>
      <c r="AC150" s="806"/>
      <c r="AD150" s="806"/>
      <c r="AE150" s="806"/>
      <c r="AF150" s="806"/>
      <c r="AG150" s="806"/>
      <c r="AH150" s="805"/>
      <c r="AI150" s="807" t="str">
        <f t="shared" si="57"/>
        <v/>
      </c>
      <c r="AJ150" s="805"/>
      <c r="AK150" s="359"/>
      <c r="AM150" t="str">
        <f t="shared" si="63"/>
        <v/>
      </c>
      <c r="AN150">
        <f t="shared" si="64"/>
        <v>0</v>
      </c>
      <c r="AV150" s="882"/>
      <c r="AW150" s="882">
        <f t="shared" si="53"/>
        <v>0</v>
      </c>
      <c r="AX150" s="882">
        <f t="shared" si="66"/>
        <v>1</v>
      </c>
      <c r="AY150" s="882">
        <f t="shared" si="67"/>
        <v>1</v>
      </c>
      <c r="AZ150" s="927">
        <f t="shared" si="68"/>
        <v>1</v>
      </c>
      <c r="BA150" s="882">
        <v>0</v>
      </c>
      <c r="BB150" s="925">
        <f t="shared" si="65"/>
        <v>0</v>
      </c>
      <c r="BC150" s="882">
        <f t="shared" si="69"/>
        <v>1</v>
      </c>
      <c r="BD150" s="342" t="e">
        <f>IF(AND($BC150=0,C150=Tab_sel!$P$7,$D150=Tab_sel!$O$24,$E150=Tab_sel!$B$31),1,"")</f>
        <v>#N/A</v>
      </c>
      <c r="BE150" s="322" t="e">
        <f>IF(AND($BC150=0,C150=Tab_sel!$P$7,$D150=Tab_sel!$O$24,$E150=Tab_sel!$B$32),1,"")</f>
        <v>#N/A</v>
      </c>
      <c r="BF150" s="322" t="e">
        <f>IF(AND($BC150=0,C150=Tab_sel!$P$7,$D150=Tab_sel!$O$24,$E150=Tab_sel!$B$33),1,"")</f>
        <v>#N/A</v>
      </c>
      <c r="BG150" s="322" t="e">
        <f>IF(AND($BC150=0,C150=Tab_sel!$P$7,$D150=Tab_sel!$O$24,$E150=Tab_sel!$B$34),1,"")</f>
        <v>#N/A</v>
      </c>
      <c r="BH150" s="322" t="e">
        <f>IF(AND($BC150=0,C150=Tab_sel!$P$7,$D150=Tab_sel!$O$24,$E150=Tab_sel!$B$35),1,"")</f>
        <v>#N/A</v>
      </c>
      <c r="BI150" s="343" t="e">
        <f>IF(AND($BC150=0,C150=Tab_sel!$P$7,$D150=Tab_sel!$O$24,$E150=Tab_sel!$B$36),1,"")</f>
        <v>#N/A</v>
      </c>
      <c r="BJ150" s="342" t="e">
        <f>IF(AND($BC150=0,$C150=Tab_sel!$P$7,$D150=Tab_sel!$O$24,$E150=Tab_sel!$N$31,$F150=Tab_sel!$B$40),1,"")</f>
        <v>#N/A</v>
      </c>
      <c r="BK150" s="322" t="e">
        <f>IF(AND($BC150=0,$C150=Tab_sel!$P$7,$D150=Tab_sel!$O$24,$E150=Tab_sel!$N$31,$F150=Tab_sel!$B$41),1,"")</f>
        <v>#N/A</v>
      </c>
      <c r="BL150" s="322" t="e">
        <f>IF(AND($BC150=0,$C150=Tab_sel!$P$7,$D150=Tab_sel!$O$24,$E150=Tab_sel!$N$31,$F150=Tab_sel!$B$42),1,"")</f>
        <v>#N/A</v>
      </c>
      <c r="BM150" s="322" t="e">
        <f>IF(AND($BC150=0,$C150=Tab_sel!$P$7,$D150=Tab_sel!$O$24,$E150=Tab_sel!$N$31,$F150=Tab_sel!$B$43),1,"")</f>
        <v>#N/A</v>
      </c>
      <c r="BN150" s="322" t="e">
        <f>IF(AND($BC150=0,$C150=Tab_sel!$P$7,$D150=Tab_sel!$O$24,$E150=Tab_sel!$N$31,$F150=Tab_sel!$B$44),1,"")</f>
        <v>#N/A</v>
      </c>
      <c r="BO150" s="343" t="e">
        <f>IF(AND($BC150=0,$C150=Tab_sel!$P$7,$D150=Tab_sel!$O$24,$E150=Tab_sel!$N$31,$F150=Tab_sel!$B$45),1,"")</f>
        <v>#N/A</v>
      </c>
      <c r="BP150" s="354" t="e">
        <f>IF(AND($BC150=0,$C150=Tab_sel!$P$7,$D150=Tab_sel!$O$24,$E150=Tab_sel!$N$31,$F150=Tab_sel!$N$40,$I150=Tab_sel!$B$61),1,"")</f>
        <v>#N/A</v>
      </c>
      <c r="BQ150" s="355" t="e">
        <f>IF(AND($BC150=0,$C150=Tab_sel!$P$7,$D150=Tab_sel!$O$24,$E150=Tab_sel!$N$31,$F150=Tab_sel!$N$40,$I150=Tab_sel!$B$62),1,"")</f>
        <v>#N/A</v>
      </c>
      <c r="BR150" s="355" t="e">
        <f>IF(AND($BC150=0,$C150=Tab_sel!$P$7,$D150=Tab_sel!$O$24,$E150=Tab_sel!$N$31,$F150=Tab_sel!$N$40,$I150=Tab_sel!$B$63),1,"")</f>
        <v>#N/A</v>
      </c>
      <c r="BS150" s="355" t="e">
        <f>IF(AND($BC150=0,$C150=Tab_sel!$P$7,$D150=Tab_sel!$O$24,$E150=Tab_sel!$N$31,$F150=Tab_sel!$N$40,$I150=Tab_sel!$B$64),1,"")</f>
        <v>#N/A</v>
      </c>
      <c r="BT150" s="356" t="e">
        <f>IF(AND($BC150=0,$C150=Tab_sel!$P$7,$D150=Tab_sel!$O$24,$E150=Tab_sel!$N$31,$F150=Tab_sel!$N$40,$I150=Tab_sel!$B$65),1,"")</f>
        <v>#N/A</v>
      </c>
      <c r="BU150" s="856" t="e">
        <f>IF(AND($BC150=0,$C150=Tab_sel!$P$7,$D150=Tab_sel!$O$24,$E150=Tab_sel!$N$31,$F150=Tab_sel!$N$40,$I150=Tab_sel!$P$61,$H150=Tab_sel!$B$77),1,"")</f>
        <v>#N/A</v>
      </c>
      <c r="BV150" s="883" t="e">
        <f>IF(AND($BC150=0,$C150=Tab_sel!$P$7,$D150=Tab_sel!$O$24,$E150=Tab_sel!$N$31,$F150=Tab_sel!$N$40,$I150=Tab_sel!$P$61,$H150=Tab_sel!$B$78),1,"")</f>
        <v>#N/A</v>
      </c>
      <c r="BW150" s="883" t="e">
        <f>IF(AND($BC150=0,$C150=Tab_sel!$P$7,$D150=Tab_sel!$O$24,$E150=Tab_sel!$N$31,$F150=Tab_sel!$N$40,$I150=Tab_sel!$P$61,$H150=Tab_sel!$B$79),1,"")</f>
        <v>#N/A</v>
      </c>
      <c r="BX150" s="883" t="e">
        <f>IF(AND($BC150=0,$C150=Tab_sel!$P$7,$D150=Tab_sel!$O$24,$E150=Tab_sel!$N$31,$F150=Tab_sel!$N$40,$I150=Tab_sel!$P$61,$H150=Tab_sel!$B$80),1,"")</f>
        <v>#N/A</v>
      </c>
      <c r="BY150" s="883" t="e">
        <f>IF(AND($BC150=0,$C150=Tab_sel!$P$7,$D150=Tab_sel!$O$24,$E150=Tab_sel!$N$31,$F150=Tab_sel!$N$40,$I150=Tab_sel!$P$61,$H150=Tab_sel!$B$81),1,"")</f>
        <v>#N/A</v>
      </c>
      <c r="BZ150" s="857" t="e">
        <f>IF(AND($BC150=0,$C150=Tab_sel!$P$7,$D150=Tab_sel!$O$24,$E150=Tab_sel!$N$31,$F150=Tab_sel!$N$40,$I150=Tab_sel!$P$61,$H150=Tab_sel!$B$82),1,"")</f>
        <v>#N/A</v>
      </c>
      <c r="CA150" s="359"/>
      <c r="CC150">
        <f t="shared" si="54"/>
        <v>0</v>
      </c>
      <c r="CD150" s="882">
        <f t="shared" si="55"/>
        <v>0</v>
      </c>
      <c r="CE150" s="882">
        <f t="shared" si="56"/>
        <v>0</v>
      </c>
      <c r="CH150" t="s">
        <v>2663</v>
      </c>
      <c r="CJ150" t="s">
        <v>2662</v>
      </c>
    </row>
    <row r="151" spans="2:88" ht="44.25" customHeight="1" x14ac:dyDescent="0.25">
      <c r="B151" s="791" t="s">
        <v>2483</v>
      </c>
      <c r="C151" s="771" t="s">
        <v>71</v>
      </c>
      <c r="D151" s="772" t="s">
        <v>76</v>
      </c>
      <c r="E151" s="771" t="str">
        <f>Det</f>
        <v>Données en transit</v>
      </c>
      <c r="F151" s="768" t="str">
        <f>Disp</f>
        <v>Disparition</v>
      </c>
      <c r="G151" s="909" t="s">
        <v>2561</v>
      </c>
      <c r="H151" s="843"/>
      <c r="I151" s="909" t="s">
        <v>1171</v>
      </c>
      <c r="J151" s="769"/>
      <c r="K151" s="769" t="s">
        <v>1348</v>
      </c>
      <c r="L151" s="769"/>
      <c r="M151" s="788"/>
      <c r="N151" s="767"/>
      <c r="O151" s="767"/>
      <c r="P151" s="772"/>
      <c r="Q151" s="803"/>
      <c r="R151" s="803"/>
      <c r="S151" s="804"/>
      <c r="T151" s="772"/>
      <c r="U151" s="772"/>
      <c r="V151" s="805"/>
      <c r="W151" s="767"/>
      <c r="X151" s="767"/>
      <c r="Y151" s="772"/>
      <c r="Z151" s="772"/>
      <c r="AA151" s="772"/>
      <c r="AB151" s="805"/>
      <c r="AC151" s="806"/>
      <c r="AD151" s="806"/>
      <c r="AE151" s="806"/>
      <c r="AF151" s="806"/>
      <c r="AG151" s="806"/>
      <c r="AH151" s="805"/>
      <c r="AI151" s="807" t="str">
        <f t="shared" si="57"/>
        <v/>
      </c>
      <c r="AJ151" s="805"/>
      <c r="AK151" s="359"/>
      <c r="AM151" t="str">
        <f t="shared" si="63"/>
        <v/>
      </c>
      <c r="AN151">
        <f t="shared" si="64"/>
        <v>0</v>
      </c>
      <c r="AW151" s="882">
        <f t="shared" si="53"/>
        <v>0</v>
      </c>
      <c r="AX151" s="882">
        <f t="shared" si="66"/>
        <v>1</v>
      </c>
      <c r="AY151" s="882">
        <f t="shared" si="67"/>
        <v>1</v>
      </c>
      <c r="AZ151" s="927">
        <f t="shared" si="68"/>
        <v>1</v>
      </c>
      <c r="BA151" s="882">
        <v>1</v>
      </c>
      <c r="BB151" s="925">
        <f t="shared" si="65"/>
        <v>0</v>
      </c>
      <c r="BC151" s="882">
        <f t="shared" si="69"/>
        <v>1</v>
      </c>
      <c r="BD151" s="342" t="e">
        <f>IF(AND($BC151=0,C151=Tab_sel!$P$7,$D151=Tab_sel!$O$24,$E151=Tab_sel!$B$31),1,"")</f>
        <v>#N/A</v>
      </c>
      <c r="BE151" s="322" t="e">
        <f>IF(AND($BC151=0,C151=Tab_sel!$P$7,$D151=Tab_sel!$O$24,$E151=Tab_sel!$B$32),1,"")</f>
        <v>#N/A</v>
      </c>
      <c r="BF151" s="322" t="e">
        <f>IF(AND($BC151=0,C151=Tab_sel!$P$7,$D151=Tab_sel!$O$24,$E151=Tab_sel!$B$33),1,"")</f>
        <v>#N/A</v>
      </c>
      <c r="BG151" s="322" t="e">
        <f>IF(AND($BC151=0,C151=Tab_sel!$P$7,$D151=Tab_sel!$O$24,$E151=Tab_sel!$B$34),1,"")</f>
        <v>#N/A</v>
      </c>
      <c r="BH151" s="322" t="e">
        <f>IF(AND($BC151=0,C151=Tab_sel!$P$7,$D151=Tab_sel!$O$24,$E151=Tab_sel!$B$35),1,"")</f>
        <v>#N/A</v>
      </c>
      <c r="BI151" s="343" t="e">
        <f>IF(AND($BC151=0,C151=Tab_sel!$P$7,$D151=Tab_sel!$O$24,$E151=Tab_sel!$B$36),1,"")</f>
        <v>#N/A</v>
      </c>
      <c r="BJ151" s="342" t="e">
        <f>IF(AND($BC151=0,$C151=Tab_sel!$P$7,$D151=Tab_sel!$O$24,$E151=Tab_sel!$N$31,$F151=Tab_sel!$B$40),1,"")</f>
        <v>#N/A</v>
      </c>
      <c r="BK151" s="322" t="e">
        <f>IF(AND($BC151=0,$C151=Tab_sel!$P$7,$D151=Tab_sel!$O$24,$E151=Tab_sel!$N$31,$F151=Tab_sel!$B$41),1,"")</f>
        <v>#N/A</v>
      </c>
      <c r="BL151" s="322" t="e">
        <f>IF(AND($BC151=0,$C151=Tab_sel!$P$7,$D151=Tab_sel!$O$24,$E151=Tab_sel!$N$31,$F151=Tab_sel!$B$42),1,"")</f>
        <v>#N/A</v>
      </c>
      <c r="BM151" s="322" t="e">
        <f>IF(AND($BC151=0,$C151=Tab_sel!$P$7,$D151=Tab_sel!$O$24,$E151=Tab_sel!$N$31,$F151=Tab_sel!$B$43),1,"")</f>
        <v>#N/A</v>
      </c>
      <c r="BN151" s="322" t="e">
        <f>IF(AND($BC151=0,$C151=Tab_sel!$P$7,$D151=Tab_sel!$O$24,$E151=Tab_sel!$N$31,$F151=Tab_sel!$B$44),1,"")</f>
        <v>#N/A</v>
      </c>
      <c r="BO151" s="343" t="e">
        <f>IF(AND($BC151=0,$C151=Tab_sel!$P$7,$D151=Tab_sel!$O$24,$E151=Tab_sel!$N$31,$F151=Tab_sel!$B$45),1,"")</f>
        <v>#N/A</v>
      </c>
      <c r="BP151" s="354" t="e">
        <f>IF(AND($BC151=0,$C151=Tab_sel!$P$7,$D151=Tab_sel!$O$24,$E151=Tab_sel!$N$31,$F151=Tab_sel!$N$40,$I151=Tab_sel!$B$61),1,"")</f>
        <v>#N/A</v>
      </c>
      <c r="BQ151" s="355" t="e">
        <f>IF(AND($BC151=0,$C151=Tab_sel!$P$7,$D151=Tab_sel!$O$24,$E151=Tab_sel!$N$31,$F151=Tab_sel!$N$40,$I151=Tab_sel!$B$62),1,"")</f>
        <v>#N/A</v>
      </c>
      <c r="BR151" s="355" t="e">
        <f>IF(AND($BC151=0,$C151=Tab_sel!$P$7,$D151=Tab_sel!$O$24,$E151=Tab_sel!$N$31,$F151=Tab_sel!$N$40,$I151=Tab_sel!$B$63),1,"")</f>
        <v>#N/A</v>
      </c>
      <c r="BS151" s="355" t="e">
        <f>IF(AND($BC151=0,$C151=Tab_sel!$P$7,$D151=Tab_sel!$O$24,$E151=Tab_sel!$N$31,$F151=Tab_sel!$N$40,$I151=Tab_sel!$B$64),1,"")</f>
        <v>#N/A</v>
      </c>
      <c r="BT151" s="356" t="e">
        <f>IF(AND($BC151=0,$C151=Tab_sel!$P$7,$D151=Tab_sel!$O$24,$E151=Tab_sel!$N$31,$F151=Tab_sel!$N$40,$I151=Tab_sel!$B$65),1,"")</f>
        <v>#N/A</v>
      </c>
      <c r="BU151" s="856" t="e">
        <f>IF(AND($BC151=0,$C151=Tab_sel!$P$7,$D151=Tab_sel!$O$24,$E151=Tab_sel!$N$31,$F151=Tab_sel!$N$40,$I151=Tab_sel!$P$61,$H151=Tab_sel!$B$77),1,"")</f>
        <v>#N/A</v>
      </c>
      <c r="BV151" s="883" t="e">
        <f>IF(AND($BC151=0,$C151=Tab_sel!$P$7,$D151=Tab_sel!$O$24,$E151=Tab_sel!$N$31,$F151=Tab_sel!$N$40,$I151=Tab_sel!$P$61,$H151=Tab_sel!$B$78),1,"")</f>
        <v>#N/A</v>
      </c>
      <c r="BW151" s="883" t="e">
        <f>IF(AND($BC151=0,$C151=Tab_sel!$P$7,$D151=Tab_sel!$O$24,$E151=Tab_sel!$N$31,$F151=Tab_sel!$N$40,$I151=Tab_sel!$P$61,$H151=Tab_sel!$B$79),1,"")</f>
        <v>#N/A</v>
      </c>
      <c r="BX151" s="883" t="e">
        <f>IF(AND($BC151=0,$C151=Tab_sel!$P$7,$D151=Tab_sel!$O$24,$E151=Tab_sel!$N$31,$F151=Tab_sel!$N$40,$I151=Tab_sel!$P$61,$H151=Tab_sel!$B$80),1,"")</f>
        <v>#N/A</v>
      </c>
      <c r="BY151" s="883" t="e">
        <f>IF(AND($BC151=0,$C151=Tab_sel!$P$7,$D151=Tab_sel!$O$24,$E151=Tab_sel!$N$31,$F151=Tab_sel!$N$40,$I151=Tab_sel!$P$61,$H151=Tab_sel!$B$81),1,"")</f>
        <v>#N/A</v>
      </c>
      <c r="BZ151" s="857" t="e">
        <f>IF(AND($BC151=0,$C151=Tab_sel!$P$7,$D151=Tab_sel!$O$24,$E151=Tab_sel!$N$31,$F151=Tab_sel!$N$40,$I151=Tab_sel!$P$61,$H151=Tab_sel!$B$82),1,"")</f>
        <v>#N/A</v>
      </c>
      <c r="CA151" s="359"/>
      <c r="CC151">
        <f t="shared" si="54"/>
        <v>0</v>
      </c>
      <c r="CD151" s="882">
        <f t="shared" si="55"/>
        <v>0</v>
      </c>
      <c r="CE151" s="882">
        <f t="shared" si="56"/>
        <v>0</v>
      </c>
      <c r="CH151" t="s">
        <v>2617</v>
      </c>
    </row>
    <row r="152" spans="2:88" ht="42" customHeight="1" x14ac:dyDescent="0.25">
      <c r="B152" s="791" t="s">
        <v>2009</v>
      </c>
      <c r="C152" s="771" t="s">
        <v>71</v>
      </c>
      <c r="D152" s="772" t="s">
        <v>23</v>
      </c>
      <c r="E152" s="771" t="str">
        <f>Fic</f>
        <v xml:space="preserve">Fichier ou base de données </v>
      </c>
      <c r="F152" s="768" t="str">
        <f>Altd</f>
        <v>Altération (non détectée) de donnée</v>
      </c>
      <c r="G152" s="768" t="s">
        <v>1107</v>
      </c>
      <c r="H152" s="768"/>
      <c r="I152" s="771" t="s">
        <v>1198</v>
      </c>
      <c r="J152" s="769"/>
      <c r="K152" s="769" t="s">
        <v>2459</v>
      </c>
      <c r="L152" s="769"/>
      <c r="M152" s="790"/>
      <c r="N152" s="767"/>
      <c r="O152" s="767"/>
      <c r="P152" s="772"/>
      <c r="Q152" s="803"/>
      <c r="R152" s="803"/>
      <c r="S152" s="804"/>
      <c r="T152" s="772"/>
      <c r="U152" s="772"/>
      <c r="V152" s="805"/>
      <c r="W152" s="767"/>
      <c r="X152" s="767"/>
      <c r="Y152" s="772"/>
      <c r="Z152" s="772"/>
      <c r="AA152" s="772"/>
      <c r="AB152" s="805"/>
      <c r="AC152" s="806"/>
      <c r="AD152" s="806"/>
      <c r="AE152" s="806"/>
      <c r="AF152" s="806"/>
      <c r="AG152" s="806"/>
      <c r="AH152" s="805"/>
      <c r="AI152" s="807" t="str">
        <f t="shared" si="57"/>
        <v/>
      </c>
      <c r="AJ152" s="805"/>
      <c r="AK152" s="359"/>
      <c r="AM152" t="str">
        <f t="shared" si="63"/>
        <v/>
      </c>
      <c r="AN152">
        <f t="shared" si="64"/>
        <v>0</v>
      </c>
      <c r="AW152" s="882">
        <f t="shared" si="53"/>
        <v>0</v>
      </c>
      <c r="AX152" s="882">
        <f t="shared" si="66"/>
        <v>1</v>
      </c>
      <c r="AY152" s="882">
        <f t="shared" si="67"/>
        <v>1</v>
      </c>
      <c r="AZ152" s="927">
        <f t="shared" si="68"/>
        <v>1</v>
      </c>
      <c r="BA152" s="882">
        <v>1</v>
      </c>
      <c r="BB152" s="925">
        <f t="shared" si="65"/>
        <v>0</v>
      </c>
      <c r="BC152" s="882">
        <f t="shared" si="69"/>
        <v>1</v>
      </c>
      <c r="BD152" s="342" t="e">
        <f>IF(AND($BC152=0,C152=Tab_sel!$P$7,$D152=Tab_sel!$O$24,$E152=Tab_sel!$B$31),1,"")</f>
        <v>#N/A</v>
      </c>
      <c r="BE152" s="322" t="e">
        <f>IF(AND($BC152=0,C152=Tab_sel!$P$7,$D152=Tab_sel!$O$24,$E152=Tab_sel!$B$32),1,"")</f>
        <v>#N/A</v>
      </c>
      <c r="BF152" s="322" t="e">
        <f>IF(AND($BC152=0,C152=Tab_sel!$P$7,$D152=Tab_sel!$O$24,$E152=Tab_sel!$B$33),1,"")</f>
        <v>#N/A</v>
      </c>
      <c r="BG152" s="322" t="e">
        <f>IF(AND($BC152=0,C152=Tab_sel!$P$7,$D152=Tab_sel!$O$24,$E152=Tab_sel!$B$34),1,"")</f>
        <v>#N/A</v>
      </c>
      <c r="BH152" s="322" t="e">
        <f>IF(AND($BC152=0,C152=Tab_sel!$P$7,$D152=Tab_sel!$O$24,$E152=Tab_sel!$B$35),1,"")</f>
        <v>#N/A</v>
      </c>
      <c r="BI152" s="343" t="e">
        <f>IF(AND($BC152=0,C152=Tab_sel!$P$7,$D152=Tab_sel!$O$24,$E152=Tab_sel!$B$36),1,"")</f>
        <v>#N/A</v>
      </c>
      <c r="BJ152" s="342" t="e">
        <f>IF(AND($BC152=0,$C152=Tab_sel!$P$7,$D152=Tab_sel!$O$24,$E152=Tab_sel!$N$31,$F152=Tab_sel!$B$40),1,"")</f>
        <v>#N/A</v>
      </c>
      <c r="BK152" s="322" t="e">
        <f>IF(AND($BC152=0,$C152=Tab_sel!$P$7,$D152=Tab_sel!$O$24,$E152=Tab_sel!$N$31,$F152=Tab_sel!$B$41),1,"")</f>
        <v>#N/A</v>
      </c>
      <c r="BL152" s="322" t="e">
        <f>IF(AND($BC152=0,$C152=Tab_sel!$P$7,$D152=Tab_sel!$O$24,$E152=Tab_sel!$N$31,$F152=Tab_sel!$B$42),1,"")</f>
        <v>#N/A</v>
      </c>
      <c r="BM152" s="322" t="e">
        <f>IF(AND($BC152=0,$C152=Tab_sel!$P$7,$D152=Tab_sel!$O$24,$E152=Tab_sel!$N$31,$F152=Tab_sel!$B$43),1,"")</f>
        <v>#N/A</v>
      </c>
      <c r="BN152" s="322" t="e">
        <f>IF(AND($BC152=0,$C152=Tab_sel!$P$7,$D152=Tab_sel!$O$24,$E152=Tab_sel!$N$31,$F152=Tab_sel!$B$44),1,"")</f>
        <v>#N/A</v>
      </c>
      <c r="BO152" s="343" t="e">
        <f>IF(AND($BC152=0,$C152=Tab_sel!$P$7,$D152=Tab_sel!$O$24,$E152=Tab_sel!$N$31,$F152=Tab_sel!$B$45),1,"")</f>
        <v>#N/A</v>
      </c>
      <c r="BP152" s="354" t="e">
        <f>IF(AND($BC152=0,$C152=Tab_sel!$P$7,$D152=Tab_sel!$O$24,$E152=Tab_sel!$N$31,$F152=Tab_sel!$N$40,$I152=Tab_sel!$B$61),1,"")</f>
        <v>#N/A</v>
      </c>
      <c r="BQ152" s="355" t="e">
        <f>IF(AND($BC152=0,$C152=Tab_sel!$P$7,$D152=Tab_sel!$O$24,$E152=Tab_sel!$N$31,$F152=Tab_sel!$N$40,$I152=Tab_sel!$B$62),1,"")</f>
        <v>#N/A</v>
      </c>
      <c r="BR152" s="355" t="e">
        <f>IF(AND($BC152=0,$C152=Tab_sel!$P$7,$D152=Tab_sel!$O$24,$E152=Tab_sel!$N$31,$F152=Tab_sel!$N$40,$I152=Tab_sel!$B$63),1,"")</f>
        <v>#N/A</v>
      </c>
      <c r="BS152" s="355" t="e">
        <f>IF(AND($BC152=0,$C152=Tab_sel!$P$7,$D152=Tab_sel!$O$24,$E152=Tab_sel!$N$31,$F152=Tab_sel!$N$40,$I152=Tab_sel!$B$64),1,"")</f>
        <v>#N/A</v>
      </c>
      <c r="BT152" s="356" t="e">
        <f>IF(AND($BC152=0,$C152=Tab_sel!$P$7,$D152=Tab_sel!$O$24,$E152=Tab_sel!$N$31,$F152=Tab_sel!$N$40,$I152=Tab_sel!$B$65),1,"")</f>
        <v>#N/A</v>
      </c>
      <c r="BU152" s="856" t="e">
        <f>IF(AND($BC152=0,$C152=Tab_sel!$P$7,$D152=Tab_sel!$O$24,$E152=Tab_sel!$N$31,$F152=Tab_sel!$N$40,$I152=Tab_sel!$P$61,$H152=Tab_sel!$B$77),1,"")</f>
        <v>#N/A</v>
      </c>
      <c r="BV152" s="883" t="e">
        <f>IF(AND($BC152=0,$C152=Tab_sel!$P$7,$D152=Tab_sel!$O$24,$E152=Tab_sel!$N$31,$F152=Tab_sel!$N$40,$I152=Tab_sel!$P$61,$H152=Tab_sel!$B$78),1,"")</f>
        <v>#N/A</v>
      </c>
      <c r="BW152" s="883" t="e">
        <f>IF(AND($BC152=0,$C152=Tab_sel!$P$7,$D152=Tab_sel!$O$24,$E152=Tab_sel!$N$31,$F152=Tab_sel!$N$40,$I152=Tab_sel!$P$61,$H152=Tab_sel!$B$79),1,"")</f>
        <v>#N/A</v>
      </c>
      <c r="BX152" s="883" t="e">
        <f>IF(AND($BC152=0,$C152=Tab_sel!$P$7,$D152=Tab_sel!$O$24,$E152=Tab_sel!$N$31,$F152=Tab_sel!$N$40,$I152=Tab_sel!$P$61,$H152=Tab_sel!$B$80),1,"")</f>
        <v>#N/A</v>
      </c>
      <c r="BY152" s="883" t="e">
        <f>IF(AND($BC152=0,$C152=Tab_sel!$P$7,$D152=Tab_sel!$O$24,$E152=Tab_sel!$N$31,$F152=Tab_sel!$N$40,$I152=Tab_sel!$P$61,$H152=Tab_sel!$B$81),1,"")</f>
        <v>#N/A</v>
      </c>
      <c r="BZ152" s="857" t="e">
        <f>IF(AND($BC152=0,$C152=Tab_sel!$P$7,$D152=Tab_sel!$O$24,$E152=Tab_sel!$N$31,$F152=Tab_sel!$N$40,$I152=Tab_sel!$P$61,$H152=Tab_sel!$B$82),1,"")</f>
        <v>#N/A</v>
      </c>
      <c r="CA152" s="359"/>
      <c r="CC152">
        <f t="shared" si="54"/>
        <v>0</v>
      </c>
      <c r="CD152" s="882">
        <f t="shared" si="55"/>
        <v>0</v>
      </c>
      <c r="CE152" s="882">
        <f t="shared" si="56"/>
        <v>0</v>
      </c>
      <c r="CH152" t="s">
        <v>2664</v>
      </c>
    </row>
    <row r="153" spans="2:88" ht="40.5" customHeight="1" x14ac:dyDescent="0.25">
      <c r="B153" s="791" t="s">
        <v>2010</v>
      </c>
      <c r="C153" s="771" t="s">
        <v>71</v>
      </c>
      <c r="D153" s="772" t="s">
        <v>23</v>
      </c>
      <c r="E153" s="771" t="str">
        <f>Det</f>
        <v>Données en transit</v>
      </c>
      <c r="F153" s="768" t="str">
        <f>Altd</f>
        <v>Altération (non détectée) de donnée</v>
      </c>
      <c r="G153" s="768" t="s">
        <v>2557</v>
      </c>
      <c r="H153" s="876"/>
      <c r="I153" s="771" t="s">
        <v>1171</v>
      </c>
      <c r="J153" s="769"/>
      <c r="K153" s="769" t="s">
        <v>1340</v>
      </c>
      <c r="L153" s="769"/>
      <c r="M153" s="790"/>
      <c r="N153" s="767"/>
      <c r="O153" s="767"/>
      <c r="P153" s="772"/>
      <c r="Q153" s="803"/>
      <c r="R153" s="803"/>
      <c r="S153" s="804"/>
      <c r="T153" s="772"/>
      <c r="U153" s="772"/>
      <c r="V153" s="805"/>
      <c r="W153" s="767"/>
      <c r="X153" s="767"/>
      <c r="Y153" s="772"/>
      <c r="Z153" s="772"/>
      <c r="AA153" s="772"/>
      <c r="AB153" s="805"/>
      <c r="AC153" s="806"/>
      <c r="AD153" s="806"/>
      <c r="AE153" s="806"/>
      <c r="AF153" s="806"/>
      <c r="AG153" s="806"/>
      <c r="AH153" s="805"/>
      <c r="AI153" s="807" t="str">
        <f t="shared" si="57"/>
        <v/>
      </c>
      <c r="AJ153" s="805"/>
      <c r="AK153" s="359"/>
      <c r="AM153" t="str">
        <f t="shared" si="63"/>
        <v/>
      </c>
      <c r="AN153">
        <f t="shared" si="64"/>
        <v>0</v>
      </c>
      <c r="AW153" s="882">
        <f t="shared" si="53"/>
        <v>0</v>
      </c>
      <c r="AX153" s="882">
        <f t="shared" si="66"/>
        <v>1</v>
      </c>
      <c r="AY153" s="882">
        <f t="shared" si="67"/>
        <v>1</v>
      </c>
      <c r="AZ153" s="927">
        <f t="shared" si="68"/>
        <v>1</v>
      </c>
      <c r="BA153" s="882">
        <v>1</v>
      </c>
      <c r="BB153" s="925">
        <f t="shared" si="65"/>
        <v>0</v>
      </c>
      <c r="BC153" s="882">
        <f t="shared" si="69"/>
        <v>1</v>
      </c>
      <c r="BD153" s="342" t="e">
        <f>IF(AND($BC153=0,C153=Tab_sel!$P$7,$D153=Tab_sel!$O$24,$E153=Tab_sel!$B$31),1,"")</f>
        <v>#N/A</v>
      </c>
      <c r="BE153" s="322" t="e">
        <f>IF(AND($BC153=0,C153=Tab_sel!$P$7,$D153=Tab_sel!$O$24,$E153=Tab_sel!$B$32),1,"")</f>
        <v>#N/A</v>
      </c>
      <c r="BF153" s="322" t="e">
        <f>IF(AND($BC153=0,C153=Tab_sel!$P$7,$D153=Tab_sel!$O$24,$E153=Tab_sel!$B$33),1,"")</f>
        <v>#N/A</v>
      </c>
      <c r="BG153" s="322" t="e">
        <f>IF(AND($BC153=0,C153=Tab_sel!$P$7,$D153=Tab_sel!$O$24,$E153=Tab_sel!$B$34),1,"")</f>
        <v>#N/A</v>
      </c>
      <c r="BH153" s="322" t="e">
        <f>IF(AND($BC153=0,C153=Tab_sel!$P$7,$D153=Tab_sel!$O$24,$E153=Tab_sel!$B$35),1,"")</f>
        <v>#N/A</v>
      </c>
      <c r="BI153" s="343" t="e">
        <f>IF(AND($BC153=0,C153=Tab_sel!$P$7,$D153=Tab_sel!$O$24,$E153=Tab_sel!$B$36),1,"")</f>
        <v>#N/A</v>
      </c>
      <c r="BJ153" s="342" t="e">
        <f>IF(AND($BC153=0,$C153=Tab_sel!$P$7,$D153=Tab_sel!$O$24,$E153=Tab_sel!$N$31,$F153=Tab_sel!$B$40),1,"")</f>
        <v>#N/A</v>
      </c>
      <c r="BK153" s="322" t="e">
        <f>IF(AND($BC153=0,$C153=Tab_sel!$P$7,$D153=Tab_sel!$O$24,$E153=Tab_sel!$N$31,$F153=Tab_sel!$B$41),1,"")</f>
        <v>#N/A</v>
      </c>
      <c r="BL153" s="322" t="e">
        <f>IF(AND($BC153=0,$C153=Tab_sel!$P$7,$D153=Tab_sel!$O$24,$E153=Tab_sel!$N$31,$F153=Tab_sel!$B$42),1,"")</f>
        <v>#N/A</v>
      </c>
      <c r="BM153" s="322" t="e">
        <f>IF(AND($BC153=0,$C153=Tab_sel!$P$7,$D153=Tab_sel!$O$24,$E153=Tab_sel!$N$31,$F153=Tab_sel!$B$43),1,"")</f>
        <v>#N/A</v>
      </c>
      <c r="BN153" s="322" t="e">
        <f>IF(AND($BC153=0,$C153=Tab_sel!$P$7,$D153=Tab_sel!$O$24,$E153=Tab_sel!$N$31,$F153=Tab_sel!$B$44),1,"")</f>
        <v>#N/A</v>
      </c>
      <c r="BO153" s="343" t="e">
        <f>IF(AND($BC153=0,$C153=Tab_sel!$P$7,$D153=Tab_sel!$O$24,$E153=Tab_sel!$N$31,$F153=Tab_sel!$B$45),1,"")</f>
        <v>#N/A</v>
      </c>
      <c r="BP153" s="354" t="e">
        <f>IF(AND($BC153=0,$C153=Tab_sel!$P$7,$D153=Tab_sel!$O$24,$E153=Tab_sel!$N$31,$F153=Tab_sel!$N$40,$I153=Tab_sel!$B$61),1,"")</f>
        <v>#N/A</v>
      </c>
      <c r="BQ153" s="355" t="e">
        <f>IF(AND($BC153=0,$C153=Tab_sel!$P$7,$D153=Tab_sel!$O$24,$E153=Tab_sel!$N$31,$F153=Tab_sel!$N$40,$I153=Tab_sel!$B$62),1,"")</f>
        <v>#N/A</v>
      </c>
      <c r="BR153" s="355" t="e">
        <f>IF(AND($BC153=0,$C153=Tab_sel!$P$7,$D153=Tab_sel!$O$24,$E153=Tab_sel!$N$31,$F153=Tab_sel!$N$40,$I153=Tab_sel!$B$63),1,"")</f>
        <v>#N/A</v>
      </c>
      <c r="BS153" s="355" t="e">
        <f>IF(AND($BC153=0,$C153=Tab_sel!$P$7,$D153=Tab_sel!$O$24,$E153=Tab_sel!$N$31,$F153=Tab_sel!$N$40,$I153=Tab_sel!$B$64),1,"")</f>
        <v>#N/A</v>
      </c>
      <c r="BT153" s="356" t="e">
        <f>IF(AND($BC153=0,$C153=Tab_sel!$P$7,$D153=Tab_sel!$O$24,$E153=Tab_sel!$N$31,$F153=Tab_sel!$N$40,$I153=Tab_sel!$B$65),1,"")</f>
        <v>#N/A</v>
      </c>
      <c r="BU153" s="856" t="e">
        <f>IF(AND($BC153=0,$C153=Tab_sel!$P$7,$D153=Tab_sel!$O$24,$E153=Tab_sel!$N$31,$F153=Tab_sel!$N$40,$I153=Tab_sel!$P$61,$H153=Tab_sel!$B$77),1,"")</f>
        <v>#N/A</v>
      </c>
      <c r="BV153" s="883" t="e">
        <f>IF(AND($BC153=0,$C153=Tab_sel!$P$7,$D153=Tab_sel!$O$24,$E153=Tab_sel!$N$31,$F153=Tab_sel!$N$40,$I153=Tab_sel!$P$61,$H153=Tab_sel!$B$78),1,"")</f>
        <v>#N/A</v>
      </c>
      <c r="BW153" s="883" t="e">
        <f>IF(AND($BC153=0,$C153=Tab_sel!$P$7,$D153=Tab_sel!$O$24,$E153=Tab_sel!$N$31,$F153=Tab_sel!$N$40,$I153=Tab_sel!$P$61,$H153=Tab_sel!$B$79),1,"")</f>
        <v>#N/A</v>
      </c>
      <c r="BX153" s="883" t="e">
        <f>IF(AND($BC153=0,$C153=Tab_sel!$P$7,$D153=Tab_sel!$O$24,$E153=Tab_sel!$N$31,$F153=Tab_sel!$N$40,$I153=Tab_sel!$P$61,$H153=Tab_sel!$B$80),1,"")</f>
        <v>#N/A</v>
      </c>
      <c r="BY153" s="883" t="e">
        <f>IF(AND($BC153=0,$C153=Tab_sel!$P$7,$D153=Tab_sel!$O$24,$E153=Tab_sel!$N$31,$F153=Tab_sel!$N$40,$I153=Tab_sel!$P$61,$H153=Tab_sel!$B$81),1,"")</f>
        <v>#N/A</v>
      </c>
      <c r="BZ153" s="857" t="e">
        <f>IF(AND($BC153=0,$C153=Tab_sel!$P$7,$D153=Tab_sel!$O$24,$E153=Tab_sel!$N$31,$F153=Tab_sel!$N$40,$I153=Tab_sel!$P$61,$H153=Tab_sel!$B$82),1,"")</f>
        <v>#N/A</v>
      </c>
      <c r="CA153" s="359"/>
      <c r="CC153">
        <f t="shared" si="54"/>
        <v>0</v>
      </c>
      <c r="CD153" s="882">
        <f t="shared" si="55"/>
        <v>0</v>
      </c>
      <c r="CE153" s="882">
        <f t="shared" si="56"/>
        <v>0</v>
      </c>
      <c r="CH153" t="s">
        <v>2799</v>
      </c>
    </row>
    <row r="154" spans="2:88" ht="40.5" customHeight="1" x14ac:dyDescent="0.25">
      <c r="B154" s="791" t="s">
        <v>2484</v>
      </c>
      <c r="C154" s="874" t="s">
        <v>71</v>
      </c>
      <c r="D154" s="875" t="s">
        <v>23</v>
      </c>
      <c r="E154" s="771" t="str">
        <f>Det</f>
        <v>Données en transit</v>
      </c>
      <c r="F154" s="768" t="str">
        <f>Altd</f>
        <v>Altération (non détectée) de donnée</v>
      </c>
      <c r="G154" s="876" t="s">
        <v>2558</v>
      </c>
      <c r="H154" s="876"/>
      <c r="I154" s="874" t="s">
        <v>1198</v>
      </c>
      <c r="J154" s="877"/>
      <c r="K154" s="877" t="s">
        <v>1340</v>
      </c>
      <c r="L154" s="877"/>
      <c r="M154" s="790"/>
      <c r="N154" s="851"/>
      <c r="O154" s="851"/>
      <c r="P154" s="875"/>
      <c r="Q154" s="803"/>
      <c r="R154" s="803"/>
      <c r="S154" s="804"/>
      <c r="T154" s="875"/>
      <c r="U154" s="875"/>
      <c r="V154" s="805"/>
      <c r="W154" s="851"/>
      <c r="X154" s="851"/>
      <c r="Y154" s="875"/>
      <c r="Z154" s="875"/>
      <c r="AA154" s="875"/>
      <c r="AB154" s="805"/>
      <c r="AC154" s="806"/>
      <c r="AD154" s="806"/>
      <c r="AE154" s="806"/>
      <c r="AF154" s="806"/>
      <c r="AG154" s="806"/>
      <c r="AH154" s="805"/>
      <c r="AI154" s="807" t="str">
        <f t="shared" si="57"/>
        <v/>
      </c>
      <c r="AJ154" s="805"/>
      <c r="AK154" s="359"/>
      <c r="AM154" t="str">
        <f t="shared" si="63"/>
        <v/>
      </c>
      <c r="AN154">
        <f t="shared" si="64"/>
        <v>0</v>
      </c>
      <c r="AV154" s="882"/>
      <c r="AW154" s="882">
        <f t="shared" si="53"/>
        <v>0</v>
      </c>
      <c r="AX154" s="882">
        <f t="shared" si="66"/>
        <v>1</v>
      </c>
      <c r="AY154" s="882">
        <f t="shared" si="67"/>
        <v>1</v>
      </c>
      <c r="AZ154" s="927">
        <f t="shared" si="68"/>
        <v>1</v>
      </c>
      <c r="BA154" s="882">
        <v>1</v>
      </c>
      <c r="BB154" s="925">
        <f t="shared" si="65"/>
        <v>0</v>
      </c>
      <c r="BC154" s="882">
        <f t="shared" si="69"/>
        <v>1</v>
      </c>
      <c r="BD154" s="342" t="e">
        <f>IF(AND($BC154=0,C154=Tab_sel!$P$7,$D154=Tab_sel!$O$24,$E154=Tab_sel!$B$31),1,"")</f>
        <v>#N/A</v>
      </c>
      <c r="BE154" s="322" t="e">
        <f>IF(AND($BC154=0,C154=Tab_sel!$P$7,$D154=Tab_sel!$O$24,$E154=Tab_sel!$B$32),1,"")</f>
        <v>#N/A</v>
      </c>
      <c r="BF154" s="322" t="e">
        <f>IF(AND($BC154=0,C154=Tab_sel!$P$7,$D154=Tab_sel!$O$24,$E154=Tab_sel!$B$33),1,"")</f>
        <v>#N/A</v>
      </c>
      <c r="BG154" s="322" t="e">
        <f>IF(AND($BC154=0,C154=Tab_sel!$P$7,$D154=Tab_sel!$O$24,$E154=Tab_sel!$B$34),1,"")</f>
        <v>#N/A</v>
      </c>
      <c r="BH154" s="322" t="e">
        <f>IF(AND($BC154=0,C154=Tab_sel!$P$7,$D154=Tab_sel!$O$24,$E154=Tab_sel!$B$35),1,"")</f>
        <v>#N/A</v>
      </c>
      <c r="BI154" s="343" t="e">
        <f>IF(AND($BC154=0,C154=Tab_sel!$P$7,$D154=Tab_sel!$O$24,$E154=Tab_sel!$B$36),1,"")</f>
        <v>#N/A</v>
      </c>
      <c r="BJ154" s="342" t="e">
        <f>IF(AND($BC154=0,$C154=Tab_sel!$P$7,$D154=Tab_sel!$O$24,$E154=Tab_sel!$N$31,$F154=Tab_sel!$B$40),1,"")</f>
        <v>#N/A</v>
      </c>
      <c r="BK154" s="322" t="e">
        <f>IF(AND($BC154=0,$C154=Tab_sel!$P$7,$D154=Tab_sel!$O$24,$E154=Tab_sel!$N$31,$F154=Tab_sel!$B$41),1,"")</f>
        <v>#N/A</v>
      </c>
      <c r="BL154" s="322" t="e">
        <f>IF(AND($BC154=0,$C154=Tab_sel!$P$7,$D154=Tab_sel!$O$24,$E154=Tab_sel!$N$31,$F154=Tab_sel!$B$42),1,"")</f>
        <v>#N/A</v>
      </c>
      <c r="BM154" s="322" t="e">
        <f>IF(AND($BC154=0,$C154=Tab_sel!$P$7,$D154=Tab_sel!$O$24,$E154=Tab_sel!$N$31,$F154=Tab_sel!$B$43),1,"")</f>
        <v>#N/A</v>
      </c>
      <c r="BN154" s="322" t="e">
        <f>IF(AND($BC154=0,$C154=Tab_sel!$P$7,$D154=Tab_sel!$O$24,$E154=Tab_sel!$N$31,$F154=Tab_sel!$B$44),1,"")</f>
        <v>#N/A</v>
      </c>
      <c r="BO154" s="343" t="e">
        <f>IF(AND($BC154=0,$C154=Tab_sel!$P$7,$D154=Tab_sel!$O$24,$E154=Tab_sel!$N$31,$F154=Tab_sel!$B$45),1,"")</f>
        <v>#N/A</v>
      </c>
      <c r="BP154" s="354" t="e">
        <f>IF(AND($BC154=0,$C154=Tab_sel!$P$7,$D154=Tab_sel!$O$24,$E154=Tab_sel!$N$31,$F154=Tab_sel!$N$40,$I154=Tab_sel!$B$61),1,"")</f>
        <v>#N/A</v>
      </c>
      <c r="BQ154" s="355" t="e">
        <f>IF(AND($BC154=0,$C154=Tab_sel!$P$7,$D154=Tab_sel!$O$24,$E154=Tab_sel!$N$31,$F154=Tab_sel!$N$40,$I154=Tab_sel!$B$62),1,"")</f>
        <v>#N/A</v>
      </c>
      <c r="BR154" s="355" t="e">
        <f>IF(AND($BC154=0,$C154=Tab_sel!$P$7,$D154=Tab_sel!$O$24,$E154=Tab_sel!$N$31,$F154=Tab_sel!$N$40,$I154=Tab_sel!$B$63),1,"")</f>
        <v>#N/A</v>
      </c>
      <c r="BS154" s="355" t="e">
        <f>IF(AND($BC154=0,$C154=Tab_sel!$P$7,$D154=Tab_sel!$O$24,$E154=Tab_sel!$N$31,$F154=Tab_sel!$N$40,$I154=Tab_sel!$B$64),1,"")</f>
        <v>#N/A</v>
      </c>
      <c r="BT154" s="356" t="e">
        <f>IF(AND($BC154=0,$C154=Tab_sel!$P$7,$D154=Tab_sel!$O$24,$E154=Tab_sel!$N$31,$F154=Tab_sel!$N$40,$I154=Tab_sel!$B$65),1,"")</f>
        <v>#N/A</v>
      </c>
      <c r="BU154" s="856" t="e">
        <f>IF(AND($BC154=0,$C154=Tab_sel!$P$7,$D154=Tab_sel!$O$24,$E154=Tab_sel!$N$31,$F154=Tab_sel!$N$40,$I154=Tab_sel!$P$61,$H154=Tab_sel!$B$77),1,"")</f>
        <v>#N/A</v>
      </c>
      <c r="BV154" s="883" t="e">
        <f>IF(AND($BC154=0,$C154=Tab_sel!$P$7,$D154=Tab_sel!$O$24,$E154=Tab_sel!$N$31,$F154=Tab_sel!$N$40,$I154=Tab_sel!$P$61,$H154=Tab_sel!$B$78),1,"")</f>
        <v>#N/A</v>
      </c>
      <c r="BW154" s="883" t="e">
        <f>IF(AND($BC154=0,$C154=Tab_sel!$P$7,$D154=Tab_sel!$O$24,$E154=Tab_sel!$N$31,$F154=Tab_sel!$N$40,$I154=Tab_sel!$P$61,$H154=Tab_sel!$B$79),1,"")</f>
        <v>#N/A</v>
      </c>
      <c r="BX154" s="883" t="e">
        <f>IF(AND($BC154=0,$C154=Tab_sel!$P$7,$D154=Tab_sel!$O$24,$E154=Tab_sel!$N$31,$F154=Tab_sel!$N$40,$I154=Tab_sel!$P$61,$H154=Tab_sel!$B$80),1,"")</f>
        <v>#N/A</v>
      </c>
      <c r="BY154" s="883" t="e">
        <f>IF(AND($BC154=0,$C154=Tab_sel!$P$7,$D154=Tab_sel!$O$24,$E154=Tab_sel!$N$31,$F154=Tab_sel!$N$40,$I154=Tab_sel!$P$61,$H154=Tab_sel!$B$81),1,"")</f>
        <v>#N/A</v>
      </c>
      <c r="BZ154" s="857" t="e">
        <f>IF(AND($BC154=0,$C154=Tab_sel!$P$7,$D154=Tab_sel!$O$24,$E154=Tab_sel!$N$31,$F154=Tab_sel!$N$40,$I154=Tab_sel!$P$61,$H154=Tab_sel!$B$82),1,"")</f>
        <v>#N/A</v>
      </c>
      <c r="CA154" s="359"/>
      <c r="CC154">
        <f t="shared" si="54"/>
        <v>0</v>
      </c>
      <c r="CD154" s="882">
        <f t="shared" si="55"/>
        <v>0</v>
      </c>
      <c r="CE154" s="882">
        <f t="shared" si="56"/>
        <v>0</v>
      </c>
      <c r="CH154" t="s">
        <v>2799</v>
      </c>
    </row>
    <row r="155" spans="2:88" ht="30.75" customHeight="1" x14ac:dyDescent="0.25">
      <c r="B155" s="791" t="s">
        <v>2011</v>
      </c>
      <c r="C155" s="771" t="s">
        <v>71</v>
      </c>
      <c r="D155" s="772" t="s">
        <v>34</v>
      </c>
      <c r="E155" s="771" t="str">
        <f>Fic</f>
        <v xml:space="preserve">Fichier ou base de données </v>
      </c>
      <c r="F155" s="768" t="str">
        <f>Dive</f>
        <v>Divulgation de données</v>
      </c>
      <c r="G155" s="778" t="s">
        <v>1105</v>
      </c>
      <c r="H155" s="778"/>
      <c r="I155" s="771" t="s">
        <v>1202</v>
      </c>
      <c r="J155" s="769"/>
      <c r="K155" s="778" t="s">
        <v>2575</v>
      </c>
      <c r="L155" s="778"/>
      <c r="M155" s="824"/>
      <c r="N155" s="767"/>
      <c r="O155" s="767"/>
      <c r="P155" s="772"/>
      <c r="Q155" s="803"/>
      <c r="R155" s="803"/>
      <c r="S155" s="804"/>
      <c r="T155" s="772"/>
      <c r="U155" s="772"/>
      <c r="V155" s="805"/>
      <c r="W155" s="767"/>
      <c r="X155" s="767"/>
      <c r="Y155" s="772"/>
      <c r="Z155" s="772"/>
      <c r="AA155" s="772"/>
      <c r="AB155" s="805"/>
      <c r="AC155" s="806"/>
      <c r="AD155" s="806"/>
      <c r="AE155" s="806"/>
      <c r="AF155" s="806"/>
      <c r="AG155" s="806"/>
      <c r="AH155" s="805"/>
      <c r="AI155" s="807" t="str">
        <f t="shared" si="57"/>
        <v/>
      </c>
      <c r="AJ155" s="805"/>
      <c r="AK155" s="359"/>
      <c r="AM155" t="str">
        <f t="shared" si="63"/>
        <v/>
      </c>
      <c r="AN155">
        <f t="shared" si="64"/>
        <v>0</v>
      </c>
      <c r="AW155" s="882">
        <f t="shared" si="53"/>
        <v>0</v>
      </c>
      <c r="AX155" s="882">
        <f t="shared" si="66"/>
        <v>1</v>
      </c>
      <c r="AY155" s="882">
        <f t="shared" si="67"/>
        <v>1</v>
      </c>
      <c r="AZ155" s="927">
        <f t="shared" si="68"/>
        <v>1</v>
      </c>
      <c r="BA155" s="882">
        <v>1</v>
      </c>
      <c r="BB155" s="925">
        <f t="shared" si="65"/>
        <v>0</v>
      </c>
      <c r="BC155" s="882">
        <f t="shared" si="69"/>
        <v>1</v>
      </c>
      <c r="BD155" s="342" t="e">
        <f>IF(AND($BC155=0,C155=Tab_sel!$P$7,$D155=Tab_sel!$O$24,$E155=Tab_sel!$B$31),1,"")</f>
        <v>#N/A</v>
      </c>
      <c r="BE155" s="322" t="e">
        <f>IF(AND($BC155=0,C155=Tab_sel!$P$7,$D155=Tab_sel!$O$24,$E155=Tab_sel!$B$32),1,"")</f>
        <v>#N/A</v>
      </c>
      <c r="BF155" s="322" t="e">
        <f>IF(AND($BC155=0,C155=Tab_sel!$P$7,$D155=Tab_sel!$O$24,$E155=Tab_sel!$B$33),1,"")</f>
        <v>#N/A</v>
      </c>
      <c r="BG155" s="322" t="e">
        <f>IF(AND($BC155=0,C155=Tab_sel!$P$7,$D155=Tab_sel!$O$24,$E155=Tab_sel!$B$34),1,"")</f>
        <v>#N/A</v>
      </c>
      <c r="BH155" s="322" t="e">
        <f>IF(AND($BC155=0,C155=Tab_sel!$P$7,$D155=Tab_sel!$O$24,$E155=Tab_sel!$B$35),1,"")</f>
        <v>#N/A</v>
      </c>
      <c r="BI155" s="343" t="e">
        <f>IF(AND($BC155=0,C155=Tab_sel!$P$7,$D155=Tab_sel!$O$24,$E155=Tab_sel!$B$36),1,"")</f>
        <v>#N/A</v>
      </c>
      <c r="BJ155" s="342" t="e">
        <f>IF(AND($BC155=0,$C155=Tab_sel!$P$7,$D155=Tab_sel!$O$24,$E155=Tab_sel!$N$31,$F155=Tab_sel!$B$40),1,"")</f>
        <v>#N/A</v>
      </c>
      <c r="BK155" s="322" t="e">
        <f>IF(AND($BC155=0,$C155=Tab_sel!$P$7,$D155=Tab_sel!$O$24,$E155=Tab_sel!$N$31,$F155=Tab_sel!$B$41),1,"")</f>
        <v>#N/A</v>
      </c>
      <c r="BL155" s="322" t="e">
        <f>IF(AND($BC155=0,$C155=Tab_sel!$P$7,$D155=Tab_sel!$O$24,$E155=Tab_sel!$N$31,$F155=Tab_sel!$B$42),1,"")</f>
        <v>#N/A</v>
      </c>
      <c r="BM155" s="322" t="e">
        <f>IF(AND($BC155=0,$C155=Tab_sel!$P$7,$D155=Tab_sel!$O$24,$E155=Tab_sel!$N$31,$F155=Tab_sel!$B$43),1,"")</f>
        <v>#N/A</v>
      </c>
      <c r="BN155" s="322" t="e">
        <f>IF(AND($BC155=0,$C155=Tab_sel!$P$7,$D155=Tab_sel!$O$24,$E155=Tab_sel!$N$31,$F155=Tab_sel!$B$44),1,"")</f>
        <v>#N/A</v>
      </c>
      <c r="BO155" s="343" t="e">
        <f>IF(AND($BC155=0,$C155=Tab_sel!$P$7,$D155=Tab_sel!$O$24,$E155=Tab_sel!$N$31,$F155=Tab_sel!$B$45),1,"")</f>
        <v>#N/A</v>
      </c>
      <c r="BP155" s="354" t="e">
        <f>IF(AND($BC155=0,$C155=Tab_sel!$P$7,$D155=Tab_sel!$O$24,$E155=Tab_sel!$N$31,$F155=Tab_sel!$N$40,$I155=Tab_sel!$B$61),1,"")</f>
        <v>#N/A</v>
      </c>
      <c r="BQ155" s="355" t="e">
        <f>IF(AND($BC155=0,$C155=Tab_sel!$P$7,$D155=Tab_sel!$O$24,$E155=Tab_sel!$N$31,$F155=Tab_sel!$N$40,$I155=Tab_sel!$B$62),1,"")</f>
        <v>#N/A</v>
      </c>
      <c r="BR155" s="355" t="e">
        <f>IF(AND($BC155=0,$C155=Tab_sel!$P$7,$D155=Tab_sel!$O$24,$E155=Tab_sel!$N$31,$F155=Tab_sel!$N$40,$I155=Tab_sel!$B$63),1,"")</f>
        <v>#N/A</v>
      </c>
      <c r="BS155" s="355" t="e">
        <f>IF(AND($BC155=0,$C155=Tab_sel!$P$7,$D155=Tab_sel!$O$24,$E155=Tab_sel!$N$31,$F155=Tab_sel!$N$40,$I155=Tab_sel!$B$64),1,"")</f>
        <v>#N/A</v>
      </c>
      <c r="BT155" s="356" t="e">
        <f>IF(AND($BC155=0,$C155=Tab_sel!$P$7,$D155=Tab_sel!$O$24,$E155=Tab_sel!$N$31,$F155=Tab_sel!$N$40,$I155=Tab_sel!$B$65),1,"")</f>
        <v>#N/A</v>
      </c>
      <c r="BU155" s="856" t="e">
        <f>IF(AND($BC155=0,$C155=Tab_sel!$P$7,$D155=Tab_sel!$O$24,$E155=Tab_sel!$N$31,$F155=Tab_sel!$N$40,$I155=Tab_sel!$P$61,$H155=Tab_sel!$B$77),1,"")</f>
        <v>#N/A</v>
      </c>
      <c r="BV155" s="883" t="e">
        <f>IF(AND($BC155=0,$C155=Tab_sel!$P$7,$D155=Tab_sel!$O$24,$E155=Tab_sel!$N$31,$F155=Tab_sel!$N$40,$I155=Tab_sel!$P$61,$H155=Tab_sel!$B$78),1,"")</f>
        <v>#N/A</v>
      </c>
      <c r="BW155" s="883" t="e">
        <f>IF(AND($BC155=0,$C155=Tab_sel!$P$7,$D155=Tab_sel!$O$24,$E155=Tab_sel!$N$31,$F155=Tab_sel!$N$40,$I155=Tab_sel!$P$61,$H155=Tab_sel!$B$79),1,"")</f>
        <v>#N/A</v>
      </c>
      <c r="BX155" s="883" t="e">
        <f>IF(AND($BC155=0,$C155=Tab_sel!$P$7,$D155=Tab_sel!$O$24,$E155=Tab_sel!$N$31,$F155=Tab_sel!$N$40,$I155=Tab_sel!$P$61,$H155=Tab_sel!$B$80),1,"")</f>
        <v>#N/A</v>
      </c>
      <c r="BY155" s="883" t="e">
        <f>IF(AND($BC155=0,$C155=Tab_sel!$P$7,$D155=Tab_sel!$O$24,$E155=Tab_sel!$N$31,$F155=Tab_sel!$N$40,$I155=Tab_sel!$P$61,$H155=Tab_sel!$B$81),1,"")</f>
        <v>#N/A</v>
      </c>
      <c r="BZ155" s="857" t="e">
        <f>IF(AND($BC155=0,$C155=Tab_sel!$P$7,$D155=Tab_sel!$O$24,$E155=Tab_sel!$N$31,$F155=Tab_sel!$N$40,$I155=Tab_sel!$P$61,$H155=Tab_sel!$B$82),1,"")</f>
        <v>#N/A</v>
      </c>
      <c r="CA155" s="359"/>
      <c r="CC155">
        <f t="shared" si="54"/>
        <v>0</v>
      </c>
      <c r="CD155" s="882">
        <f t="shared" si="55"/>
        <v>0</v>
      </c>
      <c r="CE155" s="882">
        <f t="shared" si="56"/>
        <v>0</v>
      </c>
      <c r="CH155" t="s">
        <v>2665</v>
      </c>
    </row>
    <row r="156" spans="2:88" ht="30.75" customHeight="1" x14ac:dyDescent="0.25">
      <c r="B156" s="791" t="s">
        <v>2012</v>
      </c>
      <c r="C156" s="771" t="s">
        <v>71</v>
      </c>
      <c r="D156" s="772" t="s">
        <v>34</v>
      </c>
      <c r="E156" s="771" t="str">
        <f>Det</f>
        <v>Données en transit</v>
      </c>
      <c r="F156" s="768" t="str">
        <f>Dive</f>
        <v>Divulgation de données</v>
      </c>
      <c r="G156" s="768" t="s">
        <v>2593</v>
      </c>
      <c r="H156" s="768"/>
      <c r="I156" s="771" t="s">
        <v>1211</v>
      </c>
      <c r="J156" s="769"/>
      <c r="K156" s="778" t="s">
        <v>1340</v>
      </c>
      <c r="L156" s="769"/>
      <c r="M156" s="792"/>
      <c r="N156" s="767"/>
      <c r="O156" s="767"/>
      <c r="P156" s="772"/>
      <c r="Q156" s="803"/>
      <c r="R156" s="803"/>
      <c r="S156" s="804"/>
      <c r="T156" s="772"/>
      <c r="U156" s="772"/>
      <c r="V156" s="805"/>
      <c r="W156" s="767"/>
      <c r="X156" s="767"/>
      <c r="Y156" s="772"/>
      <c r="Z156" s="772"/>
      <c r="AA156" s="772"/>
      <c r="AB156" s="805"/>
      <c r="AC156" s="806"/>
      <c r="AD156" s="806"/>
      <c r="AE156" s="806"/>
      <c r="AF156" s="806"/>
      <c r="AG156" s="806"/>
      <c r="AH156" s="805"/>
      <c r="AI156" s="807" t="str">
        <f t="shared" si="57"/>
        <v/>
      </c>
      <c r="AJ156" s="805"/>
      <c r="AK156" s="359"/>
      <c r="AM156" t="str">
        <f t="shared" si="63"/>
        <v/>
      </c>
      <c r="AN156">
        <f t="shared" si="64"/>
        <v>0</v>
      </c>
      <c r="AW156" s="882">
        <f t="shared" si="53"/>
        <v>0</v>
      </c>
      <c r="AX156" s="882">
        <f t="shared" si="66"/>
        <v>1</v>
      </c>
      <c r="AY156" s="882">
        <f t="shared" si="67"/>
        <v>1</v>
      </c>
      <c r="AZ156" s="927">
        <f t="shared" si="68"/>
        <v>1</v>
      </c>
      <c r="BA156" s="882">
        <v>1</v>
      </c>
      <c r="BB156" s="925">
        <f t="shared" si="65"/>
        <v>0</v>
      </c>
      <c r="BC156" s="882">
        <f t="shared" si="69"/>
        <v>1</v>
      </c>
      <c r="BD156" s="342" t="e">
        <f>IF(AND($BC156=0,C156=Tab_sel!$P$7,$D156=Tab_sel!$O$24,$E156=Tab_sel!$B$31),1,"")</f>
        <v>#N/A</v>
      </c>
      <c r="BE156" s="322" t="e">
        <f>IF(AND($BC156=0,C156=Tab_sel!$P$7,$D156=Tab_sel!$O$24,$E156=Tab_sel!$B$32),1,"")</f>
        <v>#N/A</v>
      </c>
      <c r="BF156" s="322" t="e">
        <f>IF(AND($BC156=0,C156=Tab_sel!$P$7,$D156=Tab_sel!$O$24,$E156=Tab_sel!$B$33),1,"")</f>
        <v>#N/A</v>
      </c>
      <c r="BG156" s="322" t="e">
        <f>IF(AND($BC156=0,C156=Tab_sel!$P$7,$D156=Tab_sel!$O$24,$E156=Tab_sel!$B$34),1,"")</f>
        <v>#N/A</v>
      </c>
      <c r="BH156" s="322" t="e">
        <f>IF(AND($BC156=0,C156=Tab_sel!$P$7,$D156=Tab_sel!$O$24,$E156=Tab_sel!$B$35),1,"")</f>
        <v>#N/A</v>
      </c>
      <c r="BI156" s="343" t="e">
        <f>IF(AND($BC156=0,C156=Tab_sel!$P$7,$D156=Tab_sel!$O$24,$E156=Tab_sel!$B$36),1,"")</f>
        <v>#N/A</v>
      </c>
      <c r="BJ156" s="342" t="e">
        <f>IF(AND($BC156=0,$C156=Tab_sel!$P$7,$D156=Tab_sel!$O$24,$E156=Tab_sel!$N$31,$F156=Tab_sel!$B$40),1,"")</f>
        <v>#N/A</v>
      </c>
      <c r="BK156" s="322" t="e">
        <f>IF(AND($BC156=0,$C156=Tab_sel!$P$7,$D156=Tab_sel!$O$24,$E156=Tab_sel!$N$31,$F156=Tab_sel!$B$41),1,"")</f>
        <v>#N/A</v>
      </c>
      <c r="BL156" s="322" t="e">
        <f>IF(AND($BC156=0,$C156=Tab_sel!$P$7,$D156=Tab_sel!$O$24,$E156=Tab_sel!$N$31,$F156=Tab_sel!$B$42),1,"")</f>
        <v>#N/A</v>
      </c>
      <c r="BM156" s="322" t="e">
        <f>IF(AND($BC156=0,$C156=Tab_sel!$P$7,$D156=Tab_sel!$O$24,$E156=Tab_sel!$N$31,$F156=Tab_sel!$B$43),1,"")</f>
        <v>#N/A</v>
      </c>
      <c r="BN156" s="322" t="e">
        <f>IF(AND($BC156=0,$C156=Tab_sel!$P$7,$D156=Tab_sel!$O$24,$E156=Tab_sel!$N$31,$F156=Tab_sel!$B$44),1,"")</f>
        <v>#N/A</v>
      </c>
      <c r="BO156" s="343" t="e">
        <f>IF(AND($BC156=0,$C156=Tab_sel!$P$7,$D156=Tab_sel!$O$24,$E156=Tab_sel!$N$31,$F156=Tab_sel!$B$45),1,"")</f>
        <v>#N/A</v>
      </c>
      <c r="BP156" s="354" t="e">
        <f>IF(AND($BC156=0,$C156=Tab_sel!$P$7,$D156=Tab_sel!$O$24,$E156=Tab_sel!$N$31,$F156=Tab_sel!$N$40,$I156=Tab_sel!$B$61),1,"")</f>
        <v>#N/A</v>
      </c>
      <c r="BQ156" s="355" t="e">
        <f>IF(AND($BC156=0,$C156=Tab_sel!$P$7,$D156=Tab_sel!$O$24,$E156=Tab_sel!$N$31,$F156=Tab_sel!$N$40,$I156=Tab_sel!$B$62),1,"")</f>
        <v>#N/A</v>
      </c>
      <c r="BR156" s="355" t="e">
        <f>IF(AND($BC156=0,$C156=Tab_sel!$P$7,$D156=Tab_sel!$O$24,$E156=Tab_sel!$N$31,$F156=Tab_sel!$N$40,$I156=Tab_sel!$B$63),1,"")</f>
        <v>#N/A</v>
      </c>
      <c r="BS156" s="355" t="e">
        <f>IF(AND($BC156=0,$C156=Tab_sel!$P$7,$D156=Tab_sel!$O$24,$E156=Tab_sel!$N$31,$F156=Tab_sel!$N$40,$I156=Tab_sel!$B$64),1,"")</f>
        <v>#N/A</v>
      </c>
      <c r="BT156" s="356" t="e">
        <f>IF(AND($BC156=0,$C156=Tab_sel!$P$7,$D156=Tab_sel!$O$24,$E156=Tab_sel!$N$31,$F156=Tab_sel!$N$40,$I156=Tab_sel!$B$65),1,"")</f>
        <v>#N/A</v>
      </c>
      <c r="BU156" s="856" t="e">
        <f>IF(AND($BC156=0,$C156=Tab_sel!$P$7,$D156=Tab_sel!$O$24,$E156=Tab_sel!$N$31,$F156=Tab_sel!$N$40,$I156=Tab_sel!$P$61,$H156=Tab_sel!$B$77),1,"")</f>
        <v>#N/A</v>
      </c>
      <c r="BV156" s="883" t="e">
        <f>IF(AND($BC156=0,$C156=Tab_sel!$P$7,$D156=Tab_sel!$O$24,$E156=Tab_sel!$N$31,$F156=Tab_sel!$N$40,$I156=Tab_sel!$P$61,$H156=Tab_sel!$B$78),1,"")</f>
        <v>#N/A</v>
      </c>
      <c r="BW156" s="883" t="e">
        <f>IF(AND($BC156=0,$C156=Tab_sel!$P$7,$D156=Tab_sel!$O$24,$E156=Tab_sel!$N$31,$F156=Tab_sel!$N$40,$I156=Tab_sel!$P$61,$H156=Tab_sel!$B$79),1,"")</f>
        <v>#N/A</v>
      </c>
      <c r="BX156" s="883" t="e">
        <f>IF(AND($BC156=0,$C156=Tab_sel!$P$7,$D156=Tab_sel!$O$24,$E156=Tab_sel!$N$31,$F156=Tab_sel!$N$40,$I156=Tab_sel!$P$61,$H156=Tab_sel!$B$80),1,"")</f>
        <v>#N/A</v>
      </c>
      <c r="BY156" s="883" t="e">
        <f>IF(AND($BC156=0,$C156=Tab_sel!$P$7,$D156=Tab_sel!$O$24,$E156=Tab_sel!$N$31,$F156=Tab_sel!$N$40,$I156=Tab_sel!$P$61,$H156=Tab_sel!$B$81),1,"")</f>
        <v>#N/A</v>
      </c>
      <c r="BZ156" s="857" t="e">
        <f>IF(AND($BC156=0,$C156=Tab_sel!$P$7,$D156=Tab_sel!$O$24,$E156=Tab_sel!$N$31,$F156=Tab_sel!$N$40,$I156=Tab_sel!$P$61,$H156=Tab_sel!$B$82),1,"")</f>
        <v>#N/A</v>
      </c>
      <c r="CA156" s="359"/>
      <c r="CC156">
        <f t="shared" si="54"/>
        <v>0</v>
      </c>
      <c r="CD156" s="882">
        <f t="shared" si="55"/>
        <v>0</v>
      </c>
      <c r="CE156" s="882">
        <f t="shared" si="56"/>
        <v>0</v>
      </c>
      <c r="CH156" t="s">
        <v>2799</v>
      </c>
    </row>
    <row r="157" spans="2:88" ht="30.75" customHeight="1" x14ac:dyDescent="0.25">
      <c r="B157" s="791" t="s">
        <v>2013</v>
      </c>
      <c r="C157" s="771" t="s">
        <v>71</v>
      </c>
      <c r="D157" s="772" t="s">
        <v>34</v>
      </c>
      <c r="E157" s="771" t="str">
        <f>Det</f>
        <v>Données en transit</v>
      </c>
      <c r="F157" s="768" t="str">
        <f>Dive</f>
        <v>Divulgation de données</v>
      </c>
      <c r="G157" s="768" t="s">
        <v>1970</v>
      </c>
      <c r="H157" s="768"/>
      <c r="I157" s="771" t="s">
        <v>1944</v>
      </c>
      <c r="J157" s="769"/>
      <c r="K157" s="769" t="s">
        <v>2051</v>
      </c>
      <c r="L157" s="769"/>
      <c r="M157" s="792"/>
      <c r="N157" s="767"/>
      <c r="O157" s="767"/>
      <c r="P157" s="772"/>
      <c r="Q157" s="803"/>
      <c r="R157" s="803"/>
      <c r="S157" s="804"/>
      <c r="T157" s="772"/>
      <c r="U157" s="772"/>
      <c r="V157" s="805"/>
      <c r="W157" s="767"/>
      <c r="X157" s="767"/>
      <c r="Y157" s="772"/>
      <c r="Z157" s="772"/>
      <c r="AA157" s="772"/>
      <c r="AB157" s="805"/>
      <c r="AC157" s="806"/>
      <c r="AD157" s="806"/>
      <c r="AE157" s="806"/>
      <c r="AF157" s="806"/>
      <c r="AG157" s="806"/>
      <c r="AH157" s="805"/>
      <c r="AI157" s="807" t="str">
        <f t="shared" si="57"/>
        <v/>
      </c>
      <c r="AJ157" s="805"/>
      <c r="AK157" s="359"/>
      <c r="AM157" t="str">
        <f t="shared" si="63"/>
        <v/>
      </c>
      <c r="AN157">
        <f t="shared" si="64"/>
        <v>0</v>
      </c>
      <c r="AW157" s="882">
        <f t="shared" si="53"/>
        <v>0</v>
      </c>
      <c r="AX157" s="882">
        <f t="shared" si="66"/>
        <v>1</v>
      </c>
      <c r="AY157" s="882">
        <f t="shared" si="67"/>
        <v>1</v>
      </c>
      <c r="AZ157" s="927">
        <f t="shared" si="68"/>
        <v>1</v>
      </c>
      <c r="BA157" s="882">
        <v>1</v>
      </c>
      <c r="BB157" s="925">
        <f t="shared" si="65"/>
        <v>0</v>
      </c>
      <c r="BC157" s="882">
        <f t="shared" si="69"/>
        <v>1</v>
      </c>
      <c r="BD157" s="342" t="e">
        <f>IF(AND($BC157=0,C157=Tab_sel!$P$7,$D157=Tab_sel!$O$24,$E157=Tab_sel!$B$31),1,"")</f>
        <v>#N/A</v>
      </c>
      <c r="BE157" s="322" t="e">
        <f>IF(AND($BC157=0,C157=Tab_sel!$P$7,$D157=Tab_sel!$O$24,$E157=Tab_sel!$B$32),1,"")</f>
        <v>#N/A</v>
      </c>
      <c r="BF157" s="322" t="e">
        <f>IF(AND($BC157=0,C157=Tab_sel!$P$7,$D157=Tab_sel!$O$24,$E157=Tab_sel!$B$33),1,"")</f>
        <v>#N/A</v>
      </c>
      <c r="BG157" s="322" t="e">
        <f>IF(AND($BC157=0,C157=Tab_sel!$P$7,$D157=Tab_sel!$O$24,$E157=Tab_sel!$B$34),1,"")</f>
        <v>#N/A</v>
      </c>
      <c r="BH157" s="322" t="e">
        <f>IF(AND($BC157=0,C157=Tab_sel!$P$7,$D157=Tab_sel!$O$24,$E157=Tab_sel!$B$35),1,"")</f>
        <v>#N/A</v>
      </c>
      <c r="BI157" s="343" t="e">
        <f>IF(AND($BC157=0,C157=Tab_sel!$P$7,$D157=Tab_sel!$O$24,$E157=Tab_sel!$B$36),1,"")</f>
        <v>#N/A</v>
      </c>
      <c r="BJ157" s="342" t="e">
        <f>IF(AND($BC157=0,$C157=Tab_sel!$P$7,$D157=Tab_sel!$O$24,$E157=Tab_sel!$N$31,$F157=Tab_sel!$B$40),1,"")</f>
        <v>#N/A</v>
      </c>
      <c r="BK157" s="322" t="e">
        <f>IF(AND($BC157=0,$C157=Tab_sel!$P$7,$D157=Tab_sel!$O$24,$E157=Tab_sel!$N$31,$F157=Tab_sel!$B$41),1,"")</f>
        <v>#N/A</v>
      </c>
      <c r="BL157" s="322" t="e">
        <f>IF(AND($BC157=0,$C157=Tab_sel!$P$7,$D157=Tab_sel!$O$24,$E157=Tab_sel!$N$31,$F157=Tab_sel!$B$42),1,"")</f>
        <v>#N/A</v>
      </c>
      <c r="BM157" s="322" t="e">
        <f>IF(AND($BC157=0,$C157=Tab_sel!$P$7,$D157=Tab_sel!$O$24,$E157=Tab_sel!$N$31,$F157=Tab_sel!$B$43),1,"")</f>
        <v>#N/A</v>
      </c>
      <c r="BN157" s="322" t="e">
        <f>IF(AND($BC157=0,$C157=Tab_sel!$P$7,$D157=Tab_sel!$O$24,$E157=Tab_sel!$N$31,$F157=Tab_sel!$B$44),1,"")</f>
        <v>#N/A</v>
      </c>
      <c r="BO157" s="343" t="e">
        <f>IF(AND($BC157=0,$C157=Tab_sel!$P$7,$D157=Tab_sel!$O$24,$E157=Tab_sel!$N$31,$F157=Tab_sel!$B$45),1,"")</f>
        <v>#N/A</v>
      </c>
      <c r="BP157" s="354" t="e">
        <f>IF(AND($BC157=0,$C157=Tab_sel!$P$7,$D157=Tab_sel!$O$24,$E157=Tab_sel!$N$31,$F157=Tab_sel!$N$40,$I157=Tab_sel!$B$61),1,"")</f>
        <v>#N/A</v>
      </c>
      <c r="BQ157" s="355" t="e">
        <f>IF(AND($BC157=0,$C157=Tab_sel!$P$7,$D157=Tab_sel!$O$24,$E157=Tab_sel!$N$31,$F157=Tab_sel!$N$40,$I157=Tab_sel!$B$62),1,"")</f>
        <v>#N/A</v>
      </c>
      <c r="BR157" s="355" t="e">
        <f>IF(AND($BC157=0,$C157=Tab_sel!$P$7,$D157=Tab_sel!$O$24,$E157=Tab_sel!$N$31,$F157=Tab_sel!$N$40,$I157=Tab_sel!$B$63),1,"")</f>
        <v>#N/A</v>
      </c>
      <c r="BS157" s="355" t="e">
        <f>IF(AND($BC157=0,$C157=Tab_sel!$P$7,$D157=Tab_sel!$O$24,$E157=Tab_sel!$N$31,$F157=Tab_sel!$N$40,$I157=Tab_sel!$B$64),1,"")</f>
        <v>#N/A</v>
      </c>
      <c r="BT157" s="356" t="e">
        <f>IF(AND($BC157=0,$C157=Tab_sel!$P$7,$D157=Tab_sel!$O$24,$E157=Tab_sel!$N$31,$F157=Tab_sel!$N$40,$I157=Tab_sel!$B$65),1,"")</f>
        <v>#N/A</v>
      </c>
      <c r="BU157" s="856" t="e">
        <f>IF(AND($BC157=0,$C157=Tab_sel!$P$7,$D157=Tab_sel!$O$24,$E157=Tab_sel!$N$31,$F157=Tab_sel!$N$40,$I157=Tab_sel!$P$61,$H157=Tab_sel!$B$77),1,"")</f>
        <v>#N/A</v>
      </c>
      <c r="BV157" s="883" t="e">
        <f>IF(AND($BC157=0,$C157=Tab_sel!$P$7,$D157=Tab_sel!$O$24,$E157=Tab_sel!$N$31,$F157=Tab_sel!$N$40,$I157=Tab_sel!$P$61,$H157=Tab_sel!$B$78),1,"")</f>
        <v>#N/A</v>
      </c>
      <c r="BW157" s="883" t="e">
        <f>IF(AND($BC157=0,$C157=Tab_sel!$P$7,$D157=Tab_sel!$O$24,$E157=Tab_sel!$N$31,$F157=Tab_sel!$N$40,$I157=Tab_sel!$P$61,$H157=Tab_sel!$B$79),1,"")</f>
        <v>#N/A</v>
      </c>
      <c r="BX157" s="883" t="e">
        <f>IF(AND($BC157=0,$C157=Tab_sel!$P$7,$D157=Tab_sel!$O$24,$E157=Tab_sel!$N$31,$F157=Tab_sel!$N$40,$I157=Tab_sel!$P$61,$H157=Tab_sel!$B$80),1,"")</f>
        <v>#N/A</v>
      </c>
      <c r="BY157" s="883" t="e">
        <f>IF(AND($BC157=0,$C157=Tab_sel!$P$7,$D157=Tab_sel!$O$24,$E157=Tab_sel!$N$31,$F157=Tab_sel!$N$40,$I157=Tab_sel!$P$61,$H157=Tab_sel!$B$81),1,"")</f>
        <v>#N/A</v>
      </c>
      <c r="BZ157" s="857" t="e">
        <f>IF(AND($BC157=0,$C157=Tab_sel!$P$7,$D157=Tab_sel!$O$24,$E157=Tab_sel!$N$31,$F157=Tab_sel!$N$40,$I157=Tab_sel!$P$61,$H157=Tab_sel!$B$82),1,"")</f>
        <v>#N/A</v>
      </c>
      <c r="CA157" s="359"/>
      <c r="CC157">
        <f t="shared" si="54"/>
        <v>0</v>
      </c>
      <c r="CD157" s="882">
        <f t="shared" si="55"/>
        <v>0</v>
      </c>
      <c r="CE157" s="882">
        <f t="shared" si="56"/>
        <v>0</v>
      </c>
      <c r="CH157" t="s">
        <v>2703</v>
      </c>
    </row>
    <row r="158" spans="2:88" ht="19.5" customHeight="1" x14ac:dyDescent="0.25">
      <c r="B158" s="825" t="s">
        <v>1137</v>
      </c>
      <c r="C158" s="1024" t="str">
        <f>Sap</f>
        <v>Services applicatifs</v>
      </c>
      <c r="D158" s="1024"/>
      <c r="E158" s="1024"/>
      <c r="F158" s="1024"/>
      <c r="G158" s="1024"/>
      <c r="H158" s="1024"/>
      <c r="I158" s="1024"/>
      <c r="J158" s="1024"/>
      <c r="K158" s="1024"/>
      <c r="L158" s="1024"/>
      <c r="M158" s="1025"/>
      <c r="N158" s="826"/>
      <c r="O158" s="826"/>
      <c r="P158" s="827"/>
      <c r="Q158" s="828"/>
      <c r="R158" s="828"/>
      <c r="S158" s="829"/>
      <c r="T158" s="827"/>
      <c r="U158" s="827"/>
      <c r="V158" s="830"/>
      <c r="W158" s="826"/>
      <c r="X158" s="826"/>
      <c r="Y158" s="827"/>
      <c r="Z158" s="827"/>
      <c r="AA158" s="827"/>
      <c r="AB158" s="830"/>
      <c r="AC158" s="831"/>
      <c r="AD158" s="831"/>
      <c r="AE158" s="831"/>
      <c r="AF158" s="831"/>
      <c r="AG158" s="831"/>
      <c r="AH158" s="830"/>
      <c r="AI158" s="807" t="str">
        <f t="shared" si="57"/>
        <v/>
      </c>
      <c r="AJ158" s="830"/>
      <c r="AK158" s="359"/>
      <c r="AW158" s="882"/>
      <c r="AX158" s="882"/>
      <c r="AY158" s="882"/>
      <c r="AZ158" s="927"/>
      <c r="BA158" s="882"/>
      <c r="BB158" s="925"/>
      <c r="BC158" s="882"/>
      <c r="BD158" s="342"/>
      <c r="BE158" s="322"/>
      <c r="BF158" s="322"/>
      <c r="BG158" s="322"/>
      <c r="BH158" s="322"/>
      <c r="BI158" s="343"/>
      <c r="BJ158" s="342"/>
      <c r="BK158" s="322"/>
      <c r="BL158" s="322"/>
      <c r="BM158" s="322"/>
      <c r="BN158" s="322"/>
      <c r="BO158" s="343"/>
      <c r="BP158" s="354"/>
      <c r="BQ158" s="355"/>
      <c r="BR158" s="355"/>
      <c r="BS158" s="355"/>
      <c r="BT158" s="356"/>
      <c r="BU158" s="856"/>
      <c r="BV158" s="883"/>
      <c r="BW158" s="883"/>
      <c r="BX158" s="883"/>
      <c r="BY158" s="883"/>
      <c r="BZ158" s="857"/>
      <c r="CA158" s="359"/>
      <c r="CC158">
        <f t="shared" si="54"/>
        <v>0</v>
      </c>
      <c r="CD158" s="882">
        <f t="shared" si="55"/>
        <v>0</v>
      </c>
      <c r="CE158" s="882">
        <f t="shared" si="56"/>
        <v>0</v>
      </c>
    </row>
    <row r="159" spans="2:88" ht="47.25" customHeight="1" x14ac:dyDescent="0.25">
      <c r="B159" s="791" t="s">
        <v>1437</v>
      </c>
      <c r="C159" s="771" t="s">
        <v>53</v>
      </c>
      <c r="D159" s="772" t="s">
        <v>76</v>
      </c>
      <c r="E159" s="771" t="str">
        <f>Cfg</f>
        <v>Configuration systèmes et applications</v>
      </c>
      <c r="F159" s="768" t="str">
        <f>Disp</f>
        <v>Disparition</v>
      </c>
      <c r="G159" s="768" t="s">
        <v>1138</v>
      </c>
      <c r="H159" s="768"/>
      <c r="I159" s="771" t="s">
        <v>1196</v>
      </c>
      <c r="J159" s="769" t="s">
        <v>2537</v>
      </c>
      <c r="K159" s="769" t="s">
        <v>1300</v>
      </c>
      <c r="L159" s="769"/>
      <c r="M159" s="788" t="s">
        <v>1259</v>
      </c>
      <c r="N159" s="767"/>
      <c r="O159" s="767"/>
      <c r="P159" s="772"/>
      <c r="Q159" s="803"/>
      <c r="R159" s="803"/>
      <c r="S159" s="804"/>
      <c r="T159" s="772"/>
      <c r="U159" s="772"/>
      <c r="V159" s="805"/>
      <c r="W159" s="767"/>
      <c r="X159" s="767"/>
      <c r="Y159" s="772"/>
      <c r="Z159" s="772"/>
      <c r="AA159" s="772"/>
      <c r="AB159" s="805"/>
      <c r="AC159" s="806"/>
      <c r="AD159" s="806"/>
      <c r="AE159" s="806"/>
      <c r="AF159" s="806"/>
      <c r="AG159" s="806"/>
      <c r="AH159" s="805"/>
      <c r="AI159" s="807" t="str">
        <f t="shared" si="57"/>
        <v/>
      </c>
      <c r="AJ159" s="805"/>
      <c r="AK159" s="359"/>
      <c r="AM159" t="str">
        <f t="shared" si="63"/>
        <v/>
      </c>
      <c r="AN159">
        <f t="shared" si="64"/>
        <v>0</v>
      </c>
      <c r="AW159" s="882">
        <f t="shared" si="53"/>
        <v>0</v>
      </c>
      <c r="AX159" s="882">
        <f t="shared" ref="AX159:AX190" si="70">VLOOKUP(E159,Tab_ActS,2,FALSE)</f>
        <v>1</v>
      </c>
      <c r="AY159" s="882">
        <f t="shared" ref="AY159:AY190" si="71">VLOOKUP(F159,Tab_SDom,3,FALSE)</f>
        <v>1</v>
      </c>
      <c r="AZ159" s="927">
        <f t="shared" ref="AZ159:AZ190" si="72">VLOOKUP($I159,Tabexpo,8,FALSE)</f>
        <v>1</v>
      </c>
      <c r="BA159" s="882">
        <v>1</v>
      </c>
      <c r="BB159" s="925">
        <f t="shared" si="65"/>
        <v>0</v>
      </c>
      <c r="BC159" s="882">
        <f t="shared" ref="BC159:BC190" si="73">IF(IndS=FALSE,IF(BB159=1,0,1),IF(BB159=0,1,AV159))</f>
        <v>1</v>
      </c>
      <c r="BD159" s="342" t="e">
        <f>IF(AND($BC159=0,C159=Tab_sel!$P$7,$D159=Tab_sel!$O$24,$E159=Tab_sel!$B$31),1,"")</f>
        <v>#N/A</v>
      </c>
      <c r="BE159" s="322" t="e">
        <f>IF(AND($BC159=0,C159=Tab_sel!$P$7,$D159=Tab_sel!$O$24,$E159=Tab_sel!$B$32),1,"")</f>
        <v>#N/A</v>
      </c>
      <c r="BF159" s="322" t="e">
        <f>IF(AND($BC159=0,C159=Tab_sel!$P$7,$D159=Tab_sel!$O$24,$E159=Tab_sel!$B$33),1,"")</f>
        <v>#N/A</v>
      </c>
      <c r="BG159" s="322" t="e">
        <f>IF(AND($BC159=0,C159=Tab_sel!$P$7,$D159=Tab_sel!$O$24,$E159=Tab_sel!$B$34),1,"")</f>
        <v>#N/A</v>
      </c>
      <c r="BH159" s="322" t="e">
        <f>IF(AND($BC159=0,C159=Tab_sel!$P$7,$D159=Tab_sel!$O$24,$E159=Tab_sel!$B$35),1,"")</f>
        <v>#N/A</v>
      </c>
      <c r="BI159" s="343" t="e">
        <f>IF(AND($BC159=0,C159=Tab_sel!$P$7,$D159=Tab_sel!$O$24,$E159=Tab_sel!$B$36),1,"")</f>
        <v>#N/A</v>
      </c>
      <c r="BJ159" s="342" t="e">
        <f>IF(AND($BC159=0,$C159=Tab_sel!$P$7,$D159=Tab_sel!$O$24,$E159=Tab_sel!$N$31,$F159=Tab_sel!$B$40),1,"")</f>
        <v>#N/A</v>
      </c>
      <c r="BK159" s="322" t="e">
        <f>IF(AND($BC159=0,$C159=Tab_sel!$P$7,$D159=Tab_sel!$O$24,$E159=Tab_sel!$N$31,$F159=Tab_sel!$B$41),1,"")</f>
        <v>#N/A</v>
      </c>
      <c r="BL159" s="322" t="e">
        <f>IF(AND($BC159=0,$C159=Tab_sel!$P$7,$D159=Tab_sel!$O$24,$E159=Tab_sel!$N$31,$F159=Tab_sel!$B$42),1,"")</f>
        <v>#N/A</v>
      </c>
      <c r="BM159" s="322" t="e">
        <f>IF(AND($BC159=0,$C159=Tab_sel!$P$7,$D159=Tab_sel!$O$24,$E159=Tab_sel!$N$31,$F159=Tab_sel!$B$43),1,"")</f>
        <v>#N/A</v>
      </c>
      <c r="BN159" s="322" t="e">
        <f>IF(AND($BC159=0,$C159=Tab_sel!$P$7,$D159=Tab_sel!$O$24,$E159=Tab_sel!$N$31,$F159=Tab_sel!$B$44),1,"")</f>
        <v>#N/A</v>
      </c>
      <c r="BO159" s="343" t="e">
        <f>IF(AND($BC159=0,$C159=Tab_sel!$P$7,$D159=Tab_sel!$O$24,$E159=Tab_sel!$N$31,$F159=Tab_sel!$B$45),1,"")</f>
        <v>#N/A</v>
      </c>
      <c r="BP159" s="354" t="e">
        <f>IF(AND($BC159=0,$C159=Tab_sel!$P$7,$D159=Tab_sel!$O$24,$E159=Tab_sel!$N$31,$F159=Tab_sel!$N$40,$I159=Tab_sel!$B$61),1,"")</f>
        <v>#N/A</v>
      </c>
      <c r="BQ159" s="355" t="e">
        <f>IF(AND($BC159=0,$C159=Tab_sel!$P$7,$D159=Tab_sel!$O$24,$E159=Tab_sel!$N$31,$F159=Tab_sel!$N$40,$I159=Tab_sel!$B$62),1,"")</f>
        <v>#N/A</v>
      </c>
      <c r="BR159" s="355" t="e">
        <f>IF(AND($BC159=0,$C159=Tab_sel!$P$7,$D159=Tab_sel!$O$24,$E159=Tab_sel!$N$31,$F159=Tab_sel!$N$40,$I159=Tab_sel!$B$63),1,"")</f>
        <v>#N/A</v>
      </c>
      <c r="BS159" s="355" t="e">
        <f>IF(AND($BC159=0,$C159=Tab_sel!$P$7,$D159=Tab_sel!$O$24,$E159=Tab_sel!$N$31,$F159=Tab_sel!$N$40,$I159=Tab_sel!$B$64),1,"")</f>
        <v>#N/A</v>
      </c>
      <c r="BT159" s="356" t="e">
        <f>IF(AND($BC159=0,$C159=Tab_sel!$P$7,$D159=Tab_sel!$O$24,$E159=Tab_sel!$N$31,$F159=Tab_sel!$N$40,$I159=Tab_sel!$B$65),1,"")</f>
        <v>#N/A</v>
      </c>
      <c r="BU159" s="856" t="e">
        <f>IF(AND($BC159=0,$C159=Tab_sel!$P$7,$D159=Tab_sel!$O$24,$E159=Tab_sel!$N$31,$F159=Tab_sel!$N$40,$I159=Tab_sel!$P$61,$H159=Tab_sel!$B$77),1,"")</f>
        <v>#N/A</v>
      </c>
      <c r="BV159" s="883" t="e">
        <f>IF(AND($BC159=0,$C159=Tab_sel!$P$7,$D159=Tab_sel!$O$24,$E159=Tab_sel!$N$31,$F159=Tab_sel!$N$40,$I159=Tab_sel!$P$61,$H159=Tab_sel!$B$78),1,"")</f>
        <v>#N/A</v>
      </c>
      <c r="BW159" s="883" t="e">
        <f>IF(AND($BC159=0,$C159=Tab_sel!$P$7,$D159=Tab_sel!$O$24,$E159=Tab_sel!$N$31,$F159=Tab_sel!$N$40,$I159=Tab_sel!$P$61,$H159=Tab_sel!$B$79),1,"")</f>
        <v>#N/A</v>
      </c>
      <c r="BX159" s="883" t="e">
        <f>IF(AND($BC159=0,$C159=Tab_sel!$P$7,$D159=Tab_sel!$O$24,$E159=Tab_sel!$N$31,$F159=Tab_sel!$N$40,$I159=Tab_sel!$P$61,$H159=Tab_sel!$B$80),1,"")</f>
        <v>#N/A</v>
      </c>
      <c r="BY159" s="883" t="e">
        <f>IF(AND($BC159=0,$C159=Tab_sel!$P$7,$D159=Tab_sel!$O$24,$E159=Tab_sel!$N$31,$F159=Tab_sel!$N$40,$I159=Tab_sel!$P$61,$H159=Tab_sel!$B$81),1,"")</f>
        <v>#N/A</v>
      </c>
      <c r="BZ159" s="857" t="e">
        <f>IF(AND($BC159=0,$C159=Tab_sel!$P$7,$D159=Tab_sel!$O$24,$E159=Tab_sel!$N$31,$F159=Tab_sel!$N$40,$I159=Tab_sel!$P$61,$H159=Tab_sel!$B$82),1,"")</f>
        <v>#N/A</v>
      </c>
      <c r="CA159" s="359"/>
      <c r="CC159">
        <f t="shared" si="54"/>
        <v>0</v>
      </c>
      <c r="CD159" s="882">
        <f t="shared" si="55"/>
        <v>0</v>
      </c>
      <c r="CE159" s="882">
        <f t="shared" si="56"/>
        <v>0</v>
      </c>
      <c r="CG159" t="s">
        <v>2609</v>
      </c>
      <c r="CH159" t="s">
        <v>2610</v>
      </c>
      <c r="CJ159" t="s">
        <v>2611</v>
      </c>
    </row>
    <row r="160" spans="2:88" ht="47.25" customHeight="1" x14ac:dyDescent="0.25">
      <c r="B160" s="791" t="s">
        <v>2414</v>
      </c>
      <c r="C160" s="874" t="s">
        <v>53</v>
      </c>
      <c r="D160" s="875" t="s">
        <v>76</v>
      </c>
      <c r="E160" s="874" t="s">
        <v>1141</v>
      </c>
      <c r="F160" s="768" t="str">
        <f>Disp</f>
        <v>Disparition</v>
      </c>
      <c r="G160" s="876" t="s">
        <v>1138</v>
      </c>
      <c r="H160" s="876" t="s">
        <v>2288</v>
      </c>
      <c r="I160" s="874" t="s">
        <v>1196</v>
      </c>
      <c r="J160" s="877" t="s">
        <v>2537</v>
      </c>
      <c r="K160" s="877" t="s">
        <v>1300</v>
      </c>
      <c r="L160" s="877" t="s">
        <v>2350</v>
      </c>
      <c r="M160" s="788" t="s">
        <v>1259</v>
      </c>
      <c r="N160" s="851"/>
      <c r="O160" s="851"/>
      <c r="P160" s="875"/>
      <c r="Q160" s="803"/>
      <c r="R160" s="803"/>
      <c r="S160" s="804"/>
      <c r="T160" s="875"/>
      <c r="U160" s="875"/>
      <c r="V160" s="805"/>
      <c r="W160" s="851"/>
      <c r="X160" s="851"/>
      <c r="Y160" s="875"/>
      <c r="Z160" s="875"/>
      <c r="AA160" s="875"/>
      <c r="AB160" s="805"/>
      <c r="AC160" s="806"/>
      <c r="AD160" s="806"/>
      <c r="AE160" s="806"/>
      <c r="AF160" s="806"/>
      <c r="AG160" s="806"/>
      <c r="AH160" s="805"/>
      <c r="AI160" s="807" t="str">
        <f t="shared" si="57"/>
        <v/>
      </c>
      <c r="AJ160" s="805"/>
      <c r="AK160" s="359"/>
      <c r="AM160" t="str">
        <f t="shared" si="63"/>
        <v/>
      </c>
      <c r="AN160">
        <f t="shared" si="64"/>
        <v>0</v>
      </c>
      <c r="AV160" s="882"/>
      <c r="AW160" s="882">
        <f t="shared" si="53"/>
        <v>0</v>
      </c>
      <c r="AX160" s="882">
        <f t="shared" si="70"/>
        <v>1</v>
      </c>
      <c r="AY160" s="882">
        <f t="shared" si="71"/>
        <v>1</v>
      </c>
      <c r="AZ160" s="927">
        <f t="shared" si="72"/>
        <v>1</v>
      </c>
      <c r="BA160" s="882">
        <v>0</v>
      </c>
      <c r="BB160" s="925">
        <f t="shared" si="65"/>
        <v>0</v>
      </c>
      <c r="BC160" s="882">
        <f t="shared" si="73"/>
        <v>1</v>
      </c>
      <c r="BD160" s="342" t="e">
        <f>IF(AND($BC160=0,C160=Tab_sel!$P$7,$D160=Tab_sel!$O$24,$E160=Tab_sel!$B$31),1,"")</f>
        <v>#N/A</v>
      </c>
      <c r="BE160" s="322" t="e">
        <f>IF(AND($BC160=0,C160=Tab_sel!$P$7,$D160=Tab_sel!$O$24,$E160=Tab_sel!$B$32),1,"")</f>
        <v>#N/A</v>
      </c>
      <c r="BF160" s="322" t="e">
        <f>IF(AND($BC160=0,C160=Tab_sel!$P$7,$D160=Tab_sel!$O$24,$E160=Tab_sel!$B$33),1,"")</f>
        <v>#N/A</v>
      </c>
      <c r="BG160" s="322" t="e">
        <f>IF(AND($BC160=0,C160=Tab_sel!$P$7,$D160=Tab_sel!$O$24,$E160=Tab_sel!$B$34),1,"")</f>
        <v>#N/A</v>
      </c>
      <c r="BH160" s="322" t="e">
        <f>IF(AND($BC160=0,C160=Tab_sel!$P$7,$D160=Tab_sel!$O$24,$E160=Tab_sel!$B$35),1,"")</f>
        <v>#N/A</v>
      </c>
      <c r="BI160" s="343" t="e">
        <f>IF(AND($BC160=0,C160=Tab_sel!$P$7,$D160=Tab_sel!$O$24,$E160=Tab_sel!$B$36),1,"")</f>
        <v>#N/A</v>
      </c>
      <c r="BJ160" s="342" t="e">
        <f>IF(AND($BC160=0,$C160=Tab_sel!$P$7,$D160=Tab_sel!$O$24,$E160=Tab_sel!$N$31,$F160=Tab_sel!$B$40),1,"")</f>
        <v>#N/A</v>
      </c>
      <c r="BK160" s="322" t="e">
        <f>IF(AND($BC160=0,$C160=Tab_sel!$P$7,$D160=Tab_sel!$O$24,$E160=Tab_sel!$N$31,$F160=Tab_sel!$B$41),1,"")</f>
        <v>#N/A</v>
      </c>
      <c r="BL160" s="322" t="e">
        <f>IF(AND($BC160=0,$C160=Tab_sel!$P$7,$D160=Tab_sel!$O$24,$E160=Tab_sel!$N$31,$F160=Tab_sel!$B$42),1,"")</f>
        <v>#N/A</v>
      </c>
      <c r="BM160" s="322" t="e">
        <f>IF(AND($BC160=0,$C160=Tab_sel!$P$7,$D160=Tab_sel!$O$24,$E160=Tab_sel!$N$31,$F160=Tab_sel!$B$43),1,"")</f>
        <v>#N/A</v>
      </c>
      <c r="BN160" s="322" t="e">
        <f>IF(AND($BC160=0,$C160=Tab_sel!$P$7,$D160=Tab_sel!$O$24,$E160=Tab_sel!$N$31,$F160=Tab_sel!$B$44),1,"")</f>
        <v>#N/A</v>
      </c>
      <c r="BO160" s="343" t="e">
        <f>IF(AND($BC160=0,$C160=Tab_sel!$P$7,$D160=Tab_sel!$O$24,$E160=Tab_sel!$N$31,$F160=Tab_sel!$B$45),1,"")</f>
        <v>#N/A</v>
      </c>
      <c r="BP160" s="354" t="e">
        <f>IF(AND($BC160=0,$C160=Tab_sel!$P$7,$D160=Tab_sel!$O$24,$E160=Tab_sel!$N$31,$F160=Tab_sel!$N$40,$I160=Tab_sel!$B$61),1,"")</f>
        <v>#N/A</v>
      </c>
      <c r="BQ160" s="355" t="e">
        <f>IF(AND($BC160=0,$C160=Tab_sel!$P$7,$D160=Tab_sel!$O$24,$E160=Tab_sel!$N$31,$F160=Tab_sel!$N$40,$I160=Tab_sel!$B$62),1,"")</f>
        <v>#N/A</v>
      </c>
      <c r="BR160" s="355" t="e">
        <f>IF(AND($BC160=0,$C160=Tab_sel!$P$7,$D160=Tab_sel!$O$24,$E160=Tab_sel!$N$31,$F160=Tab_sel!$N$40,$I160=Tab_sel!$B$63),1,"")</f>
        <v>#N/A</v>
      </c>
      <c r="BS160" s="355" t="e">
        <f>IF(AND($BC160=0,$C160=Tab_sel!$P$7,$D160=Tab_sel!$O$24,$E160=Tab_sel!$N$31,$F160=Tab_sel!$N$40,$I160=Tab_sel!$B$64),1,"")</f>
        <v>#N/A</v>
      </c>
      <c r="BT160" s="356" t="e">
        <f>IF(AND($BC160=0,$C160=Tab_sel!$P$7,$D160=Tab_sel!$O$24,$E160=Tab_sel!$N$31,$F160=Tab_sel!$N$40,$I160=Tab_sel!$B$65),1,"")</f>
        <v>#N/A</v>
      </c>
      <c r="BU160" s="856" t="e">
        <f>IF(AND($BC160=0,$C160=Tab_sel!$P$7,$D160=Tab_sel!$O$24,$E160=Tab_sel!$N$31,$F160=Tab_sel!$N$40,$I160=Tab_sel!$P$61,$H160=Tab_sel!$B$77),1,"")</f>
        <v>#N/A</v>
      </c>
      <c r="BV160" s="883" t="e">
        <f>IF(AND($BC160=0,$C160=Tab_sel!$P$7,$D160=Tab_sel!$O$24,$E160=Tab_sel!$N$31,$F160=Tab_sel!$N$40,$I160=Tab_sel!$P$61,$H160=Tab_sel!$B$78),1,"")</f>
        <v>#N/A</v>
      </c>
      <c r="BW160" s="883" t="e">
        <f>IF(AND($BC160=0,$C160=Tab_sel!$P$7,$D160=Tab_sel!$O$24,$E160=Tab_sel!$N$31,$F160=Tab_sel!$N$40,$I160=Tab_sel!$P$61,$H160=Tab_sel!$B$79),1,"")</f>
        <v>#N/A</v>
      </c>
      <c r="BX160" s="883" t="e">
        <f>IF(AND($BC160=0,$C160=Tab_sel!$P$7,$D160=Tab_sel!$O$24,$E160=Tab_sel!$N$31,$F160=Tab_sel!$N$40,$I160=Tab_sel!$P$61,$H160=Tab_sel!$B$80),1,"")</f>
        <v>#N/A</v>
      </c>
      <c r="BY160" s="883" t="e">
        <f>IF(AND($BC160=0,$C160=Tab_sel!$P$7,$D160=Tab_sel!$O$24,$E160=Tab_sel!$N$31,$F160=Tab_sel!$N$40,$I160=Tab_sel!$P$61,$H160=Tab_sel!$B$81),1,"")</f>
        <v>#N/A</v>
      </c>
      <c r="BZ160" s="857" t="e">
        <f>IF(AND($BC160=0,$C160=Tab_sel!$P$7,$D160=Tab_sel!$O$24,$E160=Tab_sel!$N$31,$F160=Tab_sel!$N$40,$I160=Tab_sel!$P$61,$H160=Tab_sel!$B$82),1,"")</f>
        <v>#N/A</v>
      </c>
      <c r="CA160" s="359"/>
      <c r="CC160">
        <f t="shared" si="54"/>
        <v>0</v>
      </c>
      <c r="CD160" s="882">
        <f t="shared" si="55"/>
        <v>0</v>
      </c>
      <c r="CE160" s="882">
        <f t="shared" si="56"/>
        <v>0</v>
      </c>
      <c r="CG160" t="s">
        <v>2609</v>
      </c>
      <c r="CH160" t="s">
        <v>2610</v>
      </c>
      <c r="CJ160" t="s">
        <v>2611</v>
      </c>
    </row>
    <row r="161" spans="2:88" ht="47.25" customHeight="1" x14ac:dyDescent="0.25">
      <c r="B161" s="791" t="s">
        <v>2415</v>
      </c>
      <c r="C161" s="874" t="s">
        <v>53</v>
      </c>
      <c r="D161" s="875" t="s">
        <v>76</v>
      </c>
      <c r="E161" s="874" t="s">
        <v>1141</v>
      </c>
      <c r="F161" s="768" t="str">
        <f>Disp</f>
        <v>Disparition</v>
      </c>
      <c r="G161" s="876" t="s">
        <v>1138</v>
      </c>
      <c r="H161" s="876" t="s">
        <v>2345</v>
      </c>
      <c r="I161" s="874" t="s">
        <v>1196</v>
      </c>
      <c r="J161" s="877" t="s">
        <v>2537</v>
      </c>
      <c r="K161" s="877" t="s">
        <v>2350</v>
      </c>
      <c r="L161" s="877" t="s">
        <v>2350</v>
      </c>
      <c r="M161" s="788" t="s">
        <v>1259</v>
      </c>
      <c r="N161" s="851"/>
      <c r="O161" s="851"/>
      <c r="P161" s="875"/>
      <c r="Q161" s="803"/>
      <c r="R161" s="803"/>
      <c r="S161" s="804"/>
      <c r="T161" s="875"/>
      <c r="U161" s="875"/>
      <c r="V161" s="805"/>
      <c r="W161" s="851"/>
      <c r="X161" s="851"/>
      <c r="Y161" s="875"/>
      <c r="Z161" s="875"/>
      <c r="AA161" s="875"/>
      <c r="AB161" s="805"/>
      <c r="AC161" s="806"/>
      <c r="AD161" s="806"/>
      <c r="AE161" s="806"/>
      <c r="AF161" s="806"/>
      <c r="AG161" s="806"/>
      <c r="AH161" s="805"/>
      <c r="AI161" s="807" t="str">
        <f t="shared" si="57"/>
        <v/>
      </c>
      <c r="AJ161" s="805"/>
      <c r="AK161" s="359"/>
      <c r="AM161" t="str">
        <f t="shared" si="63"/>
        <v/>
      </c>
      <c r="AN161">
        <f t="shared" si="64"/>
        <v>0</v>
      </c>
      <c r="AV161" s="882"/>
      <c r="AW161" s="882">
        <f t="shared" si="53"/>
        <v>0</v>
      </c>
      <c r="AX161" s="882">
        <f t="shared" si="70"/>
        <v>1</v>
      </c>
      <c r="AY161" s="882">
        <f t="shared" si="71"/>
        <v>1</v>
      </c>
      <c r="AZ161" s="927">
        <f t="shared" si="72"/>
        <v>1</v>
      </c>
      <c r="BA161" s="882">
        <v>0</v>
      </c>
      <c r="BB161" s="925">
        <f t="shared" si="65"/>
        <v>0</v>
      </c>
      <c r="BC161" s="882">
        <f t="shared" si="73"/>
        <v>1</v>
      </c>
      <c r="BD161" s="342" t="e">
        <f>IF(AND($BC161=0,C161=Tab_sel!$P$7,$D161=Tab_sel!$O$24,$E161=Tab_sel!$B$31),1,"")</f>
        <v>#N/A</v>
      </c>
      <c r="BE161" s="322" t="e">
        <f>IF(AND($BC161=0,C161=Tab_sel!$P$7,$D161=Tab_sel!$O$24,$E161=Tab_sel!$B$32),1,"")</f>
        <v>#N/A</v>
      </c>
      <c r="BF161" s="322" t="e">
        <f>IF(AND($BC161=0,C161=Tab_sel!$P$7,$D161=Tab_sel!$O$24,$E161=Tab_sel!$B$33),1,"")</f>
        <v>#N/A</v>
      </c>
      <c r="BG161" s="322" t="e">
        <f>IF(AND($BC161=0,C161=Tab_sel!$P$7,$D161=Tab_sel!$O$24,$E161=Tab_sel!$B$34),1,"")</f>
        <v>#N/A</v>
      </c>
      <c r="BH161" s="322" t="e">
        <f>IF(AND($BC161=0,C161=Tab_sel!$P$7,$D161=Tab_sel!$O$24,$E161=Tab_sel!$B$35),1,"")</f>
        <v>#N/A</v>
      </c>
      <c r="BI161" s="343" t="e">
        <f>IF(AND($BC161=0,C161=Tab_sel!$P$7,$D161=Tab_sel!$O$24,$E161=Tab_sel!$B$36),1,"")</f>
        <v>#N/A</v>
      </c>
      <c r="BJ161" s="342" t="e">
        <f>IF(AND($BC161=0,$C161=Tab_sel!$P$7,$D161=Tab_sel!$O$24,$E161=Tab_sel!$N$31,$F161=Tab_sel!$B$40),1,"")</f>
        <v>#N/A</v>
      </c>
      <c r="BK161" s="322" t="e">
        <f>IF(AND($BC161=0,$C161=Tab_sel!$P$7,$D161=Tab_sel!$O$24,$E161=Tab_sel!$N$31,$F161=Tab_sel!$B$41),1,"")</f>
        <v>#N/A</v>
      </c>
      <c r="BL161" s="322" t="e">
        <f>IF(AND($BC161=0,$C161=Tab_sel!$P$7,$D161=Tab_sel!$O$24,$E161=Tab_sel!$N$31,$F161=Tab_sel!$B$42),1,"")</f>
        <v>#N/A</v>
      </c>
      <c r="BM161" s="322" t="e">
        <f>IF(AND($BC161=0,$C161=Tab_sel!$P$7,$D161=Tab_sel!$O$24,$E161=Tab_sel!$N$31,$F161=Tab_sel!$B$43),1,"")</f>
        <v>#N/A</v>
      </c>
      <c r="BN161" s="322" t="e">
        <f>IF(AND($BC161=0,$C161=Tab_sel!$P$7,$D161=Tab_sel!$O$24,$E161=Tab_sel!$N$31,$F161=Tab_sel!$B$44),1,"")</f>
        <v>#N/A</v>
      </c>
      <c r="BO161" s="343" t="e">
        <f>IF(AND($BC161=0,$C161=Tab_sel!$P$7,$D161=Tab_sel!$O$24,$E161=Tab_sel!$N$31,$F161=Tab_sel!$B$45),1,"")</f>
        <v>#N/A</v>
      </c>
      <c r="BP161" s="354" t="e">
        <f>IF(AND($BC161=0,$C161=Tab_sel!$P$7,$D161=Tab_sel!$O$24,$E161=Tab_sel!$N$31,$F161=Tab_sel!$N$40,$I161=Tab_sel!$B$61),1,"")</f>
        <v>#N/A</v>
      </c>
      <c r="BQ161" s="355" t="e">
        <f>IF(AND($BC161=0,$C161=Tab_sel!$P$7,$D161=Tab_sel!$O$24,$E161=Tab_sel!$N$31,$F161=Tab_sel!$N$40,$I161=Tab_sel!$B$62),1,"")</f>
        <v>#N/A</v>
      </c>
      <c r="BR161" s="355" t="e">
        <f>IF(AND($BC161=0,$C161=Tab_sel!$P$7,$D161=Tab_sel!$O$24,$E161=Tab_sel!$N$31,$F161=Tab_sel!$N$40,$I161=Tab_sel!$B$63),1,"")</f>
        <v>#N/A</v>
      </c>
      <c r="BS161" s="355" t="e">
        <f>IF(AND($BC161=0,$C161=Tab_sel!$P$7,$D161=Tab_sel!$O$24,$E161=Tab_sel!$N$31,$F161=Tab_sel!$N$40,$I161=Tab_sel!$B$64),1,"")</f>
        <v>#N/A</v>
      </c>
      <c r="BT161" s="356" t="e">
        <f>IF(AND($BC161=0,$C161=Tab_sel!$P$7,$D161=Tab_sel!$O$24,$E161=Tab_sel!$N$31,$F161=Tab_sel!$N$40,$I161=Tab_sel!$B$65),1,"")</f>
        <v>#N/A</v>
      </c>
      <c r="BU161" s="856" t="e">
        <f>IF(AND($BC161=0,$C161=Tab_sel!$P$7,$D161=Tab_sel!$O$24,$E161=Tab_sel!$N$31,$F161=Tab_sel!$N$40,$I161=Tab_sel!$P$61,$H161=Tab_sel!$B$77),1,"")</f>
        <v>#N/A</v>
      </c>
      <c r="BV161" s="883" t="e">
        <f>IF(AND($BC161=0,$C161=Tab_sel!$P$7,$D161=Tab_sel!$O$24,$E161=Tab_sel!$N$31,$F161=Tab_sel!$N$40,$I161=Tab_sel!$P$61,$H161=Tab_sel!$B$78),1,"")</f>
        <v>#N/A</v>
      </c>
      <c r="BW161" s="883" t="e">
        <f>IF(AND($BC161=0,$C161=Tab_sel!$P$7,$D161=Tab_sel!$O$24,$E161=Tab_sel!$N$31,$F161=Tab_sel!$N$40,$I161=Tab_sel!$P$61,$H161=Tab_sel!$B$79),1,"")</f>
        <v>#N/A</v>
      </c>
      <c r="BX161" s="883" t="e">
        <f>IF(AND($BC161=0,$C161=Tab_sel!$P$7,$D161=Tab_sel!$O$24,$E161=Tab_sel!$N$31,$F161=Tab_sel!$N$40,$I161=Tab_sel!$P$61,$H161=Tab_sel!$B$80),1,"")</f>
        <v>#N/A</v>
      </c>
      <c r="BY161" s="883" t="e">
        <f>IF(AND($BC161=0,$C161=Tab_sel!$P$7,$D161=Tab_sel!$O$24,$E161=Tab_sel!$N$31,$F161=Tab_sel!$N$40,$I161=Tab_sel!$P$61,$H161=Tab_sel!$B$81),1,"")</f>
        <v>#N/A</v>
      </c>
      <c r="BZ161" s="857" t="e">
        <f>IF(AND($BC161=0,$C161=Tab_sel!$P$7,$D161=Tab_sel!$O$24,$E161=Tab_sel!$N$31,$F161=Tab_sel!$N$40,$I161=Tab_sel!$P$61,$H161=Tab_sel!$B$82),1,"")</f>
        <v>#N/A</v>
      </c>
      <c r="CA161" s="359"/>
      <c r="CC161">
        <f t="shared" si="54"/>
        <v>0</v>
      </c>
      <c r="CD161" s="882">
        <f t="shared" si="55"/>
        <v>0</v>
      </c>
      <c r="CE161" s="882">
        <f t="shared" si="56"/>
        <v>0</v>
      </c>
      <c r="CG161" t="s">
        <v>2609</v>
      </c>
      <c r="CJ161" t="s">
        <v>2611</v>
      </c>
    </row>
    <row r="162" spans="2:88" ht="47.25" customHeight="1" x14ac:dyDescent="0.25">
      <c r="B162" s="791" t="s">
        <v>1490</v>
      </c>
      <c r="C162" s="771" t="s">
        <v>53</v>
      </c>
      <c r="D162" s="772" t="s">
        <v>76</v>
      </c>
      <c r="E162" s="874" t="s">
        <v>1141</v>
      </c>
      <c r="F162" s="783" t="str">
        <f>Inop</f>
        <v>Inopérabilité</v>
      </c>
      <c r="G162" s="769" t="s">
        <v>2600</v>
      </c>
      <c r="H162" s="769"/>
      <c r="I162" s="771" t="s">
        <v>1197</v>
      </c>
      <c r="J162" s="769"/>
      <c r="K162" s="769" t="s">
        <v>2027</v>
      </c>
      <c r="L162" s="769"/>
      <c r="M162" s="788"/>
      <c r="N162" s="767"/>
      <c r="O162" s="767"/>
      <c r="P162" s="772"/>
      <c r="Q162" s="803"/>
      <c r="R162" s="803"/>
      <c r="S162" s="804"/>
      <c r="T162" s="772"/>
      <c r="U162" s="772"/>
      <c r="V162" s="805"/>
      <c r="W162" s="767"/>
      <c r="X162" s="767"/>
      <c r="Y162" s="772"/>
      <c r="Z162" s="772"/>
      <c r="AA162" s="772"/>
      <c r="AB162" s="805"/>
      <c r="AC162" s="806"/>
      <c r="AD162" s="806"/>
      <c r="AE162" s="806"/>
      <c r="AF162" s="806"/>
      <c r="AG162" s="806"/>
      <c r="AH162" s="805"/>
      <c r="AI162" s="807" t="str">
        <f t="shared" si="57"/>
        <v/>
      </c>
      <c r="AJ162" s="805"/>
      <c r="AK162" s="359"/>
      <c r="AM162" t="str">
        <f t="shared" si="63"/>
        <v/>
      </c>
      <c r="AN162">
        <f t="shared" si="64"/>
        <v>0</v>
      </c>
      <c r="AW162" s="882">
        <f t="shared" si="53"/>
        <v>0</v>
      </c>
      <c r="AX162" s="882">
        <f t="shared" si="70"/>
        <v>1</v>
      </c>
      <c r="AY162" s="882">
        <f t="shared" si="71"/>
        <v>1</v>
      </c>
      <c r="AZ162" s="927">
        <f t="shared" si="72"/>
        <v>1</v>
      </c>
      <c r="BA162" s="882">
        <v>1</v>
      </c>
      <c r="BB162" s="925">
        <f t="shared" si="65"/>
        <v>0</v>
      </c>
      <c r="BC162" s="882">
        <f t="shared" si="73"/>
        <v>1</v>
      </c>
      <c r="BD162" s="342" t="e">
        <f>IF(AND($BC162=0,C162=Tab_sel!$P$7,$D162=Tab_sel!$O$24,$E162=Tab_sel!$B$31),1,"")</f>
        <v>#N/A</v>
      </c>
      <c r="BE162" s="322" t="e">
        <f>IF(AND($BC162=0,C162=Tab_sel!$P$7,$D162=Tab_sel!$O$24,$E162=Tab_sel!$B$32),1,"")</f>
        <v>#N/A</v>
      </c>
      <c r="BF162" s="322" t="e">
        <f>IF(AND($BC162=0,C162=Tab_sel!$P$7,$D162=Tab_sel!$O$24,$E162=Tab_sel!$B$33),1,"")</f>
        <v>#N/A</v>
      </c>
      <c r="BG162" s="322" t="e">
        <f>IF(AND($BC162=0,C162=Tab_sel!$P$7,$D162=Tab_sel!$O$24,$E162=Tab_sel!$B$34),1,"")</f>
        <v>#N/A</v>
      </c>
      <c r="BH162" s="322" t="e">
        <f>IF(AND($BC162=0,C162=Tab_sel!$P$7,$D162=Tab_sel!$O$24,$E162=Tab_sel!$B$35),1,"")</f>
        <v>#N/A</v>
      </c>
      <c r="BI162" s="343" t="e">
        <f>IF(AND($BC162=0,C162=Tab_sel!$P$7,$D162=Tab_sel!$O$24,$E162=Tab_sel!$B$36),1,"")</f>
        <v>#N/A</v>
      </c>
      <c r="BJ162" s="342" t="e">
        <f>IF(AND($BC162=0,$C162=Tab_sel!$P$7,$D162=Tab_sel!$O$24,$E162=Tab_sel!$N$31,$F162=Tab_sel!$B$40),1,"")</f>
        <v>#N/A</v>
      </c>
      <c r="BK162" s="322" t="e">
        <f>IF(AND($BC162=0,$C162=Tab_sel!$P$7,$D162=Tab_sel!$O$24,$E162=Tab_sel!$N$31,$F162=Tab_sel!$B$41),1,"")</f>
        <v>#N/A</v>
      </c>
      <c r="BL162" s="322" t="e">
        <f>IF(AND($BC162=0,$C162=Tab_sel!$P$7,$D162=Tab_sel!$O$24,$E162=Tab_sel!$N$31,$F162=Tab_sel!$B$42),1,"")</f>
        <v>#N/A</v>
      </c>
      <c r="BM162" s="322" t="e">
        <f>IF(AND($BC162=0,$C162=Tab_sel!$P$7,$D162=Tab_sel!$O$24,$E162=Tab_sel!$N$31,$F162=Tab_sel!$B$43),1,"")</f>
        <v>#N/A</v>
      </c>
      <c r="BN162" s="322" t="e">
        <f>IF(AND($BC162=0,$C162=Tab_sel!$P$7,$D162=Tab_sel!$O$24,$E162=Tab_sel!$N$31,$F162=Tab_sel!$B$44),1,"")</f>
        <v>#N/A</v>
      </c>
      <c r="BO162" s="343" t="e">
        <f>IF(AND($BC162=0,$C162=Tab_sel!$P$7,$D162=Tab_sel!$O$24,$E162=Tab_sel!$N$31,$F162=Tab_sel!$B$45),1,"")</f>
        <v>#N/A</v>
      </c>
      <c r="BP162" s="354" t="e">
        <f>IF(AND($BC162=0,$C162=Tab_sel!$P$7,$D162=Tab_sel!$O$24,$E162=Tab_sel!$N$31,$F162=Tab_sel!$N$40,$I162=Tab_sel!$B$61),1,"")</f>
        <v>#N/A</v>
      </c>
      <c r="BQ162" s="355" t="e">
        <f>IF(AND($BC162=0,$C162=Tab_sel!$P$7,$D162=Tab_sel!$O$24,$E162=Tab_sel!$N$31,$F162=Tab_sel!$N$40,$I162=Tab_sel!$B$62),1,"")</f>
        <v>#N/A</v>
      </c>
      <c r="BR162" s="355" t="e">
        <f>IF(AND($BC162=0,$C162=Tab_sel!$P$7,$D162=Tab_sel!$O$24,$E162=Tab_sel!$N$31,$F162=Tab_sel!$N$40,$I162=Tab_sel!$B$63),1,"")</f>
        <v>#N/A</v>
      </c>
      <c r="BS162" s="355" t="e">
        <f>IF(AND($BC162=0,$C162=Tab_sel!$P$7,$D162=Tab_sel!$O$24,$E162=Tab_sel!$N$31,$F162=Tab_sel!$N$40,$I162=Tab_sel!$B$64),1,"")</f>
        <v>#N/A</v>
      </c>
      <c r="BT162" s="356" t="e">
        <f>IF(AND($BC162=0,$C162=Tab_sel!$P$7,$D162=Tab_sel!$O$24,$E162=Tab_sel!$N$31,$F162=Tab_sel!$N$40,$I162=Tab_sel!$B$65),1,"")</f>
        <v>#N/A</v>
      </c>
      <c r="BU162" s="856" t="e">
        <f>IF(AND($BC162=0,$C162=Tab_sel!$P$7,$D162=Tab_sel!$O$24,$E162=Tab_sel!$N$31,$F162=Tab_sel!$N$40,$I162=Tab_sel!$P$61,$H162=Tab_sel!$B$77),1,"")</f>
        <v>#N/A</v>
      </c>
      <c r="BV162" s="883" t="e">
        <f>IF(AND($BC162=0,$C162=Tab_sel!$P$7,$D162=Tab_sel!$O$24,$E162=Tab_sel!$N$31,$F162=Tab_sel!$N$40,$I162=Tab_sel!$P$61,$H162=Tab_sel!$B$78),1,"")</f>
        <v>#N/A</v>
      </c>
      <c r="BW162" s="883" t="e">
        <f>IF(AND($BC162=0,$C162=Tab_sel!$P$7,$D162=Tab_sel!$O$24,$E162=Tab_sel!$N$31,$F162=Tab_sel!$N$40,$I162=Tab_sel!$P$61,$H162=Tab_sel!$B$79),1,"")</f>
        <v>#N/A</v>
      </c>
      <c r="BX162" s="883" t="e">
        <f>IF(AND($BC162=0,$C162=Tab_sel!$P$7,$D162=Tab_sel!$O$24,$E162=Tab_sel!$N$31,$F162=Tab_sel!$N$40,$I162=Tab_sel!$P$61,$H162=Tab_sel!$B$80),1,"")</f>
        <v>#N/A</v>
      </c>
      <c r="BY162" s="883" t="e">
        <f>IF(AND($BC162=0,$C162=Tab_sel!$P$7,$D162=Tab_sel!$O$24,$E162=Tab_sel!$N$31,$F162=Tab_sel!$N$40,$I162=Tab_sel!$P$61,$H162=Tab_sel!$B$81),1,"")</f>
        <v>#N/A</v>
      </c>
      <c r="BZ162" s="857" t="e">
        <f>IF(AND($BC162=0,$C162=Tab_sel!$P$7,$D162=Tab_sel!$O$24,$E162=Tab_sel!$N$31,$F162=Tab_sel!$N$40,$I162=Tab_sel!$P$61,$H162=Tab_sel!$B$82),1,"")</f>
        <v>#N/A</v>
      </c>
      <c r="CA162" s="359"/>
      <c r="CC162">
        <f t="shared" si="54"/>
        <v>0</v>
      </c>
      <c r="CD162" s="882">
        <f t="shared" si="55"/>
        <v>0</v>
      </c>
      <c r="CE162" s="882">
        <f t="shared" si="56"/>
        <v>0</v>
      </c>
      <c r="CH162" t="s">
        <v>2612</v>
      </c>
    </row>
    <row r="163" spans="2:88" ht="47.25" customHeight="1" x14ac:dyDescent="0.25">
      <c r="B163" s="791" t="s">
        <v>1491</v>
      </c>
      <c r="C163" s="771" t="s">
        <v>53</v>
      </c>
      <c r="D163" s="772" t="s">
        <v>76</v>
      </c>
      <c r="E163" s="874" t="s">
        <v>1141</v>
      </c>
      <c r="F163" s="783" t="str">
        <f>Inop</f>
        <v>Inopérabilité</v>
      </c>
      <c r="G163" s="769" t="s">
        <v>1140</v>
      </c>
      <c r="H163" s="769"/>
      <c r="I163" s="771" t="s">
        <v>1158</v>
      </c>
      <c r="J163" s="769"/>
      <c r="K163" s="769"/>
      <c r="L163" s="769"/>
      <c r="M163" s="794" t="s">
        <v>1282</v>
      </c>
      <c r="N163" s="767"/>
      <c r="O163" s="767"/>
      <c r="P163" s="772"/>
      <c r="Q163" s="803"/>
      <c r="R163" s="803"/>
      <c r="S163" s="804"/>
      <c r="T163" s="772"/>
      <c r="U163" s="772"/>
      <c r="V163" s="805"/>
      <c r="W163" s="767"/>
      <c r="X163" s="767"/>
      <c r="Y163" s="772"/>
      <c r="Z163" s="772"/>
      <c r="AA163" s="772"/>
      <c r="AB163" s="805"/>
      <c r="AC163" s="806"/>
      <c r="AD163" s="806"/>
      <c r="AE163" s="806"/>
      <c r="AF163" s="806"/>
      <c r="AG163" s="806"/>
      <c r="AH163" s="805"/>
      <c r="AI163" s="807" t="str">
        <f t="shared" si="57"/>
        <v/>
      </c>
      <c r="AJ163" s="805"/>
      <c r="AK163" s="359"/>
      <c r="AM163" t="str">
        <f t="shared" si="63"/>
        <v/>
      </c>
      <c r="AN163">
        <f t="shared" si="64"/>
        <v>0</v>
      </c>
      <c r="AW163" s="882">
        <f t="shared" si="53"/>
        <v>0</v>
      </c>
      <c r="AX163" s="882">
        <f t="shared" si="70"/>
        <v>1</v>
      </c>
      <c r="AY163" s="882">
        <f t="shared" si="71"/>
        <v>1</v>
      </c>
      <c r="AZ163" s="927">
        <f t="shared" si="72"/>
        <v>1</v>
      </c>
      <c r="BA163" s="882">
        <v>1</v>
      </c>
      <c r="BB163" s="925">
        <f t="shared" si="65"/>
        <v>0</v>
      </c>
      <c r="BC163" s="882">
        <f t="shared" si="73"/>
        <v>1</v>
      </c>
      <c r="BD163" s="342" t="e">
        <f>IF(AND($BC163=0,C163=Tab_sel!$P$7,$D163=Tab_sel!$O$24,$E163=Tab_sel!$B$31),1,"")</f>
        <v>#N/A</v>
      </c>
      <c r="BE163" s="322" t="e">
        <f>IF(AND($BC163=0,C163=Tab_sel!$P$7,$D163=Tab_sel!$O$24,$E163=Tab_sel!$B$32),1,"")</f>
        <v>#N/A</v>
      </c>
      <c r="BF163" s="322" t="e">
        <f>IF(AND($BC163=0,C163=Tab_sel!$P$7,$D163=Tab_sel!$O$24,$E163=Tab_sel!$B$33),1,"")</f>
        <v>#N/A</v>
      </c>
      <c r="BG163" s="322" t="e">
        <f>IF(AND($BC163=0,C163=Tab_sel!$P$7,$D163=Tab_sel!$O$24,$E163=Tab_sel!$B$34),1,"")</f>
        <v>#N/A</v>
      </c>
      <c r="BH163" s="322" t="e">
        <f>IF(AND($BC163=0,C163=Tab_sel!$P$7,$D163=Tab_sel!$O$24,$E163=Tab_sel!$B$35),1,"")</f>
        <v>#N/A</v>
      </c>
      <c r="BI163" s="343" t="e">
        <f>IF(AND($BC163=0,C163=Tab_sel!$P$7,$D163=Tab_sel!$O$24,$E163=Tab_sel!$B$36),1,"")</f>
        <v>#N/A</v>
      </c>
      <c r="BJ163" s="342" t="e">
        <f>IF(AND($BC163=0,$C163=Tab_sel!$P$7,$D163=Tab_sel!$O$24,$E163=Tab_sel!$N$31,$F163=Tab_sel!$B$40),1,"")</f>
        <v>#N/A</v>
      </c>
      <c r="BK163" s="322" t="e">
        <f>IF(AND($BC163=0,$C163=Tab_sel!$P$7,$D163=Tab_sel!$O$24,$E163=Tab_sel!$N$31,$F163=Tab_sel!$B$41),1,"")</f>
        <v>#N/A</v>
      </c>
      <c r="BL163" s="322" t="e">
        <f>IF(AND($BC163=0,$C163=Tab_sel!$P$7,$D163=Tab_sel!$O$24,$E163=Tab_sel!$N$31,$F163=Tab_sel!$B$42),1,"")</f>
        <v>#N/A</v>
      </c>
      <c r="BM163" s="322" t="e">
        <f>IF(AND($BC163=0,$C163=Tab_sel!$P$7,$D163=Tab_sel!$O$24,$E163=Tab_sel!$N$31,$F163=Tab_sel!$B$43),1,"")</f>
        <v>#N/A</v>
      </c>
      <c r="BN163" s="322" t="e">
        <f>IF(AND($BC163=0,$C163=Tab_sel!$P$7,$D163=Tab_sel!$O$24,$E163=Tab_sel!$N$31,$F163=Tab_sel!$B$44),1,"")</f>
        <v>#N/A</v>
      </c>
      <c r="BO163" s="343" t="e">
        <f>IF(AND($BC163=0,$C163=Tab_sel!$P$7,$D163=Tab_sel!$O$24,$E163=Tab_sel!$N$31,$F163=Tab_sel!$B$45),1,"")</f>
        <v>#N/A</v>
      </c>
      <c r="BP163" s="354" t="e">
        <f>IF(AND($BC163=0,$C163=Tab_sel!$P$7,$D163=Tab_sel!$O$24,$E163=Tab_sel!$N$31,$F163=Tab_sel!$N$40,$I163=Tab_sel!$B$61),1,"")</f>
        <v>#N/A</v>
      </c>
      <c r="BQ163" s="355" t="e">
        <f>IF(AND($BC163=0,$C163=Tab_sel!$P$7,$D163=Tab_sel!$O$24,$E163=Tab_sel!$N$31,$F163=Tab_sel!$N$40,$I163=Tab_sel!$B$62),1,"")</f>
        <v>#N/A</v>
      </c>
      <c r="BR163" s="355" t="e">
        <f>IF(AND($BC163=0,$C163=Tab_sel!$P$7,$D163=Tab_sel!$O$24,$E163=Tab_sel!$N$31,$F163=Tab_sel!$N$40,$I163=Tab_sel!$B$63),1,"")</f>
        <v>#N/A</v>
      </c>
      <c r="BS163" s="355" t="e">
        <f>IF(AND($BC163=0,$C163=Tab_sel!$P$7,$D163=Tab_sel!$O$24,$E163=Tab_sel!$N$31,$F163=Tab_sel!$N$40,$I163=Tab_sel!$B$64),1,"")</f>
        <v>#N/A</v>
      </c>
      <c r="BT163" s="356" t="e">
        <f>IF(AND($BC163=0,$C163=Tab_sel!$P$7,$D163=Tab_sel!$O$24,$E163=Tab_sel!$N$31,$F163=Tab_sel!$N$40,$I163=Tab_sel!$B$65),1,"")</f>
        <v>#N/A</v>
      </c>
      <c r="BU163" s="856" t="e">
        <f>IF(AND($BC163=0,$C163=Tab_sel!$P$7,$D163=Tab_sel!$O$24,$E163=Tab_sel!$N$31,$F163=Tab_sel!$N$40,$I163=Tab_sel!$P$61,$H163=Tab_sel!$B$77),1,"")</f>
        <v>#N/A</v>
      </c>
      <c r="BV163" s="883" t="e">
        <f>IF(AND($BC163=0,$C163=Tab_sel!$P$7,$D163=Tab_sel!$O$24,$E163=Tab_sel!$N$31,$F163=Tab_sel!$N$40,$I163=Tab_sel!$P$61,$H163=Tab_sel!$B$78),1,"")</f>
        <v>#N/A</v>
      </c>
      <c r="BW163" s="883" t="e">
        <f>IF(AND($BC163=0,$C163=Tab_sel!$P$7,$D163=Tab_sel!$O$24,$E163=Tab_sel!$N$31,$F163=Tab_sel!$N$40,$I163=Tab_sel!$P$61,$H163=Tab_sel!$B$79),1,"")</f>
        <v>#N/A</v>
      </c>
      <c r="BX163" s="883" t="e">
        <f>IF(AND($BC163=0,$C163=Tab_sel!$P$7,$D163=Tab_sel!$O$24,$E163=Tab_sel!$N$31,$F163=Tab_sel!$N$40,$I163=Tab_sel!$P$61,$H163=Tab_sel!$B$80),1,"")</f>
        <v>#N/A</v>
      </c>
      <c r="BY163" s="883" t="e">
        <f>IF(AND($BC163=0,$C163=Tab_sel!$P$7,$D163=Tab_sel!$O$24,$E163=Tab_sel!$N$31,$F163=Tab_sel!$N$40,$I163=Tab_sel!$P$61,$H163=Tab_sel!$B$81),1,"")</f>
        <v>#N/A</v>
      </c>
      <c r="BZ163" s="857" t="e">
        <f>IF(AND($BC163=0,$C163=Tab_sel!$P$7,$D163=Tab_sel!$O$24,$E163=Tab_sel!$N$31,$F163=Tab_sel!$N$40,$I163=Tab_sel!$P$61,$H163=Tab_sel!$B$82),1,"")</f>
        <v>#N/A</v>
      </c>
      <c r="CA163" s="359"/>
      <c r="CC163">
        <f t="shared" si="54"/>
        <v>0</v>
      </c>
      <c r="CD163" s="882">
        <f t="shared" si="55"/>
        <v>0</v>
      </c>
      <c r="CE163" s="882">
        <f t="shared" si="56"/>
        <v>0</v>
      </c>
      <c r="CJ163" t="s">
        <v>2666</v>
      </c>
    </row>
    <row r="164" spans="2:88" ht="39.6" x14ac:dyDescent="0.25">
      <c r="B164" s="791" t="s">
        <v>1492</v>
      </c>
      <c r="C164" s="771" t="s">
        <v>53</v>
      </c>
      <c r="D164" s="772" t="s">
        <v>76</v>
      </c>
      <c r="E164" s="874" t="s">
        <v>1141</v>
      </c>
      <c r="F164" s="786" t="str">
        <f>Inex</f>
        <v>Inexploitabilité</v>
      </c>
      <c r="G164" s="769" t="s">
        <v>1109</v>
      </c>
      <c r="H164" s="769"/>
      <c r="I164" s="771" t="s">
        <v>1171</v>
      </c>
      <c r="J164" s="769"/>
      <c r="K164" s="769" t="s">
        <v>2542</v>
      </c>
      <c r="L164" s="769"/>
      <c r="M164" s="788"/>
      <c r="N164" s="767"/>
      <c r="O164" s="767"/>
      <c r="P164" s="772"/>
      <c r="Q164" s="803"/>
      <c r="R164" s="803"/>
      <c r="S164" s="804"/>
      <c r="T164" s="772"/>
      <c r="U164" s="772"/>
      <c r="V164" s="805"/>
      <c r="W164" s="767"/>
      <c r="X164" s="767"/>
      <c r="Y164" s="772"/>
      <c r="Z164" s="772"/>
      <c r="AA164" s="772"/>
      <c r="AB164" s="805"/>
      <c r="AC164" s="806"/>
      <c r="AD164" s="806"/>
      <c r="AE164" s="806"/>
      <c r="AF164" s="806"/>
      <c r="AG164" s="806"/>
      <c r="AH164" s="805"/>
      <c r="AI164" s="807" t="str">
        <f t="shared" si="57"/>
        <v/>
      </c>
      <c r="AJ164" s="805"/>
      <c r="AK164" s="359"/>
      <c r="AM164" t="str">
        <f t="shared" si="63"/>
        <v/>
      </c>
      <c r="AN164">
        <f t="shared" si="64"/>
        <v>0</v>
      </c>
      <c r="AW164" s="882">
        <f t="shared" si="53"/>
        <v>0</v>
      </c>
      <c r="AX164" s="882">
        <f t="shared" si="70"/>
        <v>1</v>
      </c>
      <c r="AY164" s="882">
        <f t="shared" si="71"/>
        <v>1</v>
      </c>
      <c r="AZ164" s="927">
        <f t="shared" si="72"/>
        <v>1</v>
      </c>
      <c r="BA164" s="882">
        <v>1</v>
      </c>
      <c r="BB164" s="925">
        <f t="shared" si="65"/>
        <v>0</v>
      </c>
      <c r="BC164" s="882">
        <f t="shared" si="73"/>
        <v>1</v>
      </c>
      <c r="BD164" s="342" t="e">
        <f>IF(AND($BC164=0,C164=Tab_sel!$P$7,$D164=Tab_sel!$O$24,$E164=Tab_sel!$B$31),1,"")</f>
        <v>#N/A</v>
      </c>
      <c r="BE164" s="322" t="e">
        <f>IF(AND($BC164=0,C164=Tab_sel!$P$7,$D164=Tab_sel!$O$24,$E164=Tab_sel!$B$32),1,"")</f>
        <v>#N/A</v>
      </c>
      <c r="BF164" s="322" t="e">
        <f>IF(AND($BC164=0,C164=Tab_sel!$P$7,$D164=Tab_sel!$O$24,$E164=Tab_sel!$B$33),1,"")</f>
        <v>#N/A</v>
      </c>
      <c r="BG164" s="322" t="e">
        <f>IF(AND($BC164=0,C164=Tab_sel!$P$7,$D164=Tab_sel!$O$24,$E164=Tab_sel!$B$34),1,"")</f>
        <v>#N/A</v>
      </c>
      <c r="BH164" s="322" t="e">
        <f>IF(AND($BC164=0,C164=Tab_sel!$P$7,$D164=Tab_sel!$O$24,$E164=Tab_sel!$B$35),1,"")</f>
        <v>#N/A</v>
      </c>
      <c r="BI164" s="343" t="e">
        <f>IF(AND($BC164=0,C164=Tab_sel!$P$7,$D164=Tab_sel!$O$24,$E164=Tab_sel!$B$36),1,"")</f>
        <v>#N/A</v>
      </c>
      <c r="BJ164" s="342" t="e">
        <f>IF(AND($BC164=0,$C164=Tab_sel!$P$7,$D164=Tab_sel!$O$24,$E164=Tab_sel!$N$31,$F164=Tab_sel!$B$40),1,"")</f>
        <v>#N/A</v>
      </c>
      <c r="BK164" s="322" t="e">
        <f>IF(AND($BC164=0,$C164=Tab_sel!$P$7,$D164=Tab_sel!$O$24,$E164=Tab_sel!$N$31,$F164=Tab_sel!$B$41),1,"")</f>
        <v>#N/A</v>
      </c>
      <c r="BL164" s="322" t="e">
        <f>IF(AND($BC164=0,$C164=Tab_sel!$P$7,$D164=Tab_sel!$O$24,$E164=Tab_sel!$N$31,$F164=Tab_sel!$B$42),1,"")</f>
        <v>#N/A</v>
      </c>
      <c r="BM164" s="322" t="e">
        <f>IF(AND($BC164=0,$C164=Tab_sel!$P$7,$D164=Tab_sel!$O$24,$E164=Tab_sel!$N$31,$F164=Tab_sel!$B$43),1,"")</f>
        <v>#N/A</v>
      </c>
      <c r="BN164" s="322" t="e">
        <f>IF(AND($BC164=0,$C164=Tab_sel!$P$7,$D164=Tab_sel!$O$24,$E164=Tab_sel!$N$31,$F164=Tab_sel!$B$44),1,"")</f>
        <v>#N/A</v>
      </c>
      <c r="BO164" s="343" t="e">
        <f>IF(AND($BC164=0,$C164=Tab_sel!$P$7,$D164=Tab_sel!$O$24,$E164=Tab_sel!$N$31,$F164=Tab_sel!$B$45),1,"")</f>
        <v>#N/A</v>
      </c>
      <c r="BP164" s="354" t="e">
        <f>IF(AND($BC164=0,$C164=Tab_sel!$P$7,$D164=Tab_sel!$O$24,$E164=Tab_sel!$N$31,$F164=Tab_sel!$N$40,$I164=Tab_sel!$B$61),1,"")</f>
        <v>#N/A</v>
      </c>
      <c r="BQ164" s="355" t="e">
        <f>IF(AND($BC164=0,$C164=Tab_sel!$P$7,$D164=Tab_sel!$O$24,$E164=Tab_sel!$N$31,$F164=Tab_sel!$N$40,$I164=Tab_sel!$B$62),1,"")</f>
        <v>#N/A</v>
      </c>
      <c r="BR164" s="355" t="e">
        <f>IF(AND($BC164=0,$C164=Tab_sel!$P$7,$D164=Tab_sel!$O$24,$E164=Tab_sel!$N$31,$F164=Tab_sel!$N$40,$I164=Tab_sel!$B$63),1,"")</f>
        <v>#N/A</v>
      </c>
      <c r="BS164" s="355" t="e">
        <f>IF(AND($BC164=0,$C164=Tab_sel!$P$7,$D164=Tab_sel!$O$24,$E164=Tab_sel!$N$31,$F164=Tab_sel!$N$40,$I164=Tab_sel!$B$64),1,"")</f>
        <v>#N/A</v>
      </c>
      <c r="BT164" s="356" t="e">
        <f>IF(AND($BC164=0,$C164=Tab_sel!$P$7,$D164=Tab_sel!$O$24,$E164=Tab_sel!$N$31,$F164=Tab_sel!$N$40,$I164=Tab_sel!$B$65),1,"")</f>
        <v>#N/A</v>
      </c>
      <c r="BU164" s="856" t="e">
        <f>IF(AND($BC164=0,$C164=Tab_sel!$P$7,$D164=Tab_sel!$O$24,$E164=Tab_sel!$N$31,$F164=Tab_sel!$N$40,$I164=Tab_sel!$P$61,$H164=Tab_sel!$B$77),1,"")</f>
        <v>#N/A</v>
      </c>
      <c r="BV164" s="883" t="e">
        <f>IF(AND($BC164=0,$C164=Tab_sel!$P$7,$D164=Tab_sel!$O$24,$E164=Tab_sel!$N$31,$F164=Tab_sel!$N$40,$I164=Tab_sel!$P$61,$H164=Tab_sel!$B$78),1,"")</f>
        <v>#N/A</v>
      </c>
      <c r="BW164" s="883" t="e">
        <f>IF(AND($BC164=0,$C164=Tab_sel!$P$7,$D164=Tab_sel!$O$24,$E164=Tab_sel!$N$31,$F164=Tab_sel!$N$40,$I164=Tab_sel!$P$61,$H164=Tab_sel!$B$79),1,"")</f>
        <v>#N/A</v>
      </c>
      <c r="BX164" s="883" t="e">
        <f>IF(AND($BC164=0,$C164=Tab_sel!$P$7,$D164=Tab_sel!$O$24,$E164=Tab_sel!$N$31,$F164=Tab_sel!$N$40,$I164=Tab_sel!$P$61,$H164=Tab_sel!$B$80),1,"")</f>
        <v>#N/A</v>
      </c>
      <c r="BY164" s="883" t="e">
        <f>IF(AND($BC164=0,$C164=Tab_sel!$P$7,$D164=Tab_sel!$O$24,$E164=Tab_sel!$N$31,$F164=Tab_sel!$N$40,$I164=Tab_sel!$P$61,$H164=Tab_sel!$B$81),1,"")</f>
        <v>#N/A</v>
      </c>
      <c r="BZ164" s="857" t="e">
        <f>IF(AND($BC164=0,$C164=Tab_sel!$P$7,$D164=Tab_sel!$O$24,$E164=Tab_sel!$N$31,$F164=Tab_sel!$N$40,$I164=Tab_sel!$P$61,$H164=Tab_sel!$B$82),1,"")</f>
        <v>#N/A</v>
      </c>
      <c r="CA164" s="359"/>
      <c r="CC164">
        <f t="shared" si="54"/>
        <v>0</v>
      </c>
      <c r="CD164" s="882">
        <f t="shared" si="55"/>
        <v>0</v>
      </c>
      <c r="CE164" s="882">
        <f t="shared" si="56"/>
        <v>0</v>
      </c>
      <c r="CH164" t="s">
        <v>2667</v>
      </c>
    </row>
    <row r="165" spans="2:88" ht="39.6" x14ac:dyDescent="0.25">
      <c r="B165" s="791" t="s">
        <v>1493</v>
      </c>
      <c r="C165" s="771" t="s">
        <v>53</v>
      </c>
      <c r="D165" s="772" t="s">
        <v>76</v>
      </c>
      <c r="E165" s="874" t="s">
        <v>1141</v>
      </c>
      <c r="F165" s="786" t="str">
        <f>Inex</f>
        <v>Inexploitabilité</v>
      </c>
      <c r="G165" s="769" t="s">
        <v>1075</v>
      </c>
      <c r="H165" s="769"/>
      <c r="I165" s="771" t="s">
        <v>1178</v>
      </c>
      <c r="J165" s="769"/>
      <c r="K165" s="769"/>
      <c r="L165" s="769"/>
      <c r="M165" s="788" t="s">
        <v>1247</v>
      </c>
      <c r="N165" s="767"/>
      <c r="O165" s="767"/>
      <c r="P165" s="772"/>
      <c r="Q165" s="803"/>
      <c r="R165" s="803"/>
      <c r="S165" s="804"/>
      <c r="T165" s="772"/>
      <c r="U165" s="772"/>
      <c r="V165" s="805"/>
      <c r="W165" s="767"/>
      <c r="X165" s="767"/>
      <c r="Y165" s="772"/>
      <c r="Z165" s="772"/>
      <c r="AA165" s="772"/>
      <c r="AB165" s="805"/>
      <c r="AC165" s="806"/>
      <c r="AD165" s="806"/>
      <c r="AE165" s="806"/>
      <c r="AF165" s="806"/>
      <c r="AG165" s="806"/>
      <c r="AH165" s="805"/>
      <c r="AI165" s="807" t="str">
        <f t="shared" si="57"/>
        <v/>
      </c>
      <c r="AJ165" s="805"/>
      <c r="AK165" s="359"/>
      <c r="AM165" t="str">
        <f t="shared" si="63"/>
        <v/>
      </c>
      <c r="AN165">
        <f t="shared" si="64"/>
        <v>0</v>
      </c>
      <c r="AW165" s="882">
        <f t="shared" si="53"/>
        <v>0</v>
      </c>
      <c r="AX165" s="882">
        <f t="shared" si="70"/>
        <v>1</v>
      </c>
      <c r="AY165" s="882">
        <f t="shared" si="71"/>
        <v>1</v>
      </c>
      <c r="AZ165" s="927">
        <f t="shared" si="72"/>
        <v>1</v>
      </c>
      <c r="BA165" s="882">
        <v>1</v>
      </c>
      <c r="BB165" s="925">
        <f t="shared" si="65"/>
        <v>0</v>
      </c>
      <c r="BC165" s="882">
        <f t="shared" si="73"/>
        <v>1</v>
      </c>
      <c r="BD165" s="342" t="e">
        <f>IF(AND($BC165=0,C165=Tab_sel!$P$7,$D165=Tab_sel!$O$24,$E165=Tab_sel!$B$31),1,"")</f>
        <v>#N/A</v>
      </c>
      <c r="BE165" s="322" t="e">
        <f>IF(AND($BC165=0,C165=Tab_sel!$P$7,$D165=Tab_sel!$O$24,$E165=Tab_sel!$B$32),1,"")</f>
        <v>#N/A</v>
      </c>
      <c r="BF165" s="322" t="e">
        <f>IF(AND($BC165=0,C165=Tab_sel!$P$7,$D165=Tab_sel!$O$24,$E165=Tab_sel!$B$33),1,"")</f>
        <v>#N/A</v>
      </c>
      <c r="BG165" s="322" t="e">
        <f>IF(AND($BC165=0,C165=Tab_sel!$P$7,$D165=Tab_sel!$O$24,$E165=Tab_sel!$B$34),1,"")</f>
        <v>#N/A</v>
      </c>
      <c r="BH165" s="322" t="e">
        <f>IF(AND($BC165=0,C165=Tab_sel!$P$7,$D165=Tab_sel!$O$24,$E165=Tab_sel!$B$35),1,"")</f>
        <v>#N/A</v>
      </c>
      <c r="BI165" s="343" t="e">
        <f>IF(AND($BC165=0,C165=Tab_sel!$P$7,$D165=Tab_sel!$O$24,$E165=Tab_sel!$B$36),1,"")</f>
        <v>#N/A</v>
      </c>
      <c r="BJ165" s="342" t="e">
        <f>IF(AND($BC165=0,$C165=Tab_sel!$P$7,$D165=Tab_sel!$O$24,$E165=Tab_sel!$N$31,$F165=Tab_sel!$B$40),1,"")</f>
        <v>#N/A</v>
      </c>
      <c r="BK165" s="322" t="e">
        <f>IF(AND($BC165=0,$C165=Tab_sel!$P$7,$D165=Tab_sel!$O$24,$E165=Tab_sel!$N$31,$F165=Tab_sel!$B$41),1,"")</f>
        <v>#N/A</v>
      </c>
      <c r="BL165" s="322" t="e">
        <f>IF(AND($BC165=0,$C165=Tab_sel!$P$7,$D165=Tab_sel!$O$24,$E165=Tab_sel!$N$31,$F165=Tab_sel!$B$42),1,"")</f>
        <v>#N/A</v>
      </c>
      <c r="BM165" s="322" t="e">
        <f>IF(AND($BC165=0,$C165=Tab_sel!$P$7,$D165=Tab_sel!$O$24,$E165=Tab_sel!$N$31,$F165=Tab_sel!$B$43),1,"")</f>
        <v>#N/A</v>
      </c>
      <c r="BN165" s="322" t="e">
        <f>IF(AND($BC165=0,$C165=Tab_sel!$P$7,$D165=Tab_sel!$O$24,$E165=Tab_sel!$N$31,$F165=Tab_sel!$B$44),1,"")</f>
        <v>#N/A</v>
      </c>
      <c r="BO165" s="343" t="e">
        <f>IF(AND($BC165=0,$C165=Tab_sel!$P$7,$D165=Tab_sel!$O$24,$E165=Tab_sel!$N$31,$F165=Tab_sel!$B$45),1,"")</f>
        <v>#N/A</v>
      </c>
      <c r="BP165" s="354" t="e">
        <f>IF(AND($BC165=0,$C165=Tab_sel!$P$7,$D165=Tab_sel!$O$24,$E165=Tab_sel!$N$31,$F165=Tab_sel!$N$40,$I165=Tab_sel!$B$61),1,"")</f>
        <v>#N/A</v>
      </c>
      <c r="BQ165" s="355" t="e">
        <f>IF(AND($BC165=0,$C165=Tab_sel!$P$7,$D165=Tab_sel!$O$24,$E165=Tab_sel!$N$31,$F165=Tab_sel!$N$40,$I165=Tab_sel!$B$62),1,"")</f>
        <v>#N/A</v>
      </c>
      <c r="BR165" s="355" t="e">
        <f>IF(AND($BC165=0,$C165=Tab_sel!$P$7,$D165=Tab_sel!$O$24,$E165=Tab_sel!$N$31,$F165=Tab_sel!$N$40,$I165=Tab_sel!$B$63),1,"")</f>
        <v>#N/A</v>
      </c>
      <c r="BS165" s="355" t="e">
        <f>IF(AND($BC165=0,$C165=Tab_sel!$P$7,$D165=Tab_sel!$O$24,$E165=Tab_sel!$N$31,$F165=Tab_sel!$N$40,$I165=Tab_sel!$B$64),1,"")</f>
        <v>#N/A</v>
      </c>
      <c r="BT165" s="356" t="e">
        <f>IF(AND($BC165=0,$C165=Tab_sel!$P$7,$D165=Tab_sel!$O$24,$E165=Tab_sel!$N$31,$F165=Tab_sel!$N$40,$I165=Tab_sel!$B$65),1,"")</f>
        <v>#N/A</v>
      </c>
      <c r="BU165" s="856" t="e">
        <f>IF(AND($BC165=0,$C165=Tab_sel!$P$7,$D165=Tab_sel!$O$24,$E165=Tab_sel!$N$31,$F165=Tab_sel!$N$40,$I165=Tab_sel!$P$61,$H165=Tab_sel!$B$77),1,"")</f>
        <v>#N/A</v>
      </c>
      <c r="BV165" s="883" t="e">
        <f>IF(AND($BC165=0,$C165=Tab_sel!$P$7,$D165=Tab_sel!$O$24,$E165=Tab_sel!$N$31,$F165=Tab_sel!$N$40,$I165=Tab_sel!$P$61,$H165=Tab_sel!$B$78),1,"")</f>
        <v>#N/A</v>
      </c>
      <c r="BW165" s="883" t="e">
        <f>IF(AND($BC165=0,$C165=Tab_sel!$P$7,$D165=Tab_sel!$O$24,$E165=Tab_sel!$N$31,$F165=Tab_sel!$N$40,$I165=Tab_sel!$P$61,$H165=Tab_sel!$B$79),1,"")</f>
        <v>#N/A</v>
      </c>
      <c r="BX165" s="883" t="e">
        <f>IF(AND($BC165=0,$C165=Tab_sel!$P$7,$D165=Tab_sel!$O$24,$E165=Tab_sel!$N$31,$F165=Tab_sel!$N$40,$I165=Tab_sel!$P$61,$H165=Tab_sel!$B$80),1,"")</f>
        <v>#N/A</v>
      </c>
      <c r="BY165" s="883" t="e">
        <f>IF(AND($BC165=0,$C165=Tab_sel!$P$7,$D165=Tab_sel!$O$24,$E165=Tab_sel!$N$31,$F165=Tab_sel!$N$40,$I165=Tab_sel!$P$61,$H165=Tab_sel!$B$81),1,"")</f>
        <v>#N/A</v>
      </c>
      <c r="BZ165" s="857" t="e">
        <f>IF(AND($BC165=0,$C165=Tab_sel!$P$7,$D165=Tab_sel!$O$24,$E165=Tab_sel!$N$31,$F165=Tab_sel!$N$40,$I165=Tab_sel!$P$61,$H165=Tab_sel!$B$82),1,"")</f>
        <v>#N/A</v>
      </c>
      <c r="CA165" s="359"/>
      <c r="CC165">
        <f t="shared" si="54"/>
        <v>0</v>
      </c>
      <c r="CD165" s="882">
        <f t="shared" si="55"/>
        <v>0</v>
      </c>
      <c r="CE165" s="882">
        <f t="shared" si="56"/>
        <v>0</v>
      </c>
      <c r="CJ165" t="s">
        <v>2668</v>
      </c>
    </row>
    <row r="166" spans="2:88" ht="39.6" x14ac:dyDescent="0.25">
      <c r="B166" s="791" t="s">
        <v>1494</v>
      </c>
      <c r="C166" s="771" t="s">
        <v>53</v>
      </c>
      <c r="D166" s="772" t="s">
        <v>76</v>
      </c>
      <c r="E166" s="874" t="s">
        <v>1141</v>
      </c>
      <c r="F166" s="786" t="str">
        <f>Inex</f>
        <v>Inexploitabilité</v>
      </c>
      <c r="G166" s="769" t="s">
        <v>1146</v>
      </c>
      <c r="H166" s="769"/>
      <c r="I166" s="771" t="s">
        <v>1195</v>
      </c>
      <c r="J166" s="769"/>
      <c r="K166" s="769"/>
      <c r="L166" s="769" t="s">
        <v>2539</v>
      </c>
      <c r="M166" s="788" t="s">
        <v>2539</v>
      </c>
      <c r="N166" s="767"/>
      <c r="O166" s="767"/>
      <c r="P166" s="772"/>
      <c r="Q166" s="803"/>
      <c r="R166" s="803"/>
      <c r="S166" s="804"/>
      <c r="T166" s="772"/>
      <c r="U166" s="772"/>
      <c r="V166" s="805"/>
      <c r="W166" s="767"/>
      <c r="X166" s="767"/>
      <c r="Y166" s="772"/>
      <c r="Z166" s="772"/>
      <c r="AA166" s="772"/>
      <c r="AB166" s="805"/>
      <c r="AC166" s="806"/>
      <c r="AD166" s="806"/>
      <c r="AE166" s="806"/>
      <c r="AF166" s="806"/>
      <c r="AG166" s="806"/>
      <c r="AH166" s="805"/>
      <c r="AI166" s="807" t="str">
        <f t="shared" si="57"/>
        <v/>
      </c>
      <c r="AJ166" s="805"/>
      <c r="AK166" s="359"/>
      <c r="AM166" t="str">
        <f t="shared" si="63"/>
        <v/>
      </c>
      <c r="AN166">
        <f t="shared" si="64"/>
        <v>0</v>
      </c>
      <c r="AW166" s="882">
        <f t="shared" si="53"/>
        <v>0</v>
      </c>
      <c r="AX166" s="882">
        <f t="shared" si="70"/>
        <v>1</v>
      </c>
      <c r="AY166" s="882">
        <f t="shared" si="71"/>
        <v>1</v>
      </c>
      <c r="AZ166" s="927">
        <f t="shared" si="72"/>
        <v>1</v>
      </c>
      <c r="BA166" s="882">
        <v>1</v>
      </c>
      <c r="BB166" s="925">
        <f t="shared" si="65"/>
        <v>0</v>
      </c>
      <c r="BC166" s="882">
        <f t="shared" si="73"/>
        <v>1</v>
      </c>
      <c r="BD166" s="342" t="e">
        <f>IF(AND($BC166=0,C166=Tab_sel!$P$7,$D166=Tab_sel!$O$24,$E166=Tab_sel!$B$31),1,"")</f>
        <v>#N/A</v>
      </c>
      <c r="BE166" s="322" t="e">
        <f>IF(AND($BC166=0,C166=Tab_sel!$P$7,$D166=Tab_sel!$O$24,$E166=Tab_sel!$B$32),1,"")</f>
        <v>#N/A</v>
      </c>
      <c r="BF166" s="322" t="e">
        <f>IF(AND($BC166=0,C166=Tab_sel!$P$7,$D166=Tab_sel!$O$24,$E166=Tab_sel!$B$33),1,"")</f>
        <v>#N/A</v>
      </c>
      <c r="BG166" s="322" t="e">
        <f>IF(AND($BC166=0,C166=Tab_sel!$P$7,$D166=Tab_sel!$O$24,$E166=Tab_sel!$B$34),1,"")</f>
        <v>#N/A</v>
      </c>
      <c r="BH166" s="322" t="e">
        <f>IF(AND($BC166=0,C166=Tab_sel!$P$7,$D166=Tab_sel!$O$24,$E166=Tab_sel!$B$35),1,"")</f>
        <v>#N/A</v>
      </c>
      <c r="BI166" s="343" t="e">
        <f>IF(AND($BC166=0,C166=Tab_sel!$P$7,$D166=Tab_sel!$O$24,$E166=Tab_sel!$B$36),1,"")</f>
        <v>#N/A</v>
      </c>
      <c r="BJ166" s="342" t="e">
        <f>IF(AND($BC166=0,$C166=Tab_sel!$P$7,$D166=Tab_sel!$O$24,$E166=Tab_sel!$N$31,$F166=Tab_sel!$B$40),1,"")</f>
        <v>#N/A</v>
      </c>
      <c r="BK166" s="322" t="e">
        <f>IF(AND($BC166=0,$C166=Tab_sel!$P$7,$D166=Tab_sel!$O$24,$E166=Tab_sel!$N$31,$F166=Tab_sel!$B$41),1,"")</f>
        <v>#N/A</v>
      </c>
      <c r="BL166" s="322" t="e">
        <f>IF(AND($BC166=0,$C166=Tab_sel!$P$7,$D166=Tab_sel!$O$24,$E166=Tab_sel!$N$31,$F166=Tab_sel!$B$42),1,"")</f>
        <v>#N/A</v>
      </c>
      <c r="BM166" s="322" t="e">
        <f>IF(AND($BC166=0,$C166=Tab_sel!$P$7,$D166=Tab_sel!$O$24,$E166=Tab_sel!$N$31,$F166=Tab_sel!$B$43),1,"")</f>
        <v>#N/A</v>
      </c>
      <c r="BN166" s="322" t="e">
        <f>IF(AND($BC166=0,$C166=Tab_sel!$P$7,$D166=Tab_sel!$O$24,$E166=Tab_sel!$N$31,$F166=Tab_sel!$B$44),1,"")</f>
        <v>#N/A</v>
      </c>
      <c r="BO166" s="343" t="e">
        <f>IF(AND($BC166=0,$C166=Tab_sel!$P$7,$D166=Tab_sel!$O$24,$E166=Tab_sel!$N$31,$F166=Tab_sel!$B$45),1,"")</f>
        <v>#N/A</v>
      </c>
      <c r="BP166" s="354" t="e">
        <f>IF(AND($BC166=0,$C166=Tab_sel!$P$7,$D166=Tab_sel!$O$24,$E166=Tab_sel!$N$31,$F166=Tab_sel!$N$40,$I166=Tab_sel!$B$61),1,"")</f>
        <v>#N/A</v>
      </c>
      <c r="BQ166" s="355" t="e">
        <f>IF(AND($BC166=0,$C166=Tab_sel!$P$7,$D166=Tab_sel!$O$24,$E166=Tab_sel!$N$31,$F166=Tab_sel!$N$40,$I166=Tab_sel!$B$62),1,"")</f>
        <v>#N/A</v>
      </c>
      <c r="BR166" s="355" t="e">
        <f>IF(AND($BC166=0,$C166=Tab_sel!$P$7,$D166=Tab_sel!$O$24,$E166=Tab_sel!$N$31,$F166=Tab_sel!$N$40,$I166=Tab_sel!$B$63),1,"")</f>
        <v>#N/A</v>
      </c>
      <c r="BS166" s="355" t="e">
        <f>IF(AND($BC166=0,$C166=Tab_sel!$P$7,$D166=Tab_sel!$O$24,$E166=Tab_sel!$N$31,$F166=Tab_sel!$N$40,$I166=Tab_sel!$B$64),1,"")</f>
        <v>#N/A</v>
      </c>
      <c r="BT166" s="356" t="e">
        <f>IF(AND($BC166=0,$C166=Tab_sel!$P$7,$D166=Tab_sel!$O$24,$E166=Tab_sel!$N$31,$F166=Tab_sel!$N$40,$I166=Tab_sel!$B$65),1,"")</f>
        <v>#N/A</v>
      </c>
      <c r="BU166" s="856" t="e">
        <f>IF(AND($BC166=0,$C166=Tab_sel!$P$7,$D166=Tab_sel!$O$24,$E166=Tab_sel!$N$31,$F166=Tab_sel!$N$40,$I166=Tab_sel!$P$61,$H166=Tab_sel!$B$77),1,"")</f>
        <v>#N/A</v>
      </c>
      <c r="BV166" s="883" t="e">
        <f>IF(AND($BC166=0,$C166=Tab_sel!$P$7,$D166=Tab_sel!$O$24,$E166=Tab_sel!$N$31,$F166=Tab_sel!$N$40,$I166=Tab_sel!$P$61,$H166=Tab_sel!$B$78),1,"")</f>
        <v>#N/A</v>
      </c>
      <c r="BW166" s="883" t="e">
        <f>IF(AND($BC166=0,$C166=Tab_sel!$P$7,$D166=Tab_sel!$O$24,$E166=Tab_sel!$N$31,$F166=Tab_sel!$N$40,$I166=Tab_sel!$P$61,$H166=Tab_sel!$B$79),1,"")</f>
        <v>#N/A</v>
      </c>
      <c r="BX166" s="883" t="e">
        <f>IF(AND($BC166=0,$C166=Tab_sel!$P$7,$D166=Tab_sel!$O$24,$E166=Tab_sel!$N$31,$F166=Tab_sel!$N$40,$I166=Tab_sel!$P$61,$H166=Tab_sel!$B$80),1,"")</f>
        <v>#N/A</v>
      </c>
      <c r="BY166" s="883" t="e">
        <f>IF(AND($BC166=0,$C166=Tab_sel!$P$7,$D166=Tab_sel!$O$24,$E166=Tab_sel!$N$31,$F166=Tab_sel!$N$40,$I166=Tab_sel!$P$61,$H166=Tab_sel!$B$81),1,"")</f>
        <v>#N/A</v>
      </c>
      <c r="BZ166" s="857" t="e">
        <f>IF(AND($BC166=0,$C166=Tab_sel!$P$7,$D166=Tab_sel!$O$24,$E166=Tab_sel!$N$31,$F166=Tab_sel!$N$40,$I166=Tab_sel!$P$61,$H166=Tab_sel!$B$82),1,"")</f>
        <v>#N/A</v>
      </c>
      <c r="CA166" s="359"/>
      <c r="CC166">
        <f t="shared" si="54"/>
        <v>0</v>
      </c>
      <c r="CD166" s="882">
        <f t="shared" si="55"/>
        <v>0</v>
      </c>
      <c r="CE166" s="882">
        <f t="shared" si="56"/>
        <v>0</v>
      </c>
      <c r="CI166" t="s">
        <v>2669</v>
      </c>
      <c r="CJ166" t="s">
        <v>2669</v>
      </c>
    </row>
    <row r="167" spans="2:88" ht="45" customHeight="1" x14ac:dyDescent="0.25">
      <c r="B167" s="791" t="s">
        <v>1495</v>
      </c>
      <c r="C167" s="771" t="s">
        <v>53</v>
      </c>
      <c r="D167" s="772" t="s">
        <v>76</v>
      </c>
      <c r="E167" s="874" t="s">
        <v>1141</v>
      </c>
      <c r="F167" s="768" t="str">
        <f>Endl</f>
        <v>Endommagement logique</v>
      </c>
      <c r="G167" s="768" t="s">
        <v>1396</v>
      </c>
      <c r="H167" s="768"/>
      <c r="I167" s="771" t="s">
        <v>1198</v>
      </c>
      <c r="J167" s="769"/>
      <c r="K167" s="769"/>
      <c r="L167" s="769" t="s">
        <v>1344</v>
      </c>
      <c r="M167" s="788" t="s">
        <v>1259</v>
      </c>
      <c r="N167" s="767"/>
      <c r="O167" s="767"/>
      <c r="P167" s="772"/>
      <c r="Q167" s="803"/>
      <c r="R167" s="803"/>
      <c r="S167" s="804"/>
      <c r="T167" s="772"/>
      <c r="U167" s="772"/>
      <c r="V167" s="805"/>
      <c r="W167" s="767"/>
      <c r="X167" s="767"/>
      <c r="Y167" s="772"/>
      <c r="Z167" s="772"/>
      <c r="AA167" s="772"/>
      <c r="AB167" s="805"/>
      <c r="AC167" s="806"/>
      <c r="AD167" s="806"/>
      <c r="AE167" s="806"/>
      <c r="AF167" s="806"/>
      <c r="AG167" s="806"/>
      <c r="AH167" s="805"/>
      <c r="AI167" s="807" t="str">
        <f t="shared" si="57"/>
        <v/>
      </c>
      <c r="AJ167" s="805"/>
      <c r="AK167" s="359"/>
      <c r="AM167" t="str">
        <f t="shared" si="63"/>
        <v/>
      </c>
      <c r="AN167">
        <f t="shared" si="64"/>
        <v>0</v>
      </c>
      <c r="AW167" s="882">
        <f t="shared" si="53"/>
        <v>0</v>
      </c>
      <c r="AX167" s="882">
        <f t="shared" si="70"/>
        <v>1</v>
      </c>
      <c r="AY167" s="882">
        <f t="shared" si="71"/>
        <v>1</v>
      </c>
      <c r="AZ167" s="927">
        <f t="shared" si="72"/>
        <v>1</v>
      </c>
      <c r="BA167" s="882">
        <v>1</v>
      </c>
      <c r="BB167" s="925">
        <f t="shared" si="65"/>
        <v>0</v>
      </c>
      <c r="BC167" s="882">
        <f t="shared" si="73"/>
        <v>1</v>
      </c>
      <c r="BD167" s="342" t="e">
        <f>IF(AND($BC167=0,C167=Tab_sel!$P$7,$D167=Tab_sel!$O$24,$E167=Tab_sel!$B$31),1,"")</f>
        <v>#N/A</v>
      </c>
      <c r="BE167" s="322" t="e">
        <f>IF(AND($BC167=0,C167=Tab_sel!$P$7,$D167=Tab_sel!$O$24,$E167=Tab_sel!$B$32),1,"")</f>
        <v>#N/A</v>
      </c>
      <c r="BF167" s="322" t="e">
        <f>IF(AND($BC167=0,C167=Tab_sel!$P$7,$D167=Tab_sel!$O$24,$E167=Tab_sel!$B$33),1,"")</f>
        <v>#N/A</v>
      </c>
      <c r="BG167" s="322" t="e">
        <f>IF(AND($BC167=0,C167=Tab_sel!$P$7,$D167=Tab_sel!$O$24,$E167=Tab_sel!$B$34),1,"")</f>
        <v>#N/A</v>
      </c>
      <c r="BH167" s="322" t="e">
        <f>IF(AND($BC167=0,C167=Tab_sel!$P$7,$D167=Tab_sel!$O$24,$E167=Tab_sel!$B$35),1,"")</f>
        <v>#N/A</v>
      </c>
      <c r="BI167" s="343" t="e">
        <f>IF(AND($BC167=0,C167=Tab_sel!$P$7,$D167=Tab_sel!$O$24,$E167=Tab_sel!$B$36),1,"")</f>
        <v>#N/A</v>
      </c>
      <c r="BJ167" s="342" t="e">
        <f>IF(AND($BC167=0,$C167=Tab_sel!$P$7,$D167=Tab_sel!$O$24,$E167=Tab_sel!$N$31,$F167=Tab_sel!$B$40),1,"")</f>
        <v>#N/A</v>
      </c>
      <c r="BK167" s="322" t="e">
        <f>IF(AND($BC167=0,$C167=Tab_sel!$P$7,$D167=Tab_sel!$O$24,$E167=Tab_sel!$N$31,$F167=Tab_sel!$B$41),1,"")</f>
        <v>#N/A</v>
      </c>
      <c r="BL167" s="322" t="e">
        <f>IF(AND($BC167=0,$C167=Tab_sel!$P$7,$D167=Tab_sel!$O$24,$E167=Tab_sel!$N$31,$F167=Tab_sel!$B$42),1,"")</f>
        <v>#N/A</v>
      </c>
      <c r="BM167" s="322" t="e">
        <f>IF(AND($BC167=0,$C167=Tab_sel!$P$7,$D167=Tab_sel!$O$24,$E167=Tab_sel!$N$31,$F167=Tab_sel!$B$43),1,"")</f>
        <v>#N/A</v>
      </c>
      <c r="BN167" s="322" t="e">
        <f>IF(AND($BC167=0,$C167=Tab_sel!$P$7,$D167=Tab_sel!$O$24,$E167=Tab_sel!$N$31,$F167=Tab_sel!$B$44),1,"")</f>
        <v>#N/A</v>
      </c>
      <c r="BO167" s="343" t="e">
        <f>IF(AND($BC167=0,$C167=Tab_sel!$P$7,$D167=Tab_sel!$O$24,$E167=Tab_sel!$N$31,$F167=Tab_sel!$B$45),1,"")</f>
        <v>#N/A</v>
      </c>
      <c r="BP167" s="354" t="e">
        <f>IF(AND($BC167=0,$C167=Tab_sel!$P$7,$D167=Tab_sel!$O$24,$E167=Tab_sel!$N$31,$F167=Tab_sel!$N$40,$I167=Tab_sel!$B$61),1,"")</f>
        <v>#N/A</v>
      </c>
      <c r="BQ167" s="355" t="e">
        <f>IF(AND($BC167=0,$C167=Tab_sel!$P$7,$D167=Tab_sel!$O$24,$E167=Tab_sel!$N$31,$F167=Tab_sel!$N$40,$I167=Tab_sel!$B$62),1,"")</f>
        <v>#N/A</v>
      </c>
      <c r="BR167" s="355" t="e">
        <f>IF(AND($BC167=0,$C167=Tab_sel!$P$7,$D167=Tab_sel!$O$24,$E167=Tab_sel!$N$31,$F167=Tab_sel!$N$40,$I167=Tab_sel!$B$63),1,"")</f>
        <v>#N/A</v>
      </c>
      <c r="BS167" s="355" t="e">
        <f>IF(AND($BC167=0,$C167=Tab_sel!$P$7,$D167=Tab_sel!$O$24,$E167=Tab_sel!$N$31,$F167=Tab_sel!$N$40,$I167=Tab_sel!$B$64),1,"")</f>
        <v>#N/A</v>
      </c>
      <c r="BT167" s="356" t="e">
        <f>IF(AND($BC167=0,$C167=Tab_sel!$P$7,$D167=Tab_sel!$O$24,$E167=Tab_sel!$N$31,$F167=Tab_sel!$N$40,$I167=Tab_sel!$B$65),1,"")</f>
        <v>#N/A</v>
      </c>
      <c r="BU167" s="856" t="e">
        <f>IF(AND($BC167=0,$C167=Tab_sel!$P$7,$D167=Tab_sel!$O$24,$E167=Tab_sel!$N$31,$F167=Tab_sel!$N$40,$I167=Tab_sel!$P$61,$H167=Tab_sel!$B$77),1,"")</f>
        <v>#N/A</v>
      </c>
      <c r="BV167" s="883" t="e">
        <f>IF(AND($BC167=0,$C167=Tab_sel!$P$7,$D167=Tab_sel!$O$24,$E167=Tab_sel!$N$31,$F167=Tab_sel!$N$40,$I167=Tab_sel!$P$61,$H167=Tab_sel!$B$78),1,"")</f>
        <v>#N/A</v>
      </c>
      <c r="BW167" s="883" t="e">
        <f>IF(AND($BC167=0,$C167=Tab_sel!$P$7,$D167=Tab_sel!$O$24,$E167=Tab_sel!$N$31,$F167=Tab_sel!$N$40,$I167=Tab_sel!$P$61,$H167=Tab_sel!$B$79),1,"")</f>
        <v>#N/A</v>
      </c>
      <c r="BX167" s="883" t="e">
        <f>IF(AND($BC167=0,$C167=Tab_sel!$P$7,$D167=Tab_sel!$O$24,$E167=Tab_sel!$N$31,$F167=Tab_sel!$N$40,$I167=Tab_sel!$P$61,$H167=Tab_sel!$B$80),1,"")</f>
        <v>#N/A</v>
      </c>
      <c r="BY167" s="883" t="e">
        <f>IF(AND($BC167=0,$C167=Tab_sel!$P$7,$D167=Tab_sel!$O$24,$E167=Tab_sel!$N$31,$F167=Tab_sel!$N$40,$I167=Tab_sel!$P$61,$H167=Tab_sel!$B$81),1,"")</f>
        <v>#N/A</v>
      </c>
      <c r="BZ167" s="857" t="e">
        <f>IF(AND($BC167=0,$C167=Tab_sel!$P$7,$D167=Tab_sel!$O$24,$E167=Tab_sel!$N$31,$F167=Tab_sel!$N$40,$I167=Tab_sel!$P$61,$H167=Tab_sel!$B$82),1,"")</f>
        <v>#N/A</v>
      </c>
      <c r="CA167" s="359"/>
      <c r="CC167">
        <f t="shared" si="54"/>
        <v>0</v>
      </c>
      <c r="CD167" s="882">
        <f t="shared" si="55"/>
        <v>0</v>
      </c>
      <c r="CE167" s="882">
        <f t="shared" si="56"/>
        <v>0</v>
      </c>
      <c r="CI167" t="s">
        <v>2622</v>
      </c>
      <c r="CJ167" t="s">
        <v>2611</v>
      </c>
    </row>
    <row r="168" spans="2:88" ht="39.6" x14ac:dyDescent="0.25">
      <c r="B168" s="791" t="s">
        <v>1496</v>
      </c>
      <c r="C168" s="771" t="s">
        <v>53</v>
      </c>
      <c r="D168" s="772" t="s">
        <v>76</v>
      </c>
      <c r="E168" s="874" t="s">
        <v>1141</v>
      </c>
      <c r="F168" s="768" t="str">
        <f>Endl</f>
        <v>Endommagement logique</v>
      </c>
      <c r="G168" s="909" t="s">
        <v>2569</v>
      </c>
      <c r="H168" s="768"/>
      <c r="I168" s="771" t="s">
        <v>1166</v>
      </c>
      <c r="J168" s="769"/>
      <c r="K168" s="769"/>
      <c r="L168" s="769"/>
      <c r="M168" s="788" t="s">
        <v>1247</v>
      </c>
      <c r="N168" s="767"/>
      <c r="O168" s="767"/>
      <c r="P168" s="772"/>
      <c r="Q168" s="803"/>
      <c r="R168" s="803"/>
      <c r="S168" s="804"/>
      <c r="T168" s="772"/>
      <c r="U168" s="772"/>
      <c r="V168" s="805"/>
      <c r="W168" s="767"/>
      <c r="X168" s="767"/>
      <c r="Y168" s="772"/>
      <c r="Z168" s="772"/>
      <c r="AA168" s="772"/>
      <c r="AB168" s="805"/>
      <c r="AC168" s="806"/>
      <c r="AD168" s="806"/>
      <c r="AE168" s="806"/>
      <c r="AF168" s="806"/>
      <c r="AG168" s="806"/>
      <c r="AH168" s="805"/>
      <c r="AI168" s="807" t="str">
        <f t="shared" si="57"/>
        <v/>
      </c>
      <c r="AJ168" s="805"/>
      <c r="AK168" s="359"/>
      <c r="AM168" t="str">
        <f t="shared" si="63"/>
        <v/>
      </c>
      <c r="AN168">
        <f t="shared" si="64"/>
        <v>0</v>
      </c>
      <c r="AW168" s="882">
        <f t="shared" si="53"/>
        <v>0</v>
      </c>
      <c r="AX168" s="882">
        <f t="shared" si="70"/>
        <v>1</v>
      </c>
      <c r="AY168" s="882">
        <f t="shared" si="71"/>
        <v>1</v>
      </c>
      <c r="AZ168" s="927">
        <f t="shared" si="72"/>
        <v>1</v>
      </c>
      <c r="BA168" s="882">
        <v>1</v>
      </c>
      <c r="BB168" s="925">
        <f t="shared" si="65"/>
        <v>0</v>
      </c>
      <c r="BC168" s="882">
        <f t="shared" si="73"/>
        <v>1</v>
      </c>
      <c r="BD168" s="342" t="e">
        <f>IF(AND($BC168=0,C168=Tab_sel!$P$7,$D168=Tab_sel!$O$24,$E168=Tab_sel!$B$31),1,"")</f>
        <v>#N/A</v>
      </c>
      <c r="BE168" s="322" t="e">
        <f>IF(AND($BC168=0,C168=Tab_sel!$P$7,$D168=Tab_sel!$O$24,$E168=Tab_sel!$B$32),1,"")</f>
        <v>#N/A</v>
      </c>
      <c r="BF168" s="322" t="e">
        <f>IF(AND($BC168=0,C168=Tab_sel!$P$7,$D168=Tab_sel!$O$24,$E168=Tab_sel!$B$33),1,"")</f>
        <v>#N/A</v>
      </c>
      <c r="BG168" s="322" t="e">
        <f>IF(AND($BC168=0,C168=Tab_sel!$P$7,$D168=Tab_sel!$O$24,$E168=Tab_sel!$B$34),1,"")</f>
        <v>#N/A</v>
      </c>
      <c r="BH168" s="322" t="e">
        <f>IF(AND($BC168=0,C168=Tab_sel!$P$7,$D168=Tab_sel!$O$24,$E168=Tab_sel!$B$35),1,"")</f>
        <v>#N/A</v>
      </c>
      <c r="BI168" s="343" t="e">
        <f>IF(AND($BC168=0,C168=Tab_sel!$P$7,$D168=Tab_sel!$O$24,$E168=Tab_sel!$B$36),1,"")</f>
        <v>#N/A</v>
      </c>
      <c r="BJ168" s="342" t="e">
        <f>IF(AND($BC168=0,$C168=Tab_sel!$P$7,$D168=Tab_sel!$O$24,$E168=Tab_sel!$N$31,$F168=Tab_sel!$B$40),1,"")</f>
        <v>#N/A</v>
      </c>
      <c r="BK168" s="322" t="e">
        <f>IF(AND($BC168=0,$C168=Tab_sel!$P$7,$D168=Tab_sel!$O$24,$E168=Tab_sel!$N$31,$F168=Tab_sel!$B$41),1,"")</f>
        <v>#N/A</v>
      </c>
      <c r="BL168" s="322" t="e">
        <f>IF(AND($BC168=0,$C168=Tab_sel!$P$7,$D168=Tab_sel!$O$24,$E168=Tab_sel!$N$31,$F168=Tab_sel!$B$42),1,"")</f>
        <v>#N/A</v>
      </c>
      <c r="BM168" s="322" t="e">
        <f>IF(AND($BC168=0,$C168=Tab_sel!$P$7,$D168=Tab_sel!$O$24,$E168=Tab_sel!$N$31,$F168=Tab_sel!$B$43),1,"")</f>
        <v>#N/A</v>
      </c>
      <c r="BN168" s="322" t="e">
        <f>IF(AND($BC168=0,$C168=Tab_sel!$P$7,$D168=Tab_sel!$O$24,$E168=Tab_sel!$N$31,$F168=Tab_sel!$B$44),1,"")</f>
        <v>#N/A</v>
      </c>
      <c r="BO168" s="343" t="e">
        <f>IF(AND($BC168=0,$C168=Tab_sel!$P$7,$D168=Tab_sel!$O$24,$E168=Tab_sel!$N$31,$F168=Tab_sel!$B$45),1,"")</f>
        <v>#N/A</v>
      </c>
      <c r="BP168" s="354" t="e">
        <f>IF(AND($BC168=0,$C168=Tab_sel!$P$7,$D168=Tab_sel!$O$24,$E168=Tab_sel!$N$31,$F168=Tab_sel!$N$40,$I168=Tab_sel!$B$61),1,"")</f>
        <v>#N/A</v>
      </c>
      <c r="BQ168" s="355" t="e">
        <f>IF(AND($BC168=0,$C168=Tab_sel!$P$7,$D168=Tab_sel!$O$24,$E168=Tab_sel!$N$31,$F168=Tab_sel!$N$40,$I168=Tab_sel!$B$62),1,"")</f>
        <v>#N/A</v>
      </c>
      <c r="BR168" s="355" t="e">
        <f>IF(AND($BC168=0,$C168=Tab_sel!$P$7,$D168=Tab_sel!$O$24,$E168=Tab_sel!$N$31,$F168=Tab_sel!$N$40,$I168=Tab_sel!$B$63),1,"")</f>
        <v>#N/A</v>
      </c>
      <c r="BS168" s="355" t="e">
        <f>IF(AND($BC168=0,$C168=Tab_sel!$P$7,$D168=Tab_sel!$O$24,$E168=Tab_sel!$N$31,$F168=Tab_sel!$N$40,$I168=Tab_sel!$B$64),1,"")</f>
        <v>#N/A</v>
      </c>
      <c r="BT168" s="356" t="e">
        <f>IF(AND($BC168=0,$C168=Tab_sel!$P$7,$D168=Tab_sel!$O$24,$E168=Tab_sel!$N$31,$F168=Tab_sel!$N$40,$I168=Tab_sel!$B$65),1,"")</f>
        <v>#N/A</v>
      </c>
      <c r="BU168" s="856" t="e">
        <f>IF(AND($BC168=0,$C168=Tab_sel!$P$7,$D168=Tab_sel!$O$24,$E168=Tab_sel!$N$31,$F168=Tab_sel!$N$40,$I168=Tab_sel!$P$61,$H168=Tab_sel!$B$77),1,"")</f>
        <v>#N/A</v>
      </c>
      <c r="BV168" s="883" t="e">
        <f>IF(AND($BC168=0,$C168=Tab_sel!$P$7,$D168=Tab_sel!$O$24,$E168=Tab_sel!$N$31,$F168=Tab_sel!$N$40,$I168=Tab_sel!$P$61,$H168=Tab_sel!$B$78),1,"")</f>
        <v>#N/A</v>
      </c>
      <c r="BW168" s="883" t="e">
        <f>IF(AND($BC168=0,$C168=Tab_sel!$P$7,$D168=Tab_sel!$O$24,$E168=Tab_sel!$N$31,$F168=Tab_sel!$N$40,$I168=Tab_sel!$P$61,$H168=Tab_sel!$B$79),1,"")</f>
        <v>#N/A</v>
      </c>
      <c r="BX168" s="883" t="e">
        <f>IF(AND($BC168=0,$C168=Tab_sel!$P$7,$D168=Tab_sel!$O$24,$E168=Tab_sel!$N$31,$F168=Tab_sel!$N$40,$I168=Tab_sel!$P$61,$H168=Tab_sel!$B$80),1,"")</f>
        <v>#N/A</v>
      </c>
      <c r="BY168" s="883" t="e">
        <f>IF(AND($BC168=0,$C168=Tab_sel!$P$7,$D168=Tab_sel!$O$24,$E168=Tab_sel!$N$31,$F168=Tab_sel!$N$40,$I168=Tab_sel!$P$61,$H168=Tab_sel!$B$81),1,"")</f>
        <v>#N/A</v>
      </c>
      <c r="BZ168" s="857" t="e">
        <f>IF(AND($BC168=0,$C168=Tab_sel!$P$7,$D168=Tab_sel!$O$24,$E168=Tab_sel!$N$31,$F168=Tab_sel!$N$40,$I168=Tab_sel!$P$61,$H168=Tab_sel!$B$82),1,"")</f>
        <v>#N/A</v>
      </c>
      <c r="CA168" s="359"/>
      <c r="CC168">
        <f t="shared" si="54"/>
        <v>0</v>
      </c>
      <c r="CD168" s="882">
        <f t="shared" si="55"/>
        <v>0</v>
      </c>
      <c r="CE168" s="882">
        <f t="shared" si="56"/>
        <v>0</v>
      </c>
      <c r="CJ168" t="s">
        <v>2668</v>
      </c>
    </row>
    <row r="169" spans="2:88" ht="39.6" x14ac:dyDescent="0.25">
      <c r="B169" s="791" t="s">
        <v>1497</v>
      </c>
      <c r="C169" s="771" t="s">
        <v>53</v>
      </c>
      <c r="D169" s="772" t="s">
        <v>76</v>
      </c>
      <c r="E169" s="771" t="str">
        <f t="shared" ref="E169:E177" si="74">Msl</f>
        <v>Media support de logiciel</v>
      </c>
      <c r="F169" s="768" t="str">
        <f>Inac</f>
        <v>Inaccessibilité</v>
      </c>
      <c r="G169" s="768" t="s">
        <v>1112</v>
      </c>
      <c r="H169" s="768"/>
      <c r="I169" s="771" t="s">
        <v>1197</v>
      </c>
      <c r="J169" s="769"/>
      <c r="K169" s="769" t="s">
        <v>2027</v>
      </c>
      <c r="L169" s="769"/>
      <c r="M169" s="912" t="s">
        <v>2542</v>
      </c>
      <c r="N169" s="767"/>
      <c r="O169" s="767"/>
      <c r="P169" s="772"/>
      <c r="Q169" s="803"/>
      <c r="R169" s="803"/>
      <c r="S169" s="804"/>
      <c r="T169" s="772"/>
      <c r="U169" s="772"/>
      <c r="V169" s="805"/>
      <c r="W169" s="767"/>
      <c r="X169" s="767"/>
      <c r="Y169" s="772"/>
      <c r="Z169" s="772"/>
      <c r="AA169" s="772"/>
      <c r="AB169" s="805"/>
      <c r="AC169" s="806"/>
      <c r="AD169" s="806"/>
      <c r="AE169" s="806"/>
      <c r="AF169" s="806"/>
      <c r="AG169" s="806"/>
      <c r="AH169" s="805"/>
      <c r="AI169" s="807" t="str">
        <f t="shared" si="57"/>
        <v/>
      </c>
      <c r="AJ169" s="805"/>
      <c r="AK169" s="359"/>
      <c r="AM169" t="str">
        <f t="shared" si="63"/>
        <v/>
      </c>
      <c r="AN169">
        <f t="shared" si="64"/>
        <v>0</v>
      </c>
      <c r="AW169" s="882">
        <f t="shared" si="53"/>
        <v>0</v>
      </c>
      <c r="AX169" s="882">
        <f t="shared" si="70"/>
        <v>1</v>
      </c>
      <c r="AY169" s="882">
        <f t="shared" si="71"/>
        <v>1</v>
      </c>
      <c r="AZ169" s="927">
        <f t="shared" si="72"/>
        <v>1</v>
      </c>
      <c r="BA169" s="882">
        <v>1</v>
      </c>
      <c r="BB169" s="925">
        <f t="shared" si="65"/>
        <v>0</v>
      </c>
      <c r="BC169" s="882">
        <f t="shared" si="73"/>
        <v>1</v>
      </c>
      <c r="BD169" s="342" t="e">
        <f>IF(AND($BC169=0,C169=Tab_sel!$P$7,$D169=Tab_sel!$O$24,$E169=Tab_sel!$B$31),1,"")</f>
        <v>#N/A</v>
      </c>
      <c r="BE169" s="322" t="e">
        <f>IF(AND($BC169=0,C169=Tab_sel!$P$7,$D169=Tab_sel!$O$24,$E169=Tab_sel!$B$32),1,"")</f>
        <v>#N/A</v>
      </c>
      <c r="BF169" s="322" t="e">
        <f>IF(AND($BC169=0,C169=Tab_sel!$P$7,$D169=Tab_sel!$O$24,$E169=Tab_sel!$B$33),1,"")</f>
        <v>#N/A</v>
      </c>
      <c r="BG169" s="322" t="e">
        <f>IF(AND($BC169=0,C169=Tab_sel!$P$7,$D169=Tab_sel!$O$24,$E169=Tab_sel!$B$34),1,"")</f>
        <v>#N/A</v>
      </c>
      <c r="BH169" s="322" t="e">
        <f>IF(AND($BC169=0,C169=Tab_sel!$P$7,$D169=Tab_sel!$O$24,$E169=Tab_sel!$B$35),1,"")</f>
        <v>#N/A</v>
      </c>
      <c r="BI169" s="343" t="e">
        <f>IF(AND($BC169=0,C169=Tab_sel!$P$7,$D169=Tab_sel!$O$24,$E169=Tab_sel!$B$36),1,"")</f>
        <v>#N/A</v>
      </c>
      <c r="BJ169" s="342" t="e">
        <f>IF(AND($BC169=0,$C169=Tab_sel!$P$7,$D169=Tab_sel!$O$24,$E169=Tab_sel!$N$31,$F169=Tab_sel!$B$40),1,"")</f>
        <v>#N/A</v>
      </c>
      <c r="BK169" s="322" t="e">
        <f>IF(AND($BC169=0,$C169=Tab_sel!$P$7,$D169=Tab_sel!$O$24,$E169=Tab_sel!$N$31,$F169=Tab_sel!$B$41),1,"")</f>
        <v>#N/A</v>
      </c>
      <c r="BL169" s="322" t="e">
        <f>IF(AND($BC169=0,$C169=Tab_sel!$P$7,$D169=Tab_sel!$O$24,$E169=Tab_sel!$N$31,$F169=Tab_sel!$B$42),1,"")</f>
        <v>#N/A</v>
      </c>
      <c r="BM169" s="322" t="e">
        <f>IF(AND($BC169=0,$C169=Tab_sel!$P$7,$D169=Tab_sel!$O$24,$E169=Tab_sel!$N$31,$F169=Tab_sel!$B$43),1,"")</f>
        <v>#N/A</v>
      </c>
      <c r="BN169" s="322" t="e">
        <f>IF(AND($BC169=0,$C169=Tab_sel!$P$7,$D169=Tab_sel!$O$24,$E169=Tab_sel!$N$31,$F169=Tab_sel!$B$44),1,"")</f>
        <v>#N/A</v>
      </c>
      <c r="BO169" s="343" t="e">
        <f>IF(AND($BC169=0,$C169=Tab_sel!$P$7,$D169=Tab_sel!$O$24,$E169=Tab_sel!$N$31,$F169=Tab_sel!$B$45),1,"")</f>
        <v>#N/A</v>
      </c>
      <c r="BP169" s="354" t="e">
        <f>IF(AND($BC169=0,$C169=Tab_sel!$P$7,$D169=Tab_sel!$O$24,$E169=Tab_sel!$N$31,$F169=Tab_sel!$N$40,$I169=Tab_sel!$B$61),1,"")</f>
        <v>#N/A</v>
      </c>
      <c r="BQ169" s="355" t="e">
        <f>IF(AND($BC169=0,$C169=Tab_sel!$P$7,$D169=Tab_sel!$O$24,$E169=Tab_sel!$N$31,$F169=Tab_sel!$N$40,$I169=Tab_sel!$B$62),1,"")</f>
        <v>#N/A</v>
      </c>
      <c r="BR169" s="355" t="e">
        <f>IF(AND($BC169=0,$C169=Tab_sel!$P$7,$D169=Tab_sel!$O$24,$E169=Tab_sel!$N$31,$F169=Tab_sel!$N$40,$I169=Tab_sel!$B$63),1,"")</f>
        <v>#N/A</v>
      </c>
      <c r="BS169" s="355" t="e">
        <f>IF(AND($BC169=0,$C169=Tab_sel!$P$7,$D169=Tab_sel!$O$24,$E169=Tab_sel!$N$31,$F169=Tab_sel!$N$40,$I169=Tab_sel!$B$64),1,"")</f>
        <v>#N/A</v>
      </c>
      <c r="BT169" s="356" t="e">
        <f>IF(AND($BC169=0,$C169=Tab_sel!$P$7,$D169=Tab_sel!$O$24,$E169=Tab_sel!$N$31,$F169=Tab_sel!$N$40,$I169=Tab_sel!$B$65),1,"")</f>
        <v>#N/A</v>
      </c>
      <c r="BU169" s="856" t="e">
        <f>IF(AND($BC169=0,$C169=Tab_sel!$P$7,$D169=Tab_sel!$O$24,$E169=Tab_sel!$N$31,$F169=Tab_sel!$N$40,$I169=Tab_sel!$P$61,$H169=Tab_sel!$B$77),1,"")</f>
        <v>#N/A</v>
      </c>
      <c r="BV169" s="883" t="e">
        <f>IF(AND($BC169=0,$C169=Tab_sel!$P$7,$D169=Tab_sel!$O$24,$E169=Tab_sel!$N$31,$F169=Tab_sel!$N$40,$I169=Tab_sel!$P$61,$H169=Tab_sel!$B$78),1,"")</f>
        <v>#N/A</v>
      </c>
      <c r="BW169" s="883" t="e">
        <f>IF(AND($BC169=0,$C169=Tab_sel!$P$7,$D169=Tab_sel!$O$24,$E169=Tab_sel!$N$31,$F169=Tab_sel!$N$40,$I169=Tab_sel!$P$61,$H169=Tab_sel!$B$79),1,"")</f>
        <v>#N/A</v>
      </c>
      <c r="BX169" s="883" t="e">
        <f>IF(AND($BC169=0,$C169=Tab_sel!$P$7,$D169=Tab_sel!$O$24,$E169=Tab_sel!$N$31,$F169=Tab_sel!$N$40,$I169=Tab_sel!$P$61,$H169=Tab_sel!$B$80),1,"")</f>
        <v>#N/A</v>
      </c>
      <c r="BY169" s="883" t="e">
        <f>IF(AND($BC169=0,$C169=Tab_sel!$P$7,$D169=Tab_sel!$O$24,$E169=Tab_sel!$N$31,$F169=Tab_sel!$N$40,$I169=Tab_sel!$P$61,$H169=Tab_sel!$B$81),1,"")</f>
        <v>#N/A</v>
      </c>
      <c r="BZ169" s="857" t="e">
        <f>IF(AND($BC169=0,$C169=Tab_sel!$P$7,$D169=Tab_sel!$O$24,$E169=Tab_sel!$N$31,$F169=Tab_sel!$N$40,$I169=Tab_sel!$P$61,$H169=Tab_sel!$B$82),1,"")</f>
        <v>#N/A</v>
      </c>
      <c r="CA169" s="359"/>
      <c r="CC169">
        <f t="shared" si="54"/>
        <v>0</v>
      </c>
      <c r="CD169" s="882">
        <f t="shared" si="55"/>
        <v>0</v>
      </c>
      <c r="CE169" s="882">
        <f t="shared" si="56"/>
        <v>0</v>
      </c>
      <c r="CH169" t="s">
        <v>2612</v>
      </c>
      <c r="CJ169" t="s">
        <v>2667</v>
      </c>
    </row>
    <row r="170" spans="2:88" ht="34.5" customHeight="1" x14ac:dyDescent="0.25">
      <c r="B170" s="791" t="s">
        <v>1498</v>
      </c>
      <c r="C170" s="771" t="s">
        <v>53</v>
      </c>
      <c r="D170" s="772" t="s">
        <v>76</v>
      </c>
      <c r="E170" s="771" t="str">
        <f t="shared" si="74"/>
        <v>Media support de logiciel</v>
      </c>
      <c r="F170" s="786" t="str">
        <f>Disp</f>
        <v>Disparition</v>
      </c>
      <c r="G170" s="773" t="s">
        <v>57</v>
      </c>
      <c r="H170" s="773"/>
      <c r="I170" s="771" t="s">
        <v>1169</v>
      </c>
      <c r="J170" s="774"/>
      <c r="K170" s="774"/>
      <c r="L170" s="774"/>
      <c r="M170" s="912" t="s">
        <v>2542</v>
      </c>
      <c r="N170" s="767"/>
      <c r="O170" s="767"/>
      <c r="P170" s="772"/>
      <c r="Q170" s="803"/>
      <c r="R170" s="803"/>
      <c r="S170" s="804"/>
      <c r="T170" s="772"/>
      <c r="U170" s="772"/>
      <c r="V170" s="805"/>
      <c r="W170" s="767"/>
      <c r="X170" s="767"/>
      <c r="Y170" s="772"/>
      <c r="Z170" s="772"/>
      <c r="AA170" s="772"/>
      <c r="AB170" s="805"/>
      <c r="AC170" s="806"/>
      <c r="AD170" s="806"/>
      <c r="AE170" s="806"/>
      <c r="AF170" s="806"/>
      <c r="AG170" s="806"/>
      <c r="AH170" s="805"/>
      <c r="AI170" s="807" t="str">
        <f t="shared" si="57"/>
        <v/>
      </c>
      <c r="AJ170" s="805"/>
      <c r="AK170" s="359"/>
      <c r="AM170" t="str">
        <f t="shared" si="63"/>
        <v/>
      </c>
      <c r="AN170">
        <f t="shared" si="64"/>
        <v>0</v>
      </c>
      <c r="AW170" s="882">
        <f t="shared" si="53"/>
        <v>0</v>
      </c>
      <c r="AX170" s="882">
        <f t="shared" si="70"/>
        <v>1</v>
      </c>
      <c r="AY170" s="882">
        <f t="shared" si="71"/>
        <v>1</v>
      </c>
      <c r="AZ170" s="927">
        <f t="shared" si="72"/>
        <v>1</v>
      </c>
      <c r="BA170" s="882">
        <v>1</v>
      </c>
      <c r="BB170" s="925">
        <f t="shared" si="65"/>
        <v>0</v>
      </c>
      <c r="BC170" s="882">
        <f t="shared" si="73"/>
        <v>1</v>
      </c>
      <c r="BD170" s="342" t="e">
        <f>IF(AND($BC170=0,C170=Tab_sel!$P$7,$D170=Tab_sel!$O$24,$E170=Tab_sel!$B$31),1,"")</f>
        <v>#N/A</v>
      </c>
      <c r="BE170" s="322" t="e">
        <f>IF(AND($BC170=0,C170=Tab_sel!$P$7,$D170=Tab_sel!$O$24,$E170=Tab_sel!$B$32),1,"")</f>
        <v>#N/A</v>
      </c>
      <c r="BF170" s="322" t="e">
        <f>IF(AND($BC170=0,C170=Tab_sel!$P$7,$D170=Tab_sel!$O$24,$E170=Tab_sel!$B$33),1,"")</f>
        <v>#N/A</v>
      </c>
      <c r="BG170" s="322" t="e">
        <f>IF(AND($BC170=0,C170=Tab_sel!$P$7,$D170=Tab_sel!$O$24,$E170=Tab_sel!$B$34),1,"")</f>
        <v>#N/A</v>
      </c>
      <c r="BH170" s="322" t="e">
        <f>IF(AND($BC170=0,C170=Tab_sel!$P$7,$D170=Tab_sel!$O$24,$E170=Tab_sel!$B$35),1,"")</f>
        <v>#N/A</v>
      </c>
      <c r="BI170" s="343" t="e">
        <f>IF(AND($BC170=0,C170=Tab_sel!$P$7,$D170=Tab_sel!$O$24,$E170=Tab_sel!$B$36),1,"")</f>
        <v>#N/A</v>
      </c>
      <c r="BJ170" s="342" t="e">
        <f>IF(AND($BC170=0,$C170=Tab_sel!$P$7,$D170=Tab_sel!$O$24,$E170=Tab_sel!$N$31,$F170=Tab_sel!$B$40),1,"")</f>
        <v>#N/A</v>
      </c>
      <c r="BK170" s="322" t="e">
        <f>IF(AND($BC170=0,$C170=Tab_sel!$P$7,$D170=Tab_sel!$O$24,$E170=Tab_sel!$N$31,$F170=Tab_sel!$B$41),1,"")</f>
        <v>#N/A</v>
      </c>
      <c r="BL170" s="322" t="e">
        <f>IF(AND($BC170=0,$C170=Tab_sel!$P$7,$D170=Tab_sel!$O$24,$E170=Tab_sel!$N$31,$F170=Tab_sel!$B$42),1,"")</f>
        <v>#N/A</v>
      </c>
      <c r="BM170" s="322" t="e">
        <f>IF(AND($BC170=0,$C170=Tab_sel!$P$7,$D170=Tab_sel!$O$24,$E170=Tab_sel!$N$31,$F170=Tab_sel!$B$43),1,"")</f>
        <v>#N/A</v>
      </c>
      <c r="BN170" s="322" t="e">
        <f>IF(AND($BC170=0,$C170=Tab_sel!$P$7,$D170=Tab_sel!$O$24,$E170=Tab_sel!$N$31,$F170=Tab_sel!$B$44),1,"")</f>
        <v>#N/A</v>
      </c>
      <c r="BO170" s="343" t="e">
        <f>IF(AND($BC170=0,$C170=Tab_sel!$P$7,$D170=Tab_sel!$O$24,$E170=Tab_sel!$N$31,$F170=Tab_sel!$B$45),1,"")</f>
        <v>#N/A</v>
      </c>
      <c r="BP170" s="354" t="e">
        <f>IF(AND($BC170=0,$C170=Tab_sel!$P$7,$D170=Tab_sel!$O$24,$E170=Tab_sel!$N$31,$F170=Tab_sel!$N$40,$I170=Tab_sel!$B$61),1,"")</f>
        <v>#N/A</v>
      </c>
      <c r="BQ170" s="355" t="e">
        <f>IF(AND($BC170=0,$C170=Tab_sel!$P$7,$D170=Tab_sel!$O$24,$E170=Tab_sel!$N$31,$F170=Tab_sel!$N$40,$I170=Tab_sel!$B$62),1,"")</f>
        <v>#N/A</v>
      </c>
      <c r="BR170" s="355" t="e">
        <f>IF(AND($BC170=0,$C170=Tab_sel!$P$7,$D170=Tab_sel!$O$24,$E170=Tab_sel!$N$31,$F170=Tab_sel!$N$40,$I170=Tab_sel!$B$63),1,"")</f>
        <v>#N/A</v>
      </c>
      <c r="BS170" s="355" t="e">
        <f>IF(AND($BC170=0,$C170=Tab_sel!$P$7,$D170=Tab_sel!$O$24,$E170=Tab_sel!$N$31,$F170=Tab_sel!$N$40,$I170=Tab_sel!$B$64),1,"")</f>
        <v>#N/A</v>
      </c>
      <c r="BT170" s="356" t="e">
        <f>IF(AND($BC170=0,$C170=Tab_sel!$P$7,$D170=Tab_sel!$O$24,$E170=Tab_sel!$N$31,$F170=Tab_sel!$N$40,$I170=Tab_sel!$B$65),1,"")</f>
        <v>#N/A</v>
      </c>
      <c r="BU170" s="856" t="e">
        <f>IF(AND($BC170=0,$C170=Tab_sel!$P$7,$D170=Tab_sel!$O$24,$E170=Tab_sel!$N$31,$F170=Tab_sel!$N$40,$I170=Tab_sel!$P$61,$H170=Tab_sel!$B$77),1,"")</f>
        <v>#N/A</v>
      </c>
      <c r="BV170" s="883" t="e">
        <f>IF(AND($BC170=0,$C170=Tab_sel!$P$7,$D170=Tab_sel!$O$24,$E170=Tab_sel!$N$31,$F170=Tab_sel!$N$40,$I170=Tab_sel!$P$61,$H170=Tab_sel!$B$78),1,"")</f>
        <v>#N/A</v>
      </c>
      <c r="BW170" s="883" t="e">
        <f>IF(AND($BC170=0,$C170=Tab_sel!$P$7,$D170=Tab_sel!$O$24,$E170=Tab_sel!$N$31,$F170=Tab_sel!$N$40,$I170=Tab_sel!$P$61,$H170=Tab_sel!$B$79),1,"")</f>
        <v>#N/A</v>
      </c>
      <c r="BX170" s="883" t="e">
        <f>IF(AND($BC170=0,$C170=Tab_sel!$P$7,$D170=Tab_sel!$O$24,$E170=Tab_sel!$N$31,$F170=Tab_sel!$N$40,$I170=Tab_sel!$P$61,$H170=Tab_sel!$B$80),1,"")</f>
        <v>#N/A</v>
      </c>
      <c r="BY170" s="883" t="e">
        <f>IF(AND($BC170=0,$C170=Tab_sel!$P$7,$D170=Tab_sel!$O$24,$E170=Tab_sel!$N$31,$F170=Tab_sel!$N$40,$I170=Tab_sel!$P$61,$H170=Tab_sel!$B$81),1,"")</f>
        <v>#N/A</v>
      </c>
      <c r="BZ170" s="857" t="e">
        <f>IF(AND($BC170=0,$C170=Tab_sel!$P$7,$D170=Tab_sel!$O$24,$E170=Tab_sel!$N$31,$F170=Tab_sel!$N$40,$I170=Tab_sel!$P$61,$H170=Tab_sel!$B$82),1,"")</f>
        <v>#N/A</v>
      </c>
      <c r="CA170" s="359"/>
      <c r="CC170">
        <f t="shared" si="54"/>
        <v>0</v>
      </c>
      <c r="CD170" s="882">
        <f t="shared" si="55"/>
        <v>0</v>
      </c>
      <c r="CE170" s="882">
        <f t="shared" si="56"/>
        <v>0</v>
      </c>
      <c r="CJ170" t="s">
        <v>2667</v>
      </c>
    </row>
    <row r="171" spans="2:88" ht="34.5" customHeight="1" x14ac:dyDescent="0.25">
      <c r="B171" s="791" t="s">
        <v>1499</v>
      </c>
      <c r="C171" s="771" t="s">
        <v>53</v>
      </c>
      <c r="D171" s="772" t="s">
        <v>76</v>
      </c>
      <c r="E171" s="771" t="str">
        <f t="shared" si="74"/>
        <v>Media support de logiciel</v>
      </c>
      <c r="F171" s="786" t="str">
        <f>Disp</f>
        <v>Disparition</v>
      </c>
      <c r="G171" s="768" t="s">
        <v>2519</v>
      </c>
      <c r="H171" s="773"/>
      <c r="I171" s="771" t="s">
        <v>1204</v>
      </c>
      <c r="J171" s="769" t="s">
        <v>2374</v>
      </c>
      <c r="K171" s="769" t="s">
        <v>1292</v>
      </c>
      <c r="L171" s="774"/>
      <c r="M171" s="912" t="s">
        <v>2542</v>
      </c>
      <c r="N171" s="767"/>
      <c r="O171" s="767"/>
      <c r="P171" s="772"/>
      <c r="Q171" s="803"/>
      <c r="R171" s="803"/>
      <c r="S171" s="804"/>
      <c r="T171" s="772"/>
      <c r="U171" s="772"/>
      <c r="V171" s="805"/>
      <c r="W171" s="767"/>
      <c r="X171" s="767"/>
      <c r="Y171" s="772"/>
      <c r="Z171" s="772"/>
      <c r="AA171" s="772"/>
      <c r="AB171" s="805"/>
      <c r="AC171" s="806"/>
      <c r="AD171" s="806"/>
      <c r="AE171" s="806"/>
      <c r="AF171" s="806"/>
      <c r="AG171" s="806"/>
      <c r="AH171" s="805"/>
      <c r="AI171" s="807" t="str">
        <f t="shared" si="57"/>
        <v/>
      </c>
      <c r="AJ171" s="805"/>
      <c r="AK171" s="359"/>
      <c r="AM171" t="str">
        <f t="shared" si="63"/>
        <v/>
      </c>
      <c r="AN171">
        <f t="shared" si="64"/>
        <v>0</v>
      </c>
      <c r="AW171" s="882">
        <f t="shared" si="53"/>
        <v>0</v>
      </c>
      <c r="AX171" s="882">
        <f t="shared" si="70"/>
        <v>1</v>
      </c>
      <c r="AY171" s="882">
        <f t="shared" si="71"/>
        <v>1</v>
      </c>
      <c r="AZ171" s="927">
        <f t="shared" si="72"/>
        <v>1</v>
      </c>
      <c r="BA171" s="882">
        <v>1</v>
      </c>
      <c r="BB171" s="925">
        <f t="shared" si="65"/>
        <v>0</v>
      </c>
      <c r="BC171" s="882">
        <f t="shared" si="73"/>
        <v>1</v>
      </c>
      <c r="BD171" s="342" t="e">
        <f>IF(AND($BC171=0,C171=Tab_sel!$P$7,$D171=Tab_sel!$O$24,$E171=Tab_sel!$B$31),1,"")</f>
        <v>#N/A</v>
      </c>
      <c r="BE171" s="322" t="e">
        <f>IF(AND($BC171=0,C171=Tab_sel!$P$7,$D171=Tab_sel!$O$24,$E171=Tab_sel!$B$32),1,"")</f>
        <v>#N/A</v>
      </c>
      <c r="BF171" s="322" t="e">
        <f>IF(AND($BC171=0,C171=Tab_sel!$P$7,$D171=Tab_sel!$O$24,$E171=Tab_sel!$B$33),1,"")</f>
        <v>#N/A</v>
      </c>
      <c r="BG171" s="322" t="e">
        <f>IF(AND($BC171=0,C171=Tab_sel!$P$7,$D171=Tab_sel!$O$24,$E171=Tab_sel!$B$34),1,"")</f>
        <v>#N/A</v>
      </c>
      <c r="BH171" s="322" t="e">
        <f>IF(AND($BC171=0,C171=Tab_sel!$P$7,$D171=Tab_sel!$O$24,$E171=Tab_sel!$B$35),1,"")</f>
        <v>#N/A</v>
      </c>
      <c r="BI171" s="343" t="e">
        <f>IF(AND($BC171=0,C171=Tab_sel!$P$7,$D171=Tab_sel!$O$24,$E171=Tab_sel!$B$36),1,"")</f>
        <v>#N/A</v>
      </c>
      <c r="BJ171" s="342" t="e">
        <f>IF(AND($BC171=0,$C171=Tab_sel!$P$7,$D171=Tab_sel!$O$24,$E171=Tab_sel!$N$31,$F171=Tab_sel!$B$40),1,"")</f>
        <v>#N/A</v>
      </c>
      <c r="BK171" s="322" t="e">
        <f>IF(AND($BC171=0,$C171=Tab_sel!$P$7,$D171=Tab_sel!$O$24,$E171=Tab_sel!$N$31,$F171=Tab_sel!$B$41),1,"")</f>
        <v>#N/A</v>
      </c>
      <c r="BL171" s="322" t="e">
        <f>IF(AND($BC171=0,$C171=Tab_sel!$P$7,$D171=Tab_sel!$O$24,$E171=Tab_sel!$N$31,$F171=Tab_sel!$B$42),1,"")</f>
        <v>#N/A</v>
      </c>
      <c r="BM171" s="322" t="e">
        <f>IF(AND($BC171=0,$C171=Tab_sel!$P$7,$D171=Tab_sel!$O$24,$E171=Tab_sel!$N$31,$F171=Tab_sel!$B$43),1,"")</f>
        <v>#N/A</v>
      </c>
      <c r="BN171" s="322" t="e">
        <f>IF(AND($BC171=0,$C171=Tab_sel!$P$7,$D171=Tab_sel!$O$24,$E171=Tab_sel!$N$31,$F171=Tab_sel!$B$44),1,"")</f>
        <v>#N/A</v>
      </c>
      <c r="BO171" s="343" t="e">
        <f>IF(AND($BC171=0,$C171=Tab_sel!$P$7,$D171=Tab_sel!$O$24,$E171=Tab_sel!$N$31,$F171=Tab_sel!$B$45),1,"")</f>
        <v>#N/A</v>
      </c>
      <c r="BP171" s="354" t="e">
        <f>IF(AND($BC171=0,$C171=Tab_sel!$P$7,$D171=Tab_sel!$O$24,$E171=Tab_sel!$N$31,$F171=Tab_sel!$N$40,$I171=Tab_sel!$B$61),1,"")</f>
        <v>#N/A</v>
      </c>
      <c r="BQ171" s="355" t="e">
        <f>IF(AND($BC171=0,$C171=Tab_sel!$P$7,$D171=Tab_sel!$O$24,$E171=Tab_sel!$N$31,$F171=Tab_sel!$N$40,$I171=Tab_sel!$B$62),1,"")</f>
        <v>#N/A</v>
      </c>
      <c r="BR171" s="355" t="e">
        <f>IF(AND($BC171=0,$C171=Tab_sel!$P$7,$D171=Tab_sel!$O$24,$E171=Tab_sel!$N$31,$F171=Tab_sel!$N$40,$I171=Tab_sel!$B$63),1,"")</f>
        <v>#N/A</v>
      </c>
      <c r="BS171" s="355" t="e">
        <f>IF(AND($BC171=0,$C171=Tab_sel!$P$7,$D171=Tab_sel!$O$24,$E171=Tab_sel!$N$31,$F171=Tab_sel!$N$40,$I171=Tab_sel!$B$64),1,"")</f>
        <v>#N/A</v>
      </c>
      <c r="BT171" s="356" t="e">
        <f>IF(AND($BC171=0,$C171=Tab_sel!$P$7,$D171=Tab_sel!$O$24,$E171=Tab_sel!$N$31,$F171=Tab_sel!$N$40,$I171=Tab_sel!$B$65),1,"")</f>
        <v>#N/A</v>
      </c>
      <c r="BU171" s="856" t="e">
        <f>IF(AND($BC171=0,$C171=Tab_sel!$P$7,$D171=Tab_sel!$O$24,$E171=Tab_sel!$N$31,$F171=Tab_sel!$N$40,$I171=Tab_sel!$P$61,$H171=Tab_sel!$B$77),1,"")</f>
        <v>#N/A</v>
      </c>
      <c r="BV171" s="883" t="e">
        <f>IF(AND($BC171=0,$C171=Tab_sel!$P$7,$D171=Tab_sel!$O$24,$E171=Tab_sel!$N$31,$F171=Tab_sel!$N$40,$I171=Tab_sel!$P$61,$H171=Tab_sel!$B$78),1,"")</f>
        <v>#N/A</v>
      </c>
      <c r="BW171" s="883" t="e">
        <f>IF(AND($BC171=0,$C171=Tab_sel!$P$7,$D171=Tab_sel!$O$24,$E171=Tab_sel!$N$31,$F171=Tab_sel!$N$40,$I171=Tab_sel!$P$61,$H171=Tab_sel!$B$79),1,"")</f>
        <v>#N/A</v>
      </c>
      <c r="BX171" s="883" t="e">
        <f>IF(AND($BC171=0,$C171=Tab_sel!$P$7,$D171=Tab_sel!$O$24,$E171=Tab_sel!$N$31,$F171=Tab_sel!$N$40,$I171=Tab_sel!$P$61,$H171=Tab_sel!$B$80),1,"")</f>
        <v>#N/A</v>
      </c>
      <c r="BY171" s="883" t="e">
        <f>IF(AND($BC171=0,$C171=Tab_sel!$P$7,$D171=Tab_sel!$O$24,$E171=Tab_sel!$N$31,$F171=Tab_sel!$N$40,$I171=Tab_sel!$P$61,$H171=Tab_sel!$B$81),1,"")</f>
        <v>#N/A</v>
      </c>
      <c r="BZ171" s="857" t="e">
        <f>IF(AND($BC171=0,$C171=Tab_sel!$P$7,$D171=Tab_sel!$O$24,$E171=Tab_sel!$N$31,$F171=Tab_sel!$N$40,$I171=Tab_sel!$P$61,$H171=Tab_sel!$B$82),1,"")</f>
        <v>#N/A</v>
      </c>
      <c r="CA171" s="359"/>
      <c r="CC171">
        <f t="shared" si="54"/>
        <v>0</v>
      </c>
      <c r="CD171" s="882">
        <f t="shared" si="55"/>
        <v>0</v>
      </c>
      <c r="CE171" s="882">
        <f t="shared" si="56"/>
        <v>0</v>
      </c>
      <c r="CG171" t="s">
        <v>2618</v>
      </c>
      <c r="CH171" t="s">
        <v>2619</v>
      </c>
      <c r="CJ171" t="s">
        <v>2667</v>
      </c>
    </row>
    <row r="172" spans="2:88" ht="34.5" customHeight="1" x14ac:dyDescent="0.25">
      <c r="B172" s="791" t="s">
        <v>2416</v>
      </c>
      <c r="C172" s="874" t="s">
        <v>53</v>
      </c>
      <c r="D172" s="875" t="s">
        <v>76</v>
      </c>
      <c r="E172" s="771" t="str">
        <f t="shared" si="74"/>
        <v>Media support de logiciel</v>
      </c>
      <c r="F172" s="786" t="str">
        <f>Disp</f>
        <v>Disparition</v>
      </c>
      <c r="G172" s="768" t="s">
        <v>2519</v>
      </c>
      <c r="H172" s="889" t="s">
        <v>2288</v>
      </c>
      <c r="I172" s="874" t="s">
        <v>1204</v>
      </c>
      <c r="J172" s="769" t="s">
        <v>2374</v>
      </c>
      <c r="K172" s="877" t="s">
        <v>1292</v>
      </c>
      <c r="L172" s="887" t="s">
        <v>2350</v>
      </c>
      <c r="M172" s="912" t="s">
        <v>2542</v>
      </c>
      <c r="N172" s="851"/>
      <c r="O172" s="851"/>
      <c r="P172" s="875"/>
      <c r="Q172" s="803"/>
      <c r="R172" s="803"/>
      <c r="S172" s="804"/>
      <c r="T172" s="875"/>
      <c r="U172" s="875"/>
      <c r="V172" s="805"/>
      <c r="W172" s="851"/>
      <c r="X172" s="851"/>
      <c r="Y172" s="875"/>
      <c r="Z172" s="875"/>
      <c r="AA172" s="875"/>
      <c r="AB172" s="805"/>
      <c r="AC172" s="806"/>
      <c r="AD172" s="806"/>
      <c r="AE172" s="806"/>
      <c r="AF172" s="806"/>
      <c r="AG172" s="806"/>
      <c r="AH172" s="805"/>
      <c r="AI172" s="807" t="str">
        <f t="shared" si="57"/>
        <v/>
      </c>
      <c r="AJ172" s="805"/>
      <c r="AK172" s="359"/>
      <c r="AM172" t="str">
        <f t="shared" si="63"/>
        <v/>
      </c>
      <c r="AN172">
        <f t="shared" si="64"/>
        <v>0</v>
      </c>
      <c r="AV172" s="882"/>
      <c r="AW172" s="882">
        <f t="shared" si="53"/>
        <v>0</v>
      </c>
      <c r="AX172" s="882">
        <f t="shared" si="70"/>
        <v>1</v>
      </c>
      <c r="AY172" s="882">
        <f t="shared" si="71"/>
        <v>1</v>
      </c>
      <c r="AZ172" s="927">
        <f t="shared" si="72"/>
        <v>1</v>
      </c>
      <c r="BA172" s="882">
        <v>0</v>
      </c>
      <c r="BB172" s="925">
        <f t="shared" si="65"/>
        <v>0</v>
      </c>
      <c r="BC172" s="882">
        <f t="shared" si="73"/>
        <v>1</v>
      </c>
      <c r="BD172" s="342" t="e">
        <f>IF(AND($BC172=0,C172=Tab_sel!$P$7,$D172=Tab_sel!$O$24,$E172=Tab_sel!$B$31),1,"")</f>
        <v>#N/A</v>
      </c>
      <c r="BE172" s="322" t="e">
        <f>IF(AND($BC172=0,C172=Tab_sel!$P$7,$D172=Tab_sel!$O$24,$E172=Tab_sel!$B$32),1,"")</f>
        <v>#N/A</v>
      </c>
      <c r="BF172" s="322" t="e">
        <f>IF(AND($BC172=0,C172=Tab_sel!$P$7,$D172=Tab_sel!$O$24,$E172=Tab_sel!$B$33),1,"")</f>
        <v>#N/A</v>
      </c>
      <c r="BG172" s="322" t="e">
        <f>IF(AND($BC172=0,C172=Tab_sel!$P$7,$D172=Tab_sel!$O$24,$E172=Tab_sel!$B$34),1,"")</f>
        <v>#N/A</v>
      </c>
      <c r="BH172" s="322" t="e">
        <f>IF(AND($BC172=0,C172=Tab_sel!$P$7,$D172=Tab_sel!$O$24,$E172=Tab_sel!$B$35),1,"")</f>
        <v>#N/A</v>
      </c>
      <c r="BI172" s="343" t="e">
        <f>IF(AND($BC172=0,C172=Tab_sel!$P$7,$D172=Tab_sel!$O$24,$E172=Tab_sel!$B$36),1,"")</f>
        <v>#N/A</v>
      </c>
      <c r="BJ172" s="342" t="e">
        <f>IF(AND($BC172=0,$C172=Tab_sel!$P$7,$D172=Tab_sel!$O$24,$E172=Tab_sel!$N$31,$F172=Tab_sel!$B$40),1,"")</f>
        <v>#N/A</v>
      </c>
      <c r="BK172" s="322" t="e">
        <f>IF(AND($BC172=0,$C172=Tab_sel!$P$7,$D172=Tab_sel!$O$24,$E172=Tab_sel!$N$31,$F172=Tab_sel!$B$41),1,"")</f>
        <v>#N/A</v>
      </c>
      <c r="BL172" s="322" t="e">
        <f>IF(AND($BC172=0,$C172=Tab_sel!$P$7,$D172=Tab_sel!$O$24,$E172=Tab_sel!$N$31,$F172=Tab_sel!$B$42),1,"")</f>
        <v>#N/A</v>
      </c>
      <c r="BM172" s="322" t="e">
        <f>IF(AND($BC172=0,$C172=Tab_sel!$P$7,$D172=Tab_sel!$O$24,$E172=Tab_sel!$N$31,$F172=Tab_sel!$B$43),1,"")</f>
        <v>#N/A</v>
      </c>
      <c r="BN172" s="322" t="e">
        <f>IF(AND($BC172=0,$C172=Tab_sel!$P$7,$D172=Tab_sel!$O$24,$E172=Tab_sel!$N$31,$F172=Tab_sel!$B$44),1,"")</f>
        <v>#N/A</v>
      </c>
      <c r="BO172" s="343" t="e">
        <f>IF(AND($BC172=0,$C172=Tab_sel!$P$7,$D172=Tab_sel!$O$24,$E172=Tab_sel!$N$31,$F172=Tab_sel!$B$45),1,"")</f>
        <v>#N/A</v>
      </c>
      <c r="BP172" s="354" t="e">
        <f>IF(AND($BC172=0,$C172=Tab_sel!$P$7,$D172=Tab_sel!$O$24,$E172=Tab_sel!$N$31,$F172=Tab_sel!$N$40,$I172=Tab_sel!$B$61),1,"")</f>
        <v>#N/A</v>
      </c>
      <c r="BQ172" s="355" t="e">
        <f>IF(AND($BC172=0,$C172=Tab_sel!$P$7,$D172=Tab_sel!$O$24,$E172=Tab_sel!$N$31,$F172=Tab_sel!$N$40,$I172=Tab_sel!$B$62),1,"")</f>
        <v>#N/A</v>
      </c>
      <c r="BR172" s="355" t="e">
        <f>IF(AND($BC172=0,$C172=Tab_sel!$P$7,$D172=Tab_sel!$O$24,$E172=Tab_sel!$N$31,$F172=Tab_sel!$N$40,$I172=Tab_sel!$B$63),1,"")</f>
        <v>#N/A</v>
      </c>
      <c r="BS172" s="355" t="e">
        <f>IF(AND($BC172=0,$C172=Tab_sel!$P$7,$D172=Tab_sel!$O$24,$E172=Tab_sel!$N$31,$F172=Tab_sel!$N$40,$I172=Tab_sel!$B$64),1,"")</f>
        <v>#N/A</v>
      </c>
      <c r="BT172" s="356" t="e">
        <f>IF(AND($BC172=0,$C172=Tab_sel!$P$7,$D172=Tab_sel!$O$24,$E172=Tab_sel!$N$31,$F172=Tab_sel!$N$40,$I172=Tab_sel!$B$65),1,"")</f>
        <v>#N/A</v>
      </c>
      <c r="BU172" s="856" t="e">
        <f>IF(AND($BC172=0,$C172=Tab_sel!$P$7,$D172=Tab_sel!$O$24,$E172=Tab_sel!$N$31,$F172=Tab_sel!$N$40,$I172=Tab_sel!$P$61,$H172=Tab_sel!$B$77),1,"")</f>
        <v>#N/A</v>
      </c>
      <c r="BV172" s="883" t="e">
        <f>IF(AND($BC172=0,$C172=Tab_sel!$P$7,$D172=Tab_sel!$O$24,$E172=Tab_sel!$N$31,$F172=Tab_sel!$N$40,$I172=Tab_sel!$P$61,$H172=Tab_sel!$B$78),1,"")</f>
        <v>#N/A</v>
      </c>
      <c r="BW172" s="883" t="e">
        <f>IF(AND($BC172=0,$C172=Tab_sel!$P$7,$D172=Tab_sel!$O$24,$E172=Tab_sel!$N$31,$F172=Tab_sel!$N$40,$I172=Tab_sel!$P$61,$H172=Tab_sel!$B$79),1,"")</f>
        <v>#N/A</v>
      </c>
      <c r="BX172" s="883" t="e">
        <f>IF(AND($BC172=0,$C172=Tab_sel!$P$7,$D172=Tab_sel!$O$24,$E172=Tab_sel!$N$31,$F172=Tab_sel!$N$40,$I172=Tab_sel!$P$61,$H172=Tab_sel!$B$80),1,"")</f>
        <v>#N/A</v>
      </c>
      <c r="BY172" s="883" t="e">
        <f>IF(AND($BC172=0,$C172=Tab_sel!$P$7,$D172=Tab_sel!$O$24,$E172=Tab_sel!$N$31,$F172=Tab_sel!$N$40,$I172=Tab_sel!$P$61,$H172=Tab_sel!$B$81),1,"")</f>
        <v>#N/A</v>
      </c>
      <c r="BZ172" s="857" t="e">
        <f>IF(AND($BC172=0,$C172=Tab_sel!$P$7,$D172=Tab_sel!$O$24,$E172=Tab_sel!$N$31,$F172=Tab_sel!$N$40,$I172=Tab_sel!$P$61,$H172=Tab_sel!$B$82),1,"")</f>
        <v>#N/A</v>
      </c>
      <c r="CA172" s="359"/>
      <c r="CC172">
        <f t="shared" si="54"/>
        <v>0</v>
      </c>
      <c r="CD172" s="882">
        <f t="shared" si="55"/>
        <v>0</v>
      </c>
      <c r="CE172" s="882">
        <f t="shared" si="56"/>
        <v>0</v>
      </c>
      <c r="CG172" t="s">
        <v>2618</v>
      </c>
      <c r="CH172" t="s">
        <v>2619</v>
      </c>
      <c r="CJ172" t="s">
        <v>2667</v>
      </c>
    </row>
    <row r="173" spans="2:88" ht="34.5" customHeight="1" x14ac:dyDescent="0.25">
      <c r="B173" s="791" t="s">
        <v>2417</v>
      </c>
      <c r="C173" s="874" t="s">
        <v>53</v>
      </c>
      <c r="D173" s="875" t="s">
        <v>76</v>
      </c>
      <c r="E173" s="771" t="str">
        <f t="shared" si="74"/>
        <v>Media support de logiciel</v>
      </c>
      <c r="F173" s="786" t="str">
        <f>Disp</f>
        <v>Disparition</v>
      </c>
      <c r="G173" s="768" t="s">
        <v>2519</v>
      </c>
      <c r="H173" s="876" t="s">
        <v>2520</v>
      </c>
      <c r="I173" s="874" t="s">
        <v>1204</v>
      </c>
      <c r="J173" s="769" t="s">
        <v>2374</v>
      </c>
      <c r="K173" s="877" t="s">
        <v>2350</v>
      </c>
      <c r="L173" s="887" t="s">
        <v>2350</v>
      </c>
      <c r="M173" s="912" t="s">
        <v>2542</v>
      </c>
      <c r="N173" s="851"/>
      <c r="O173" s="851"/>
      <c r="P173" s="875"/>
      <c r="Q173" s="803"/>
      <c r="R173" s="803"/>
      <c r="S173" s="804"/>
      <c r="T173" s="875"/>
      <c r="U173" s="875"/>
      <c r="V173" s="805"/>
      <c r="W173" s="851"/>
      <c r="X173" s="851"/>
      <c r="Y173" s="875"/>
      <c r="Z173" s="875"/>
      <c r="AA173" s="875"/>
      <c r="AB173" s="805"/>
      <c r="AC173" s="806"/>
      <c r="AD173" s="806"/>
      <c r="AE173" s="806"/>
      <c r="AF173" s="806"/>
      <c r="AG173" s="806"/>
      <c r="AH173" s="805"/>
      <c r="AI173" s="807" t="str">
        <f t="shared" si="57"/>
        <v/>
      </c>
      <c r="AJ173" s="805"/>
      <c r="AK173" s="359"/>
      <c r="AM173" t="str">
        <f t="shared" si="63"/>
        <v/>
      </c>
      <c r="AN173">
        <f t="shared" si="64"/>
        <v>0</v>
      </c>
      <c r="AV173" s="882"/>
      <c r="AW173" s="882">
        <f t="shared" si="53"/>
        <v>0</v>
      </c>
      <c r="AX173" s="882">
        <f t="shared" si="70"/>
        <v>1</v>
      </c>
      <c r="AY173" s="882">
        <f t="shared" si="71"/>
        <v>1</v>
      </c>
      <c r="AZ173" s="927">
        <f t="shared" si="72"/>
        <v>1</v>
      </c>
      <c r="BA173" s="882">
        <v>0</v>
      </c>
      <c r="BB173" s="925">
        <f t="shared" si="65"/>
        <v>0</v>
      </c>
      <c r="BC173" s="882">
        <f t="shared" si="73"/>
        <v>1</v>
      </c>
      <c r="BD173" s="342" t="e">
        <f>IF(AND($BC173=0,C173=Tab_sel!$P$7,$D173=Tab_sel!$O$24,$E173=Tab_sel!$B$31),1,"")</f>
        <v>#N/A</v>
      </c>
      <c r="BE173" s="322" t="e">
        <f>IF(AND($BC173=0,C173=Tab_sel!$P$7,$D173=Tab_sel!$O$24,$E173=Tab_sel!$B$32),1,"")</f>
        <v>#N/A</v>
      </c>
      <c r="BF173" s="322" t="e">
        <f>IF(AND($BC173=0,C173=Tab_sel!$P$7,$D173=Tab_sel!$O$24,$E173=Tab_sel!$B$33),1,"")</f>
        <v>#N/A</v>
      </c>
      <c r="BG173" s="322" t="e">
        <f>IF(AND($BC173=0,C173=Tab_sel!$P$7,$D173=Tab_sel!$O$24,$E173=Tab_sel!$B$34),1,"")</f>
        <v>#N/A</v>
      </c>
      <c r="BH173" s="322" t="e">
        <f>IF(AND($BC173=0,C173=Tab_sel!$P$7,$D173=Tab_sel!$O$24,$E173=Tab_sel!$B$35),1,"")</f>
        <v>#N/A</v>
      </c>
      <c r="BI173" s="343" t="e">
        <f>IF(AND($BC173=0,C173=Tab_sel!$P$7,$D173=Tab_sel!$O$24,$E173=Tab_sel!$B$36),1,"")</f>
        <v>#N/A</v>
      </c>
      <c r="BJ173" s="342" t="e">
        <f>IF(AND($BC173=0,$C173=Tab_sel!$P$7,$D173=Tab_sel!$O$24,$E173=Tab_sel!$N$31,$F173=Tab_sel!$B$40),1,"")</f>
        <v>#N/A</v>
      </c>
      <c r="BK173" s="322" t="e">
        <f>IF(AND($BC173=0,$C173=Tab_sel!$P$7,$D173=Tab_sel!$O$24,$E173=Tab_sel!$N$31,$F173=Tab_sel!$B$41),1,"")</f>
        <v>#N/A</v>
      </c>
      <c r="BL173" s="322" t="e">
        <f>IF(AND($BC173=0,$C173=Tab_sel!$P$7,$D173=Tab_sel!$O$24,$E173=Tab_sel!$N$31,$F173=Tab_sel!$B$42),1,"")</f>
        <v>#N/A</v>
      </c>
      <c r="BM173" s="322" t="e">
        <f>IF(AND($BC173=0,$C173=Tab_sel!$P$7,$D173=Tab_sel!$O$24,$E173=Tab_sel!$N$31,$F173=Tab_sel!$B$43),1,"")</f>
        <v>#N/A</v>
      </c>
      <c r="BN173" s="322" t="e">
        <f>IF(AND($BC173=0,$C173=Tab_sel!$P$7,$D173=Tab_sel!$O$24,$E173=Tab_sel!$N$31,$F173=Tab_sel!$B$44),1,"")</f>
        <v>#N/A</v>
      </c>
      <c r="BO173" s="343" t="e">
        <f>IF(AND($BC173=0,$C173=Tab_sel!$P$7,$D173=Tab_sel!$O$24,$E173=Tab_sel!$N$31,$F173=Tab_sel!$B$45),1,"")</f>
        <v>#N/A</v>
      </c>
      <c r="BP173" s="354" t="e">
        <f>IF(AND($BC173=0,$C173=Tab_sel!$P$7,$D173=Tab_sel!$O$24,$E173=Tab_sel!$N$31,$F173=Tab_sel!$N$40,$I173=Tab_sel!$B$61),1,"")</f>
        <v>#N/A</v>
      </c>
      <c r="BQ173" s="355" t="e">
        <f>IF(AND($BC173=0,$C173=Tab_sel!$P$7,$D173=Tab_sel!$O$24,$E173=Tab_sel!$N$31,$F173=Tab_sel!$N$40,$I173=Tab_sel!$B$62),1,"")</f>
        <v>#N/A</v>
      </c>
      <c r="BR173" s="355" t="e">
        <f>IF(AND($BC173=0,$C173=Tab_sel!$P$7,$D173=Tab_sel!$O$24,$E173=Tab_sel!$N$31,$F173=Tab_sel!$N$40,$I173=Tab_sel!$B$63),1,"")</f>
        <v>#N/A</v>
      </c>
      <c r="BS173" s="355" t="e">
        <f>IF(AND($BC173=0,$C173=Tab_sel!$P$7,$D173=Tab_sel!$O$24,$E173=Tab_sel!$N$31,$F173=Tab_sel!$N$40,$I173=Tab_sel!$B$64),1,"")</f>
        <v>#N/A</v>
      </c>
      <c r="BT173" s="356" t="e">
        <f>IF(AND($BC173=0,$C173=Tab_sel!$P$7,$D173=Tab_sel!$O$24,$E173=Tab_sel!$N$31,$F173=Tab_sel!$N$40,$I173=Tab_sel!$B$65),1,"")</f>
        <v>#N/A</v>
      </c>
      <c r="BU173" s="856" t="e">
        <f>IF(AND($BC173=0,$C173=Tab_sel!$P$7,$D173=Tab_sel!$O$24,$E173=Tab_sel!$N$31,$F173=Tab_sel!$N$40,$I173=Tab_sel!$P$61,$H173=Tab_sel!$B$77),1,"")</f>
        <v>#N/A</v>
      </c>
      <c r="BV173" s="883" t="e">
        <f>IF(AND($BC173=0,$C173=Tab_sel!$P$7,$D173=Tab_sel!$O$24,$E173=Tab_sel!$N$31,$F173=Tab_sel!$N$40,$I173=Tab_sel!$P$61,$H173=Tab_sel!$B$78),1,"")</f>
        <v>#N/A</v>
      </c>
      <c r="BW173" s="883" t="e">
        <f>IF(AND($BC173=0,$C173=Tab_sel!$P$7,$D173=Tab_sel!$O$24,$E173=Tab_sel!$N$31,$F173=Tab_sel!$N$40,$I173=Tab_sel!$P$61,$H173=Tab_sel!$B$79),1,"")</f>
        <v>#N/A</v>
      </c>
      <c r="BX173" s="883" t="e">
        <f>IF(AND($BC173=0,$C173=Tab_sel!$P$7,$D173=Tab_sel!$O$24,$E173=Tab_sel!$N$31,$F173=Tab_sel!$N$40,$I173=Tab_sel!$P$61,$H173=Tab_sel!$B$80),1,"")</f>
        <v>#N/A</v>
      </c>
      <c r="BY173" s="883" t="e">
        <f>IF(AND($BC173=0,$C173=Tab_sel!$P$7,$D173=Tab_sel!$O$24,$E173=Tab_sel!$N$31,$F173=Tab_sel!$N$40,$I173=Tab_sel!$P$61,$H173=Tab_sel!$B$81),1,"")</f>
        <v>#N/A</v>
      </c>
      <c r="BZ173" s="857" t="e">
        <f>IF(AND($BC173=0,$C173=Tab_sel!$P$7,$D173=Tab_sel!$O$24,$E173=Tab_sel!$N$31,$F173=Tab_sel!$N$40,$I173=Tab_sel!$P$61,$H173=Tab_sel!$B$82),1,"")</f>
        <v>#N/A</v>
      </c>
      <c r="CA173" s="359"/>
      <c r="CC173">
        <f t="shared" si="54"/>
        <v>0</v>
      </c>
      <c r="CD173" s="882">
        <f t="shared" si="55"/>
        <v>0</v>
      </c>
      <c r="CE173" s="882">
        <f t="shared" si="56"/>
        <v>0</v>
      </c>
      <c r="CG173" t="s">
        <v>2618</v>
      </c>
      <c r="CJ173" t="s">
        <v>2667</v>
      </c>
    </row>
    <row r="174" spans="2:88" ht="34.5" customHeight="1" x14ac:dyDescent="0.25">
      <c r="B174" s="791" t="s">
        <v>1500</v>
      </c>
      <c r="C174" s="771" t="s">
        <v>53</v>
      </c>
      <c r="D174" s="772" t="s">
        <v>76</v>
      </c>
      <c r="E174" s="771" t="str">
        <f t="shared" si="74"/>
        <v>Media support de logiciel</v>
      </c>
      <c r="F174" s="783" t="str">
        <f>Endp</f>
        <v>Endommagement physique</v>
      </c>
      <c r="G174" s="780" t="s">
        <v>1111</v>
      </c>
      <c r="H174" s="780"/>
      <c r="I174" s="771" t="s">
        <v>1206</v>
      </c>
      <c r="J174" s="775"/>
      <c r="K174" s="775" t="s">
        <v>1361</v>
      </c>
      <c r="L174" s="775"/>
      <c r="M174" s="912" t="s">
        <v>2542</v>
      </c>
      <c r="N174" s="767"/>
      <c r="O174" s="767"/>
      <c r="P174" s="772"/>
      <c r="Q174" s="803"/>
      <c r="R174" s="803"/>
      <c r="S174" s="804"/>
      <c r="T174" s="772"/>
      <c r="U174" s="772"/>
      <c r="V174" s="805"/>
      <c r="W174" s="767"/>
      <c r="X174" s="767"/>
      <c r="Y174" s="772"/>
      <c r="Z174" s="772"/>
      <c r="AA174" s="772"/>
      <c r="AB174" s="805"/>
      <c r="AC174" s="806"/>
      <c r="AD174" s="806"/>
      <c r="AE174" s="806"/>
      <c r="AF174" s="806"/>
      <c r="AG174" s="806"/>
      <c r="AH174" s="805"/>
      <c r="AI174" s="807" t="str">
        <f t="shared" si="57"/>
        <v/>
      </c>
      <c r="AJ174" s="805"/>
      <c r="AK174" s="359"/>
      <c r="AM174" t="str">
        <f t="shared" si="63"/>
        <v/>
      </c>
      <c r="AN174">
        <f t="shared" si="64"/>
        <v>0</v>
      </c>
      <c r="AW174" s="882">
        <f t="shared" si="53"/>
        <v>0</v>
      </c>
      <c r="AX174" s="882">
        <f t="shared" si="70"/>
        <v>1</v>
      </c>
      <c r="AY174" s="882">
        <f t="shared" si="71"/>
        <v>1</v>
      </c>
      <c r="AZ174" s="927">
        <f t="shared" si="72"/>
        <v>1</v>
      </c>
      <c r="BA174" s="882">
        <v>1</v>
      </c>
      <c r="BB174" s="925">
        <f t="shared" si="65"/>
        <v>0</v>
      </c>
      <c r="BC174" s="882">
        <f t="shared" si="73"/>
        <v>1</v>
      </c>
      <c r="BD174" s="342" t="e">
        <f>IF(AND($BC174=0,C174=Tab_sel!$P$7,$D174=Tab_sel!$O$24,$E174=Tab_sel!$B$31),1,"")</f>
        <v>#N/A</v>
      </c>
      <c r="BE174" s="322" t="e">
        <f>IF(AND($BC174=0,C174=Tab_sel!$P$7,$D174=Tab_sel!$O$24,$E174=Tab_sel!$B$32),1,"")</f>
        <v>#N/A</v>
      </c>
      <c r="BF174" s="322" t="e">
        <f>IF(AND($BC174=0,C174=Tab_sel!$P$7,$D174=Tab_sel!$O$24,$E174=Tab_sel!$B$33),1,"")</f>
        <v>#N/A</v>
      </c>
      <c r="BG174" s="322" t="e">
        <f>IF(AND($BC174=0,C174=Tab_sel!$P$7,$D174=Tab_sel!$O$24,$E174=Tab_sel!$B$34),1,"")</f>
        <v>#N/A</v>
      </c>
      <c r="BH174" s="322" t="e">
        <f>IF(AND($BC174=0,C174=Tab_sel!$P$7,$D174=Tab_sel!$O$24,$E174=Tab_sel!$B$35),1,"")</f>
        <v>#N/A</v>
      </c>
      <c r="BI174" s="343" t="e">
        <f>IF(AND($BC174=0,C174=Tab_sel!$P$7,$D174=Tab_sel!$O$24,$E174=Tab_sel!$B$36),1,"")</f>
        <v>#N/A</v>
      </c>
      <c r="BJ174" s="342" t="e">
        <f>IF(AND($BC174=0,$C174=Tab_sel!$P$7,$D174=Tab_sel!$O$24,$E174=Tab_sel!$N$31,$F174=Tab_sel!$B$40),1,"")</f>
        <v>#N/A</v>
      </c>
      <c r="BK174" s="322" t="e">
        <f>IF(AND($BC174=0,$C174=Tab_sel!$P$7,$D174=Tab_sel!$O$24,$E174=Tab_sel!$N$31,$F174=Tab_sel!$B$41),1,"")</f>
        <v>#N/A</v>
      </c>
      <c r="BL174" s="322" t="e">
        <f>IF(AND($BC174=0,$C174=Tab_sel!$P$7,$D174=Tab_sel!$O$24,$E174=Tab_sel!$N$31,$F174=Tab_sel!$B$42),1,"")</f>
        <v>#N/A</v>
      </c>
      <c r="BM174" s="322" t="e">
        <f>IF(AND($BC174=0,$C174=Tab_sel!$P$7,$D174=Tab_sel!$O$24,$E174=Tab_sel!$N$31,$F174=Tab_sel!$B$43),1,"")</f>
        <v>#N/A</v>
      </c>
      <c r="BN174" s="322" t="e">
        <f>IF(AND($BC174=0,$C174=Tab_sel!$P$7,$D174=Tab_sel!$O$24,$E174=Tab_sel!$N$31,$F174=Tab_sel!$B$44),1,"")</f>
        <v>#N/A</v>
      </c>
      <c r="BO174" s="343" t="e">
        <f>IF(AND($BC174=0,$C174=Tab_sel!$P$7,$D174=Tab_sel!$O$24,$E174=Tab_sel!$N$31,$F174=Tab_sel!$B$45),1,"")</f>
        <v>#N/A</v>
      </c>
      <c r="BP174" s="354" t="e">
        <f>IF(AND($BC174=0,$C174=Tab_sel!$P$7,$D174=Tab_sel!$O$24,$E174=Tab_sel!$N$31,$F174=Tab_sel!$N$40,$I174=Tab_sel!$B$61),1,"")</f>
        <v>#N/A</v>
      </c>
      <c r="BQ174" s="355" t="e">
        <f>IF(AND($BC174=0,$C174=Tab_sel!$P$7,$D174=Tab_sel!$O$24,$E174=Tab_sel!$N$31,$F174=Tab_sel!$N$40,$I174=Tab_sel!$B$62),1,"")</f>
        <v>#N/A</v>
      </c>
      <c r="BR174" s="355" t="e">
        <f>IF(AND($BC174=0,$C174=Tab_sel!$P$7,$D174=Tab_sel!$O$24,$E174=Tab_sel!$N$31,$F174=Tab_sel!$N$40,$I174=Tab_sel!$B$63),1,"")</f>
        <v>#N/A</v>
      </c>
      <c r="BS174" s="355" t="e">
        <f>IF(AND($BC174=0,$C174=Tab_sel!$P$7,$D174=Tab_sel!$O$24,$E174=Tab_sel!$N$31,$F174=Tab_sel!$N$40,$I174=Tab_sel!$B$64),1,"")</f>
        <v>#N/A</v>
      </c>
      <c r="BT174" s="356" t="e">
        <f>IF(AND($BC174=0,$C174=Tab_sel!$P$7,$D174=Tab_sel!$O$24,$E174=Tab_sel!$N$31,$F174=Tab_sel!$N$40,$I174=Tab_sel!$B$65),1,"")</f>
        <v>#N/A</v>
      </c>
      <c r="BU174" s="856" t="e">
        <f>IF(AND($BC174=0,$C174=Tab_sel!$P$7,$D174=Tab_sel!$O$24,$E174=Tab_sel!$N$31,$F174=Tab_sel!$N$40,$I174=Tab_sel!$P$61,$H174=Tab_sel!$B$77),1,"")</f>
        <v>#N/A</v>
      </c>
      <c r="BV174" s="883" t="e">
        <f>IF(AND($BC174=0,$C174=Tab_sel!$P$7,$D174=Tab_sel!$O$24,$E174=Tab_sel!$N$31,$F174=Tab_sel!$N$40,$I174=Tab_sel!$P$61,$H174=Tab_sel!$B$78),1,"")</f>
        <v>#N/A</v>
      </c>
      <c r="BW174" s="883" t="e">
        <f>IF(AND($BC174=0,$C174=Tab_sel!$P$7,$D174=Tab_sel!$O$24,$E174=Tab_sel!$N$31,$F174=Tab_sel!$N$40,$I174=Tab_sel!$P$61,$H174=Tab_sel!$B$79),1,"")</f>
        <v>#N/A</v>
      </c>
      <c r="BX174" s="883" t="e">
        <f>IF(AND($BC174=0,$C174=Tab_sel!$P$7,$D174=Tab_sel!$O$24,$E174=Tab_sel!$N$31,$F174=Tab_sel!$N$40,$I174=Tab_sel!$P$61,$H174=Tab_sel!$B$80),1,"")</f>
        <v>#N/A</v>
      </c>
      <c r="BY174" s="883" t="e">
        <f>IF(AND($BC174=0,$C174=Tab_sel!$P$7,$D174=Tab_sel!$O$24,$E174=Tab_sel!$N$31,$F174=Tab_sel!$N$40,$I174=Tab_sel!$P$61,$H174=Tab_sel!$B$81),1,"")</f>
        <v>#N/A</v>
      </c>
      <c r="BZ174" s="857" t="e">
        <f>IF(AND($BC174=0,$C174=Tab_sel!$P$7,$D174=Tab_sel!$O$24,$E174=Tab_sel!$N$31,$F174=Tab_sel!$N$40,$I174=Tab_sel!$P$61,$H174=Tab_sel!$B$82),1,"")</f>
        <v>#N/A</v>
      </c>
      <c r="CA174" s="359"/>
      <c r="CC174">
        <f t="shared" si="54"/>
        <v>0</v>
      </c>
      <c r="CD174" s="882">
        <f t="shared" si="55"/>
        <v>0</v>
      </c>
      <c r="CE174" s="882">
        <f t="shared" si="56"/>
        <v>0</v>
      </c>
      <c r="CH174" t="s">
        <v>2620</v>
      </c>
      <c r="CJ174" t="s">
        <v>2667</v>
      </c>
    </row>
    <row r="175" spans="2:88" ht="34.5" customHeight="1" x14ac:dyDescent="0.25">
      <c r="B175" s="791" t="s">
        <v>1501</v>
      </c>
      <c r="C175" s="771" t="s">
        <v>53</v>
      </c>
      <c r="D175" s="772" t="s">
        <v>76</v>
      </c>
      <c r="E175" s="771" t="str">
        <f t="shared" si="74"/>
        <v>Media support de logiciel</v>
      </c>
      <c r="F175" s="783" t="str">
        <f>Endp</f>
        <v>Endommagement physique</v>
      </c>
      <c r="G175" s="780" t="s">
        <v>1811</v>
      </c>
      <c r="H175" s="780"/>
      <c r="I175" s="771" t="s">
        <v>1813</v>
      </c>
      <c r="J175" s="775"/>
      <c r="K175" s="775" t="s">
        <v>1361</v>
      </c>
      <c r="L175" s="775" t="s">
        <v>1257</v>
      </c>
      <c r="M175" s="912" t="s">
        <v>2542</v>
      </c>
      <c r="N175" s="767"/>
      <c r="O175" s="767"/>
      <c r="P175" s="772"/>
      <c r="Q175" s="803"/>
      <c r="R175" s="803"/>
      <c r="S175" s="804"/>
      <c r="T175" s="772"/>
      <c r="U175" s="772"/>
      <c r="V175" s="805"/>
      <c r="W175" s="767"/>
      <c r="X175" s="767"/>
      <c r="Y175" s="772"/>
      <c r="Z175" s="772"/>
      <c r="AA175" s="772"/>
      <c r="AB175" s="805"/>
      <c r="AC175" s="806"/>
      <c r="AD175" s="806"/>
      <c r="AE175" s="806"/>
      <c r="AF175" s="806"/>
      <c r="AG175" s="806"/>
      <c r="AH175" s="805"/>
      <c r="AI175" s="807" t="str">
        <f t="shared" si="57"/>
        <v/>
      </c>
      <c r="AJ175" s="805"/>
      <c r="AK175" s="359"/>
      <c r="AM175" t="str">
        <f t="shared" si="63"/>
        <v/>
      </c>
      <c r="AN175">
        <f t="shared" si="64"/>
        <v>0</v>
      </c>
      <c r="AW175" s="882">
        <f t="shared" si="53"/>
        <v>0</v>
      </c>
      <c r="AX175" s="882">
        <f t="shared" si="70"/>
        <v>1</v>
      </c>
      <c r="AY175" s="882">
        <f t="shared" si="71"/>
        <v>1</v>
      </c>
      <c r="AZ175" s="927">
        <f t="shared" si="72"/>
        <v>1</v>
      </c>
      <c r="BA175" s="882">
        <v>1</v>
      </c>
      <c r="BB175" s="925">
        <f t="shared" si="65"/>
        <v>0</v>
      </c>
      <c r="BC175" s="882">
        <f t="shared" si="73"/>
        <v>1</v>
      </c>
      <c r="BD175" s="342" t="e">
        <f>IF(AND($BC175=0,C175=Tab_sel!$P$7,$D175=Tab_sel!$O$24,$E175=Tab_sel!$B$31),1,"")</f>
        <v>#N/A</v>
      </c>
      <c r="BE175" s="322" t="e">
        <f>IF(AND($BC175=0,C175=Tab_sel!$P$7,$D175=Tab_sel!$O$24,$E175=Tab_sel!$B$32),1,"")</f>
        <v>#N/A</v>
      </c>
      <c r="BF175" s="322" t="e">
        <f>IF(AND($BC175=0,C175=Tab_sel!$P$7,$D175=Tab_sel!$O$24,$E175=Tab_sel!$B$33),1,"")</f>
        <v>#N/A</v>
      </c>
      <c r="BG175" s="322" t="e">
        <f>IF(AND($BC175=0,C175=Tab_sel!$P$7,$D175=Tab_sel!$O$24,$E175=Tab_sel!$B$34),1,"")</f>
        <v>#N/A</v>
      </c>
      <c r="BH175" s="322" t="e">
        <f>IF(AND($BC175=0,C175=Tab_sel!$P$7,$D175=Tab_sel!$O$24,$E175=Tab_sel!$B$35),1,"")</f>
        <v>#N/A</v>
      </c>
      <c r="BI175" s="343" t="e">
        <f>IF(AND($BC175=0,C175=Tab_sel!$P$7,$D175=Tab_sel!$O$24,$E175=Tab_sel!$B$36),1,"")</f>
        <v>#N/A</v>
      </c>
      <c r="BJ175" s="342" t="e">
        <f>IF(AND($BC175=0,$C175=Tab_sel!$P$7,$D175=Tab_sel!$O$24,$E175=Tab_sel!$N$31,$F175=Tab_sel!$B$40),1,"")</f>
        <v>#N/A</v>
      </c>
      <c r="BK175" s="322" t="e">
        <f>IF(AND($BC175=0,$C175=Tab_sel!$P$7,$D175=Tab_sel!$O$24,$E175=Tab_sel!$N$31,$F175=Tab_sel!$B$41),1,"")</f>
        <v>#N/A</v>
      </c>
      <c r="BL175" s="322" t="e">
        <f>IF(AND($BC175=0,$C175=Tab_sel!$P$7,$D175=Tab_sel!$O$24,$E175=Tab_sel!$N$31,$F175=Tab_sel!$B$42),1,"")</f>
        <v>#N/A</v>
      </c>
      <c r="BM175" s="322" t="e">
        <f>IF(AND($BC175=0,$C175=Tab_sel!$P$7,$D175=Tab_sel!$O$24,$E175=Tab_sel!$N$31,$F175=Tab_sel!$B$43),1,"")</f>
        <v>#N/A</v>
      </c>
      <c r="BN175" s="322" t="e">
        <f>IF(AND($BC175=0,$C175=Tab_sel!$P$7,$D175=Tab_sel!$O$24,$E175=Tab_sel!$N$31,$F175=Tab_sel!$B$44),1,"")</f>
        <v>#N/A</v>
      </c>
      <c r="BO175" s="343" t="e">
        <f>IF(AND($BC175=0,$C175=Tab_sel!$P$7,$D175=Tab_sel!$O$24,$E175=Tab_sel!$N$31,$F175=Tab_sel!$B$45),1,"")</f>
        <v>#N/A</v>
      </c>
      <c r="BP175" s="354" t="e">
        <f>IF(AND($BC175=0,$C175=Tab_sel!$P$7,$D175=Tab_sel!$O$24,$E175=Tab_sel!$N$31,$F175=Tab_sel!$N$40,$I175=Tab_sel!$B$61),1,"")</f>
        <v>#N/A</v>
      </c>
      <c r="BQ175" s="355" t="e">
        <f>IF(AND($BC175=0,$C175=Tab_sel!$P$7,$D175=Tab_sel!$O$24,$E175=Tab_sel!$N$31,$F175=Tab_sel!$N$40,$I175=Tab_sel!$B$62),1,"")</f>
        <v>#N/A</v>
      </c>
      <c r="BR175" s="355" t="e">
        <f>IF(AND($BC175=0,$C175=Tab_sel!$P$7,$D175=Tab_sel!$O$24,$E175=Tab_sel!$N$31,$F175=Tab_sel!$N$40,$I175=Tab_sel!$B$63),1,"")</f>
        <v>#N/A</v>
      </c>
      <c r="BS175" s="355" t="e">
        <f>IF(AND($BC175=0,$C175=Tab_sel!$P$7,$D175=Tab_sel!$O$24,$E175=Tab_sel!$N$31,$F175=Tab_sel!$N$40,$I175=Tab_sel!$B$64),1,"")</f>
        <v>#N/A</v>
      </c>
      <c r="BT175" s="356" t="e">
        <f>IF(AND($BC175=0,$C175=Tab_sel!$P$7,$D175=Tab_sel!$O$24,$E175=Tab_sel!$N$31,$F175=Tab_sel!$N$40,$I175=Tab_sel!$B$65),1,"")</f>
        <v>#N/A</v>
      </c>
      <c r="BU175" s="856" t="e">
        <f>IF(AND($BC175=0,$C175=Tab_sel!$P$7,$D175=Tab_sel!$O$24,$E175=Tab_sel!$N$31,$F175=Tab_sel!$N$40,$I175=Tab_sel!$P$61,$H175=Tab_sel!$B$77),1,"")</f>
        <v>#N/A</v>
      </c>
      <c r="BV175" s="883" t="e">
        <f>IF(AND($BC175=0,$C175=Tab_sel!$P$7,$D175=Tab_sel!$O$24,$E175=Tab_sel!$N$31,$F175=Tab_sel!$N$40,$I175=Tab_sel!$P$61,$H175=Tab_sel!$B$78),1,"")</f>
        <v>#N/A</v>
      </c>
      <c r="BW175" s="883" t="e">
        <f>IF(AND($BC175=0,$C175=Tab_sel!$P$7,$D175=Tab_sel!$O$24,$E175=Tab_sel!$N$31,$F175=Tab_sel!$N$40,$I175=Tab_sel!$P$61,$H175=Tab_sel!$B$79),1,"")</f>
        <v>#N/A</v>
      </c>
      <c r="BX175" s="883" t="e">
        <f>IF(AND($BC175=0,$C175=Tab_sel!$P$7,$D175=Tab_sel!$O$24,$E175=Tab_sel!$N$31,$F175=Tab_sel!$N$40,$I175=Tab_sel!$P$61,$H175=Tab_sel!$B$80),1,"")</f>
        <v>#N/A</v>
      </c>
      <c r="BY175" s="883" t="e">
        <f>IF(AND($BC175=0,$C175=Tab_sel!$P$7,$D175=Tab_sel!$O$24,$E175=Tab_sel!$N$31,$F175=Tab_sel!$N$40,$I175=Tab_sel!$P$61,$H175=Tab_sel!$B$81),1,"")</f>
        <v>#N/A</v>
      </c>
      <c r="BZ175" s="857" t="e">
        <f>IF(AND($BC175=0,$C175=Tab_sel!$P$7,$D175=Tab_sel!$O$24,$E175=Tab_sel!$N$31,$F175=Tab_sel!$N$40,$I175=Tab_sel!$P$61,$H175=Tab_sel!$B$82),1,"")</f>
        <v>#N/A</v>
      </c>
      <c r="CA175" s="359"/>
      <c r="CC175">
        <f t="shared" si="54"/>
        <v>0</v>
      </c>
      <c r="CD175" s="882">
        <f t="shared" si="55"/>
        <v>0</v>
      </c>
      <c r="CE175" s="882">
        <f t="shared" si="56"/>
        <v>0</v>
      </c>
      <c r="CH175" t="s">
        <v>2620</v>
      </c>
      <c r="CI175" t="s">
        <v>2686</v>
      </c>
      <c r="CJ175" t="s">
        <v>2667</v>
      </c>
    </row>
    <row r="176" spans="2:88" ht="34.5" customHeight="1" x14ac:dyDescent="0.25">
      <c r="B176" s="791" t="s">
        <v>1502</v>
      </c>
      <c r="C176" s="771" t="s">
        <v>53</v>
      </c>
      <c r="D176" s="772" t="s">
        <v>76</v>
      </c>
      <c r="E176" s="771" t="str">
        <f t="shared" si="74"/>
        <v>Media support de logiciel</v>
      </c>
      <c r="F176" s="773" t="str">
        <f>Inop</f>
        <v>Inopérabilité</v>
      </c>
      <c r="G176" s="776" t="s">
        <v>1208</v>
      </c>
      <c r="H176" s="776"/>
      <c r="I176" s="771" t="s">
        <v>1207</v>
      </c>
      <c r="J176" s="777"/>
      <c r="K176" s="769" t="s">
        <v>2027</v>
      </c>
      <c r="L176" s="777"/>
      <c r="M176" s="822"/>
      <c r="N176" s="767"/>
      <c r="O176" s="767"/>
      <c r="P176" s="772"/>
      <c r="Q176" s="803"/>
      <c r="R176" s="803"/>
      <c r="S176" s="804"/>
      <c r="T176" s="772"/>
      <c r="U176" s="772"/>
      <c r="V176" s="805"/>
      <c r="W176" s="767"/>
      <c r="X176" s="767"/>
      <c r="Y176" s="772"/>
      <c r="Z176" s="772"/>
      <c r="AA176" s="772"/>
      <c r="AB176" s="805"/>
      <c r="AC176" s="806"/>
      <c r="AD176" s="806"/>
      <c r="AE176" s="806"/>
      <c r="AF176" s="806"/>
      <c r="AG176" s="806"/>
      <c r="AH176" s="805"/>
      <c r="AI176" s="807" t="str">
        <f t="shared" si="57"/>
        <v/>
      </c>
      <c r="AJ176" s="805"/>
      <c r="AK176" s="359"/>
      <c r="AM176" t="str">
        <f t="shared" si="63"/>
        <v/>
      </c>
      <c r="AN176">
        <f t="shared" si="64"/>
        <v>0</v>
      </c>
      <c r="AW176" s="882">
        <f t="shared" si="53"/>
        <v>0</v>
      </c>
      <c r="AX176" s="882">
        <f t="shared" si="70"/>
        <v>1</v>
      </c>
      <c r="AY176" s="882">
        <f t="shared" si="71"/>
        <v>1</v>
      </c>
      <c r="AZ176" s="927">
        <f t="shared" si="72"/>
        <v>1</v>
      </c>
      <c r="BA176" s="882">
        <v>1</v>
      </c>
      <c r="BB176" s="925">
        <f t="shared" si="65"/>
        <v>0</v>
      </c>
      <c r="BC176" s="882">
        <f t="shared" si="73"/>
        <v>1</v>
      </c>
      <c r="BD176" s="342" t="e">
        <f>IF(AND($BC176=0,C176=Tab_sel!$P$7,$D176=Tab_sel!$O$24,$E176=Tab_sel!$B$31),1,"")</f>
        <v>#N/A</v>
      </c>
      <c r="BE176" s="322" t="e">
        <f>IF(AND($BC176=0,C176=Tab_sel!$P$7,$D176=Tab_sel!$O$24,$E176=Tab_sel!$B$32),1,"")</f>
        <v>#N/A</v>
      </c>
      <c r="BF176" s="322" t="e">
        <f>IF(AND($BC176=0,C176=Tab_sel!$P$7,$D176=Tab_sel!$O$24,$E176=Tab_sel!$B$33),1,"")</f>
        <v>#N/A</v>
      </c>
      <c r="BG176" s="322" t="e">
        <f>IF(AND($BC176=0,C176=Tab_sel!$P$7,$D176=Tab_sel!$O$24,$E176=Tab_sel!$B$34),1,"")</f>
        <v>#N/A</v>
      </c>
      <c r="BH176" s="322" t="e">
        <f>IF(AND($BC176=0,C176=Tab_sel!$P$7,$D176=Tab_sel!$O$24,$E176=Tab_sel!$B$35),1,"")</f>
        <v>#N/A</v>
      </c>
      <c r="BI176" s="343" t="e">
        <f>IF(AND($BC176=0,C176=Tab_sel!$P$7,$D176=Tab_sel!$O$24,$E176=Tab_sel!$B$36),1,"")</f>
        <v>#N/A</v>
      </c>
      <c r="BJ176" s="342" t="e">
        <f>IF(AND($BC176=0,$C176=Tab_sel!$P$7,$D176=Tab_sel!$O$24,$E176=Tab_sel!$N$31,$F176=Tab_sel!$B$40),1,"")</f>
        <v>#N/A</v>
      </c>
      <c r="BK176" s="322" t="e">
        <f>IF(AND($BC176=0,$C176=Tab_sel!$P$7,$D176=Tab_sel!$O$24,$E176=Tab_sel!$N$31,$F176=Tab_sel!$B$41),1,"")</f>
        <v>#N/A</v>
      </c>
      <c r="BL176" s="322" t="e">
        <f>IF(AND($BC176=0,$C176=Tab_sel!$P$7,$D176=Tab_sel!$O$24,$E176=Tab_sel!$N$31,$F176=Tab_sel!$B$42),1,"")</f>
        <v>#N/A</v>
      </c>
      <c r="BM176" s="322" t="e">
        <f>IF(AND($BC176=0,$C176=Tab_sel!$P$7,$D176=Tab_sel!$O$24,$E176=Tab_sel!$N$31,$F176=Tab_sel!$B$43),1,"")</f>
        <v>#N/A</v>
      </c>
      <c r="BN176" s="322" t="e">
        <f>IF(AND($BC176=0,$C176=Tab_sel!$P$7,$D176=Tab_sel!$O$24,$E176=Tab_sel!$N$31,$F176=Tab_sel!$B$44),1,"")</f>
        <v>#N/A</v>
      </c>
      <c r="BO176" s="343" t="e">
        <f>IF(AND($BC176=0,$C176=Tab_sel!$P$7,$D176=Tab_sel!$O$24,$E176=Tab_sel!$N$31,$F176=Tab_sel!$B$45),1,"")</f>
        <v>#N/A</v>
      </c>
      <c r="BP176" s="354" t="e">
        <f>IF(AND($BC176=0,$C176=Tab_sel!$P$7,$D176=Tab_sel!$O$24,$E176=Tab_sel!$N$31,$F176=Tab_sel!$N$40,$I176=Tab_sel!$B$61),1,"")</f>
        <v>#N/A</v>
      </c>
      <c r="BQ176" s="355" t="e">
        <f>IF(AND($BC176=0,$C176=Tab_sel!$P$7,$D176=Tab_sel!$O$24,$E176=Tab_sel!$N$31,$F176=Tab_sel!$N$40,$I176=Tab_sel!$B$62),1,"")</f>
        <v>#N/A</v>
      </c>
      <c r="BR176" s="355" t="e">
        <f>IF(AND($BC176=0,$C176=Tab_sel!$P$7,$D176=Tab_sel!$O$24,$E176=Tab_sel!$N$31,$F176=Tab_sel!$N$40,$I176=Tab_sel!$B$63),1,"")</f>
        <v>#N/A</v>
      </c>
      <c r="BS176" s="355" t="e">
        <f>IF(AND($BC176=0,$C176=Tab_sel!$P$7,$D176=Tab_sel!$O$24,$E176=Tab_sel!$N$31,$F176=Tab_sel!$N$40,$I176=Tab_sel!$B$64),1,"")</f>
        <v>#N/A</v>
      </c>
      <c r="BT176" s="356" t="e">
        <f>IF(AND($BC176=0,$C176=Tab_sel!$P$7,$D176=Tab_sel!$O$24,$E176=Tab_sel!$N$31,$F176=Tab_sel!$N$40,$I176=Tab_sel!$B$65),1,"")</f>
        <v>#N/A</v>
      </c>
      <c r="BU176" s="856" t="e">
        <f>IF(AND($BC176=0,$C176=Tab_sel!$P$7,$D176=Tab_sel!$O$24,$E176=Tab_sel!$N$31,$F176=Tab_sel!$N$40,$I176=Tab_sel!$P$61,$H176=Tab_sel!$B$77),1,"")</f>
        <v>#N/A</v>
      </c>
      <c r="BV176" s="883" t="e">
        <f>IF(AND($BC176=0,$C176=Tab_sel!$P$7,$D176=Tab_sel!$O$24,$E176=Tab_sel!$N$31,$F176=Tab_sel!$N$40,$I176=Tab_sel!$P$61,$H176=Tab_sel!$B$78),1,"")</f>
        <v>#N/A</v>
      </c>
      <c r="BW176" s="883" t="e">
        <f>IF(AND($BC176=0,$C176=Tab_sel!$P$7,$D176=Tab_sel!$O$24,$E176=Tab_sel!$N$31,$F176=Tab_sel!$N$40,$I176=Tab_sel!$P$61,$H176=Tab_sel!$B$79),1,"")</f>
        <v>#N/A</v>
      </c>
      <c r="BX176" s="883" t="e">
        <f>IF(AND($BC176=0,$C176=Tab_sel!$P$7,$D176=Tab_sel!$O$24,$E176=Tab_sel!$N$31,$F176=Tab_sel!$N$40,$I176=Tab_sel!$P$61,$H176=Tab_sel!$B$80),1,"")</f>
        <v>#N/A</v>
      </c>
      <c r="BY176" s="883" t="e">
        <f>IF(AND($BC176=0,$C176=Tab_sel!$P$7,$D176=Tab_sel!$O$24,$E176=Tab_sel!$N$31,$F176=Tab_sel!$N$40,$I176=Tab_sel!$P$61,$H176=Tab_sel!$B$81),1,"")</f>
        <v>#N/A</v>
      </c>
      <c r="BZ176" s="857" t="e">
        <f>IF(AND($BC176=0,$C176=Tab_sel!$P$7,$D176=Tab_sel!$O$24,$E176=Tab_sel!$N$31,$F176=Tab_sel!$N$40,$I176=Tab_sel!$P$61,$H176=Tab_sel!$B$82),1,"")</f>
        <v>#N/A</v>
      </c>
      <c r="CA176" s="359"/>
      <c r="CC176">
        <f t="shared" si="54"/>
        <v>0</v>
      </c>
      <c r="CD176" s="882">
        <f t="shared" si="55"/>
        <v>0</v>
      </c>
      <c r="CE176" s="882">
        <f t="shared" si="56"/>
        <v>0</v>
      </c>
      <c r="CH176" t="s">
        <v>2612</v>
      </c>
    </row>
    <row r="177" spans="2:88" ht="34.5" customHeight="1" x14ac:dyDescent="0.25">
      <c r="B177" s="791" t="s">
        <v>1503</v>
      </c>
      <c r="C177" s="771" t="s">
        <v>53</v>
      </c>
      <c r="D177" s="772" t="s">
        <v>76</v>
      </c>
      <c r="E177" s="771" t="str">
        <f t="shared" si="74"/>
        <v>Media support de logiciel</v>
      </c>
      <c r="F177" s="773" t="str">
        <f>Inex</f>
        <v>Inexploitabilité</v>
      </c>
      <c r="G177" s="776" t="s">
        <v>1113</v>
      </c>
      <c r="H177" s="776"/>
      <c r="I177" s="771" t="s">
        <v>1197</v>
      </c>
      <c r="J177" s="777"/>
      <c r="K177" s="769" t="s">
        <v>2027</v>
      </c>
      <c r="L177" s="777"/>
      <c r="M177" s="822"/>
      <c r="N177" s="767"/>
      <c r="O177" s="767"/>
      <c r="P177" s="772"/>
      <c r="Q177" s="803"/>
      <c r="R177" s="803"/>
      <c r="S177" s="804"/>
      <c r="T177" s="772"/>
      <c r="U177" s="772"/>
      <c r="V177" s="805"/>
      <c r="W177" s="767"/>
      <c r="X177" s="767"/>
      <c r="Y177" s="772"/>
      <c r="Z177" s="772"/>
      <c r="AA177" s="772"/>
      <c r="AB177" s="805"/>
      <c r="AC177" s="806"/>
      <c r="AD177" s="806"/>
      <c r="AE177" s="806"/>
      <c r="AF177" s="806"/>
      <c r="AG177" s="806"/>
      <c r="AH177" s="805"/>
      <c r="AI177" s="807" t="str">
        <f t="shared" si="57"/>
        <v/>
      </c>
      <c r="AJ177" s="805"/>
      <c r="AK177" s="359"/>
      <c r="AM177" t="str">
        <f t="shared" si="63"/>
        <v/>
      </c>
      <c r="AN177">
        <f t="shared" si="64"/>
        <v>0</v>
      </c>
      <c r="AW177" s="882">
        <f t="shared" si="53"/>
        <v>0</v>
      </c>
      <c r="AX177" s="882">
        <f t="shared" si="70"/>
        <v>1</v>
      </c>
      <c r="AY177" s="882">
        <f t="shared" si="71"/>
        <v>1</v>
      </c>
      <c r="AZ177" s="927">
        <f t="shared" si="72"/>
        <v>1</v>
      </c>
      <c r="BA177" s="882">
        <v>1</v>
      </c>
      <c r="BB177" s="925">
        <f t="shared" si="65"/>
        <v>0</v>
      </c>
      <c r="BC177" s="882">
        <f t="shared" si="73"/>
        <v>1</v>
      </c>
      <c r="BD177" s="342" t="e">
        <f>IF(AND($BC177=0,C177=Tab_sel!$P$7,$D177=Tab_sel!$O$24,$E177=Tab_sel!$B$31),1,"")</f>
        <v>#N/A</v>
      </c>
      <c r="BE177" s="322" t="e">
        <f>IF(AND($BC177=0,C177=Tab_sel!$P$7,$D177=Tab_sel!$O$24,$E177=Tab_sel!$B$32),1,"")</f>
        <v>#N/A</v>
      </c>
      <c r="BF177" s="322" t="e">
        <f>IF(AND($BC177=0,C177=Tab_sel!$P$7,$D177=Tab_sel!$O$24,$E177=Tab_sel!$B$33),1,"")</f>
        <v>#N/A</v>
      </c>
      <c r="BG177" s="322" t="e">
        <f>IF(AND($BC177=0,C177=Tab_sel!$P$7,$D177=Tab_sel!$O$24,$E177=Tab_sel!$B$34),1,"")</f>
        <v>#N/A</v>
      </c>
      <c r="BH177" s="322" t="e">
        <f>IF(AND($BC177=0,C177=Tab_sel!$P$7,$D177=Tab_sel!$O$24,$E177=Tab_sel!$B$35),1,"")</f>
        <v>#N/A</v>
      </c>
      <c r="BI177" s="343" t="e">
        <f>IF(AND($BC177=0,C177=Tab_sel!$P$7,$D177=Tab_sel!$O$24,$E177=Tab_sel!$B$36),1,"")</f>
        <v>#N/A</v>
      </c>
      <c r="BJ177" s="342" t="e">
        <f>IF(AND($BC177=0,$C177=Tab_sel!$P$7,$D177=Tab_sel!$O$24,$E177=Tab_sel!$N$31,$F177=Tab_sel!$B$40),1,"")</f>
        <v>#N/A</v>
      </c>
      <c r="BK177" s="322" t="e">
        <f>IF(AND($BC177=0,$C177=Tab_sel!$P$7,$D177=Tab_sel!$O$24,$E177=Tab_sel!$N$31,$F177=Tab_sel!$B$41),1,"")</f>
        <v>#N/A</v>
      </c>
      <c r="BL177" s="322" t="e">
        <f>IF(AND($BC177=0,$C177=Tab_sel!$P$7,$D177=Tab_sel!$O$24,$E177=Tab_sel!$N$31,$F177=Tab_sel!$B$42),1,"")</f>
        <v>#N/A</v>
      </c>
      <c r="BM177" s="322" t="e">
        <f>IF(AND($BC177=0,$C177=Tab_sel!$P$7,$D177=Tab_sel!$O$24,$E177=Tab_sel!$N$31,$F177=Tab_sel!$B$43),1,"")</f>
        <v>#N/A</v>
      </c>
      <c r="BN177" s="322" t="e">
        <f>IF(AND($BC177=0,$C177=Tab_sel!$P$7,$D177=Tab_sel!$O$24,$E177=Tab_sel!$N$31,$F177=Tab_sel!$B$44),1,"")</f>
        <v>#N/A</v>
      </c>
      <c r="BO177" s="343" t="e">
        <f>IF(AND($BC177=0,$C177=Tab_sel!$P$7,$D177=Tab_sel!$O$24,$E177=Tab_sel!$N$31,$F177=Tab_sel!$B$45),1,"")</f>
        <v>#N/A</v>
      </c>
      <c r="BP177" s="354" t="e">
        <f>IF(AND($BC177=0,$C177=Tab_sel!$P$7,$D177=Tab_sel!$O$24,$E177=Tab_sel!$N$31,$F177=Tab_sel!$N$40,$I177=Tab_sel!$B$61),1,"")</f>
        <v>#N/A</v>
      </c>
      <c r="BQ177" s="355" t="e">
        <f>IF(AND($BC177=0,$C177=Tab_sel!$P$7,$D177=Tab_sel!$O$24,$E177=Tab_sel!$N$31,$F177=Tab_sel!$N$40,$I177=Tab_sel!$B$62),1,"")</f>
        <v>#N/A</v>
      </c>
      <c r="BR177" s="355" t="e">
        <f>IF(AND($BC177=0,$C177=Tab_sel!$P$7,$D177=Tab_sel!$O$24,$E177=Tab_sel!$N$31,$F177=Tab_sel!$N$40,$I177=Tab_sel!$B$63),1,"")</f>
        <v>#N/A</v>
      </c>
      <c r="BS177" s="355" t="e">
        <f>IF(AND($BC177=0,$C177=Tab_sel!$P$7,$D177=Tab_sel!$O$24,$E177=Tab_sel!$N$31,$F177=Tab_sel!$N$40,$I177=Tab_sel!$B$64),1,"")</f>
        <v>#N/A</v>
      </c>
      <c r="BT177" s="356" t="e">
        <f>IF(AND($BC177=0,$C177=Tab_sel!$P$7,$D177=Tab_sel!$O$24,$E177=Tab_sel!$N$31,$F177=Tab_sel!$N$40,$I177=Tab_sel!$B$65),1,"")</f>
        <v>#N/A</v>
      </c>
      <c r="BU177" s="856" t="e">
        <f>IF(AND($BC177=0,$C177=Tab_sel!$P$7,$D177=Tab_sel!$O$24,$E177=Tab_sel!$N$31,$F177=Tab_sel!$N$40,$I177=Tab_sel!$P$61,$H177=Tab_sel!$B$77),1,"")</f>
        <v>#N/A</v>
      </c>
      <c r="BV177" s="883" t="e">
        <f>IF(AND($BC177=0,$C177=Tab_sel!$P$7,$D177=Tab_sel!$O$24,$E177=Tab_sel!$N$31,$F177=Tab_sel!$N$40,$I177=Tab_sel!$P$61,$H177=Tab_sel!$B$78),1,"")</f>
        <v>#N/A</v>
      </c>
      <c r="BW177" s="883" t="e">
        <f>IF(AND($BC177=0,$C177=Tab_sel!$P$7,$D177=Tab_sel!$O$24,$E177=Tab_sel!$N$31,$F177=Tab_sel!$N$40,$I177=Tab_sel!$P$61,$H177=Tab_sel!$B$79),1,"")</f>
        <v>#N/A</v>
      </c>
      <c r="BX177" s="883" t="e">
        <f>IF(AND($BC177=0,$C177=Tab_sel!$P$7,$D177=Tab_sel!$O$24,$E177=Tab_sel!$N$31,$F177=Tab_sel!$N$40,$I177=Tab_sel!$P$61,$H177=Tab_sel!$B$80),1,"")</f>
        <v>#N/A</v>
      </c>
      <c r="BY177" s="883" t="e">
        <f>IF(AND($BC177=0,$C177=Tab_sel!$P$7,$D177=Tab_sel!$O$24,$E177=Tab_sel!$N$31,$F177=Tab_sel!$N$40,$I177=Tab_sel!$P$61,$H177=Tab_sel!$B$81),1,"")</f>
        <v>#N/A</v>
      </c>
      <c r="BZ177" s="857" t="e">
        <f>IF(AND($BC177=0,$C177=Tab_sel!$P$7,$D177=Tab_sel!$O$24,$E177=Tab_sel!$N$31,$F177=Tab_sel!$N$40,$I177=Tab_sel!$P$61,$H177=Tab_sel!$B$82),1,"")</f>
        <v>#N/A</v>
      </c>
      <c r="CA177" s="359"/>
      <c r="CC177">
        <f t="shared" si="54"/>
        <v>0</v>
      </c>
      <c r="CD177" s="882">
        <f t="shared" si="55"/>
        <v>0</v>
      </c>
      <c r="CE177" s="882">
        <f t="shared" si="56"/>
        <v>0</v>
      </c>
      <c r="CH177" t="s">
        <v>2612</v>
      </c>
    </row>
    <row r="178" spans="2:88" ht="30" customHeight="1" x14ac:dyDescent="0.25">
      <c r="B178" s="791" t="s">
        <v>1504</v>
      </c>
      <c r="C178" s="771" t="s">
        <v>53</v>
      </c>
      <c r="D178" s="772" t="s">
        <v>76</v>
      </c>
      <c r="E178" s="771" t="str">
        <f t="shared" ref="E178:E186" si="75">Equ</f>
        <v>Equipement de l'Infrastructure informatique</v>
      </c>
      <c r="F178" s="773" t="str">
        <f>Disp</f>
        <v>Disparition</v>
      </c>
      <c r="G178" s="773" t="s">
        <v>2522</v>
      </c>
      <c r="H178" s="773"/>
      <c r="I178" s="771" t="s">
        <v>1204</v>
      </c>
      <c r="J178" s="769" t="s">
        <v>2374</v>
      </c>
      <c r="K178" s="769" t="s">
        <v>1292</v>
      </c>
      <c r="L178" s="774"/>
      <c r="M178" s="788" t="s">
        <v>1252</v>
      </c>
      <c r="N178" s="767"/>
      <c r="O178" s="767"/>
      <c r="P178" s="772"/>
      <c r="Q178" s="803"/>
      <c r="R178" s="803"/>
      <c r="S178" s="804"/>
      <c r="T178" s="772"/>
      <c r="U178" s="772"/>
      <c r="V178" s="805"/>
      <c r="W178" s="767"/>
      <c r="X178" s="767"/>
      <c r="Y178" s="772"/>
      <c r="Z178" s="772"/>
      <c r="AA178" s="772"/>
      <c r="AB178" s="805"/>
      <c r="AC178" s="806"/>
      <c r="AD178" s="806"/>
      <c r="AE178" s="806"/>
      <c r="AF178" s="806"/>
      <c r="AG178" s="806"/>
      <c r="AH178" s="805"/>
      <c r="AI178" s="807" t="str">
        <f t="shared" si="57"/>
        <v/>
      </c>
      <c r="AJ178" s="805"/>
      <c r="AK178" s="359"/>
      <c r="AM178" t="str">
        <f t="shared" si="63"/>
        <v/>
      </c>
      <c r="AN178">
        <f t="shared" si="64"/>
        <v>0</v>
      </c>
      <c r="AW178" s="882">
        <f t="shared" si="53"/>
        <v>0</v>
      </c>
      <c r="AX178" s="882">
        <f t="shared" si="70"/>
        <v>1</v>
      </c>
      <c r="AY178" s="882">
        <f t="shared" si="71"/>
        <v>1</v>
      </c>
      <c r="AZ178" s="927">
        <f t="shared" si="72"/>
        <v>1</v>
      </c>
      <c r="BA178" s="882">
        <v>1</v>
      </c>
      <c r="BB178" s="925">
        <f t="shared" si="65"/>
        <v>0</v>
      </c>
      <c r="BC178" s="882">
        <f t="shared" si="73"/>
        <v>1</v>
      </c>
      <c r="BD178" s="342" t="e">
        <f>IF(AND($BC178=0,C178=Tab_sel!$P$7,$D178=Tab_sel!$O$24,$E178=Tab_sel!$B$31),1,"")</f>
        <v>#N/A</v>
      </c>
      <c r="BE178" s="322" t="e">
        <f>IF(AND($BC178=0,C178=Tab_sel!$P$7,$D178=Tab_sel!$O$24,$E178=Tab_sel!$B$32),1,"")</f>
        <v>#N/A</v>
      </c>
      <c r="BF178" s="322" t="e">
        <f>IF(AND($BC178=0,C178=Tab_sel!$P$7,$D178=Tab_sel!$O$24,$E178=Tab_sel!$B$33),1,"")</f>
        <v>#N/A</v>
      </c>
      <c r="BG178" s="322" t="e">
        <f>IF(AND($BC178=0,C178=Tab_sel!$P$7,$D178=Tab_sel!$O$24,$E178=Tab_sel!$B$34),1,"")</f>
        <v>#N/A</v>
      </c>
      <c r="BH178" s="322" t="e">
        <f>IF(AND($BC178=0,C178=Tab_sel!$P$7,$D178=Tab_sel!$O$24,$E178=Tab_sel!$B$35),1,"")</f>
        <v>#N/A</v>
      </c>
      <c r="BI178" s="343" t="e">
        <f>IF(AND($BC178=0,C178=Tab_sel!$P$7,$D178=Tab_sel!$O$24,$E178=Tab_sel!$B$36),1,"")</f>
        <v>#N/A</v>
      </c>
      <c r="BJ178" s="342" t="e">
        <f>IF(AND($BC178=0,$C178=Tab_sel!$P$7,$D178=Tab_sel!$O$24,$E178=Tab_sel!$N$31,$F178=Tab_sel!$B$40),1,"")</f>
        <v>#N/A</v>
      </c>
      <c r="BK178" s="322" t="e">
        <f>IF(AND($BC178=0,$C178=Tab_sel!$P$7,$D178=Tab_sel!$O$24,$E178=Tab_sel!$N$31,$F178=Tab_sel!$B$41),1,"")</f>
        <v>#N/A</v>
      </c>
      <c r="BL178" s="322" t="e">
        <f>IF(AND($BC178=0,$C178=Tab_sel!$P$7,$D178=Tab_sel!$O$24,$E178=Tab_sel!$N$31,$F178=Tab_sel!$B$42),1,"")</f>
        <v>#N/A</v>
      </c>
      <c r="BM178" s="322" t="e">
        <f>IF(AND($BC178=0,$C178=Tab_sel!$P$7,$D178=Tab_sel!$O$24,$E178=Tab_sel!$N$31,$F178=Tab_sel!$B$43),1,"")</f>
        <v>#N/A</v>
      </c>
      <c r="BN178" s="322" t="e">
        <f>IF(AND($BC178=0,$C178=Tab_sel!$P$7,$D178=Tab_sel!$O$24,$E178=Tab_sel!$N$31,$F178=Tab_sel!$B$44),1,"")</f>
        <v>#N/A</v>
      </c>
      <c r="BO178" s="343" t="e">
        <f>IF(AND($BC178=0,$C178=Tab_sel!$P$7,$D178=Tab_sel!$O$24,$E178=Tab_sel!$N$31,$F178=Tab_sel!$B$45),1,"")</f>
        <v>#N/A</v>
      </c>
      <c r="BP178" s="354" t="e">
        <f>IF(AND($BC178=0,$C178=Tab_sel!$P$7,$D178=Tab_sel!$O$24,$E178=Tab_sel!$N$31,$F178=Tab_sel!$N$40,$I178=Tab_sel!$B$61),1,"")</f>
        <v>#N/A</v>
      </c>
      <c r="BQ178" s="355" t="e">
        <f>IF(AND($BC178=0,$C178=Tab_sel!$P$7,$D178=Tab_sel!$O$24,$E178=Tab_sel!$N$31,$F178=Tab_sel!$N$40,$I178=Tab_sel!$B$62),1,"")</f>
        <v>#N/A</v>
      </c>
      <c r="BR178" s="355" t="e">
        <f>IF(AND($BC178=0,$C178=Tab_sel!$P$7,$D178=Tab_sel!$O$24,$E178=Tab_sel!$N$31,$F178=Tab_sel!$N$40,$I178=Tab_sel!$B$63),1,"")</f>
        <v>#N/A</v>
      </c>
      <c r="BS178" s="355" t="e">
        <f>IF(AND($BC178=0,$C178=Tab_sel!$P$7,$D178=Tab_sel!$O$24,$E178=Tab_sel!$N$31,$F178=Tab_sel!$N$40,$I178=Tab_sel!$B$64),1,"")</f>
        <v>#N/A</v>
      </c>
      <c r="BT178" s="356" t="e">
        <f>IF(AND($BC178=0,$C178=Tab_sel!$P$7,$D178=Tab_sel!$O$24,$E178=Tab_sel!$N$31,$F178=Tab_sel!$N$40,$I178=Tab_sel!$B$65),1,"")</f>
        <v>#N/A</v>
      </c>
      <c r="BU178" s="856" t="e">
        <f>IF(AND($BC178=0,$C178=Tab_sel!$P$7,$D178=Tab_sel!$O$24,$E178=Tab_sel!$N$31,$F178=Tab_sel!$N$40,$I178=Tab_sel!$P$61,$H178=Tab_sel!$B$77),1,"")</f>
        <v>#N/A</v>
      </c>
      <c r="BV178" s="883" t="e">
        <f>IF(AND($BC178=0,$C178=Tab_sel!$P$7,$D178=Tab_sel!$O$24,$E178=Tab_sel!$N$31,$F178=Tab_sel!$N$40,$I178=Tab_sel!$P$61,$H178=Tab_sel!$B$78),1,"")</f>
        <v>#N/A</v>
      </c>
      <c r="BW178" s="883" t="e">
        <f>IF(AND($BC178=0,$C178=Tab_sel!$P$7,$D178=Tab_sel!$O$24,$E178=Tab_sel!$N$31,$F178=Tab_sel!$N$40,$I178=Tab_sel!$P$61,$H178=Tab_sel!$B$79),1,"")</f>
        <v>#N/A</v>
      </c>
      <c r="BX178" s="883" t="e">
        <f>IF(AND($BC178=0,$C178=Tab_sel!$P$7,$D178=Tab_sel!$O$24,$E178=Tab_sel!$N$31,$F178=Tab_sel!$N$40,$I178=Tab_sel!$P$61,$H178=Tab_sel!$B$80),1,"")</f>
        <v>#N/A</v>
      </c>
      <c r="BY178" s="883" t="e">
        <f>IF(AND($BC178=0,$C178=Tab_sel!$P$7,$D178=Tab_sel!$O$24,$E178=Tab_sel!$N$31,$F178=Tab_sel!$N$40,$I178=Tab_sel!$P$61,$H178=Tab_sel!$B$81),1,"")</f>
        <v>#N/A</v>
      </c>
      <c r="BZ178" s="857" t="e">
        <f>IF(AND($BC178=0,$C178=Tab_sel!$P$7,$D178=Tab_sel!$O$24,$E178=Tab_sel!$N$31,$F178=Tab_sel!$N$40,$I178=Tab_sel!$P$61,$H178=Tab_sel!$B$82),1,"")</f>
        <v>#N/A</v>
      </c>
      <c r="CA178" s="359"/>
      <c r="CC178">
        <f t="shared" si="54"/>
        <v>0</v>
      </c>
      <c r="CD178" s="882">
        <f t="shared" si="55"/>
        <v>0</v>
      </c>
      <c r="CE178" s="882">
        <f t="shared" si="56"/>
        <v>0</v>
      </c>
      <c r="CG178" t="s">
        <v>2618</v>
      </c>
      <c r="CH178" t="s">
        <v>2619</v>
      </c>
      <c r="CJ178" t="s">
        <v>2670</v>
      </c>
    </row>
    <row r="179" spans="2:88" ht="30" customHeight="1" x14ac:dyDescent="0.25">
      <c r="B179" s="791" t="s">
        <v>2418</v>
      </c>
      <c r="C179" s="874" t="s">
        <v>53</v>
      </c>
      <c r="D179" s="875" t="s">
        <v>76</v>
      </c>
      <c r="E179" s="771" t="str">
        <f t="shared" si="75"/>
        <v>Equipement de l'Infrastructure informatique</v>
      </c>
      <c r="F179" s="773" t="str">
        <f>Disp</f>
        <v>Disparition</v>
      </c>
      <c r="G179" s="773" t="s">
        <v>2522</v>
      </c>
      <c r="H179" s="876" t="s">
        <v>2521</v>
      </c>
      <c r="I179" s="874" t="s">
        <v>1204</v>
      </c>
      <c r="J179" s="769" t="s">
        <v>2374</v>
      </c>
      <c r="K179" s="877"/>
      <c r="L179" s="887"/>
      <c r="M179" s="788" t="s">
        <v>1252</v>
      </c>
      <c r="N179" s="851"/>
      <c r="O179" s="851"/>
      <c r="P179" s="875"/>
      <c r="Q179" s="803"/>
      <c r="R179" s="803"/>
      <c r="S179" s="804"/>
      <c r="T179" s="875"/>
      <c r="U179" s="875"/>
      <c r="V179" s="805"/>
      <c r="W179" s="851"/>
      <c r="X179" s="851"/>
      <c r="Y179" s="875"/>
      <c r="Z179" s="875"/>
      <c r="AA179" s="875"/>
      <c r="AB179" s="805"/>
      <c r="AC179" s="806"/>
      <c r="AD179" s="806"/>
      <c r="AE179" s="806"/>
      <c r="AF179" s="806"/>
      <c r="AG179" s="806"/>
      <c r="AH179" s="805"/>
      <c r="AI179" s="807" t="str">
        <f t="shared" si="57"/>
        <v/>
      </c>
      <c r="AJ179" s="805"/>
      <c r="AK179" s="359"/>
      <c r="AM179" t="str">
        <f t="shared" si="63"/>
        <v/>
      </c>
      <c r="AN179">
        <f t="shared" si="64"/>
        <v>0</v>
      </c>
      <c r="AV179" s="882"/>
      <c r="AW179" s="882">
        <f t="shared" si="53"/>
        <v>0</v>
      </c>
      <c r="AX179" s="882">
        <f t="shared" si="70"/>
        <v>1</v>
      </c>
      <c r="AY179" s="882">
        <f t="shared" si="71"/>
        <v>1</v>
      </c>
      <c r="AZ179" s="927">
        <f t="shared" si="72"/>
        <v>1</v>
      </c>
      <c r="BA179" s="882">
        <v>0</v>
      </c>
      <c r="BB179" s="925">
        <f t="shared" si="65"/>
        <v>0</v>
      </c>
      <c r="BC179" s="882">
        <f t="shared" si="73"/>
        <v>1</v>
      </c>
      <c r="BD179" s="342" t="e">
        <f>IF(AND($BC179=0,C179=Tab_sel!$P$7,$D179=Tab_sel!$O$24,$E179=Tab_sel!$B$31),1,"")</f>
        <v>#N/A</v>
      </c>
      <c r="BE179" s="322" t="e">
        <f>IF(AND($BC179=0,C179=Tab_sel!$P$7,$D179=Tab_sel!$O$24,$E179=Tab_sel!$B$32),1,"")</f>
        <v>#N/A</v>
      </c>
      <c r="BF179" s="322" t="e">
        <f>IF(AND($BC179=0,C179=Tab_sel!$P$7,$D179=Tab_sel!$O$24,$E179=Tab_sel!$B$33),1,"")</f>
        <v>#N/A</v>
      </c>
      <c r="BG179" s="322" t="e">
        <f>IF(AND($BC179=0,C179=Tab_sel!$P$7,$D179=Tab_sel!$O$24,$E179=Tab_sel!$B$34),1,"")</f>
        <v>#N/A</v>
      </c>
      <c r="BH179" s="322" t="e">
        <f>IF(AND($BC179=0,C179=Tab_sel!$P$7,$D179=Tab_sel!$O$24,$E179=Tab_sel!$B$35),1,"")</f>
        <v>#N/A</v>
      </c>
      <c r="BI179" s="343" t="e">
        <f>IF(AND($BC179=0,C179=Tab_sel!$P$7,$D179=Tab_sel!$O$24,$E179=Tab_sel!$B$36),1,"")</f>
        <v>#N/A</v>
      </c>
      <c r="BJ179" s="342" t="e">
        <f>IF(AND($BC179=0,$C179=Tab_sel!$P$7,$D179=Tab_sel!$O$24,$E179=Tab_sel!$N$31,$F179=Tab_sel!$B$40),1,"")</f>
        <v>#N/A</v>
      </c>
      <c r="BK179" s="322" t="e">
        <f>IF(AND($BC179=0,$C179=Tab_sel!$P$7,$D179=Tab_sel!$O$24,$E179=Tab_sel!$N$31,$F179=Tab_sel!$B$41),1,"")</f>
        <v>#N/A</v>
      </c>
      <c r="BL179" s="322" t="e">
        <f>IF(AND($BC179=0,$C179=Tab_sel!$P$7,$D179=Tab_sel!$O$24,$E179=Tab_sel!$N$31,$F179=Tab_sel!$B$42),1,"")</f>
        <v>#N/A</v>
      </c>
      <c r="BM179" s="322" t="e">
        <f>IF(AND($BC179=0,$C179=Tab_sel!$P$7,$D179=Tab_sel!$O$24,$E179=Tab_sel!$N$31,$F179=Tab_sel!$B$43),1,"")</f>
        <v>#N/A</v>
      </c>
      <c r="BN179" s="322" t="e">
        <f>IF(AND($BC179=0,$C179=Tab_sel!$P$7,$D179=Tab_sel!$O$24,$E179=Tab_sel!$N$31,$F179=Tab_sel!$B$44),1,"")</f>
        <v>#N/A</v>
      </c>
      <c r="BO179" s="343" t="e">
        <f>IF(AND($BC179=0,$C179=Tab_sel!$P$7,$D179=Tab_sel!$O$24,$E179=Tab_sel!$N$31,$F179=Tab_sel!$B$45),1,"")</f>
        <v>#N/A</v>
      </c>
      <c r="BP179" s="354" t="e">
        <f>IF(AND($BC179=0,$C179=Tab_sel!$P$7,$D179=Tab_sel!$O$24,$E179=Tab_sel!$N$31,$F179=Tab_sel!$N$40,$I179=Tab_sel!$B$61),1,"")</f>
        <v>#N/A</v>
      </c>
      <c r="BQ179" s="355" t="e">
        <f>IF(AND($BC179=0,$C179=Tab_sel!$P$7,$D179=Tab_sel!$O$24,$E179=Tab_sel!$N$31,$F179=Tab_sel!$N$40,$I179=Tab_sel!$B$62),1,"")</f>
        <v>#N/A</v>
      </c>
      <c r="BR179" s="355" t="e">
        <f>IF(AND($BC179=0,$C179=Tab_sel!$P$7,$D179=Tab_sel!$O$24,$E179=Tab_sel!$N$31,$F179=Tab_sel!$N$40,$I179=Tab_sel!$B$63),1,"")</f>
        <v>#N/A</v>
      </c>
      <c r="BS179" s="355" t="e">
        <f>IF(AND($BC179=0,$C179=Tab_sel!$P$7,$D179=Tab_sel!$O$24,$E179=Tab_sel!$N$31,$F179=Tab_sel!$N$40,$I179=Tab_sel!$B$64),1,"")</f>
        <v>#N/A</v>
      </c>
      <c r="BT179" s="356" t="e">
        <f>IF(AND($BC179=0,$C179=Tab_sel!$P$7,$D179=Tab_sel!$O$24,$E179=Tab_sel!$N$31,$F179=Tab_sel!$N$40,$I179=Tab_sel!$B$65),1,"")</f>
        <v>#N/A</v>
      </c>
      <c r="BU179" s="856" t="e">
        <f>IF(AND($BC179=0,$C179=Tab_sel!$P$7,$D179=Tab_sel!$O$24,$E179=Tab_sel!$N$31,$F179=Tab_sel!$N$40,$I179=Tab_sel!$P$61,$H179=Tab_sel!$B$77),1,"")</f>
        <v>#N/A</v>
      </c>
      <c r="BV179" s="883" t="e">
        <f>IF(AND($BC179=0,$C179=Tab_sel!$P$7,$D179=Tab_sel!$O$24,$E179=Tab_sel!$N$31,$F179=Tab_sel!$N$40,$I179=Tab_sel!$P$61,$H179=Tab_sel!$B$78),1,"")</f>
        <v>#N/A</v>
      </c>
      <c r="BW179" s="883" t="e">
        <f>IF(AND($BC179=0,$C179=Tab_sel!$P$7,$D179=Tab_sel!$O$24,$E179=Tab_sel!$N$31,$F179=Tab_sel!$N$40,$I179=Tab_sel!$P$61,$H179=Tab_sel!$B$79),1,"")</f>
        <v>#N/A</v>
      </c>
      <c r="BX179" s="883" t="e">
        <f>IF(AND($BC179=0,$C179=Tab_sel!$P$7,$D179=Tab_sel!$O$24,$E179=Tab_sel!$N$31,$F179=Tab_sel!$N$40,$I179=Tab_sel!$P$61,$H179=Tab_sel!$B$80),1,"")</f>
        <v>#N/A</v>
      </c>
      <c r="BY179" s="883" t="e">
        <f>IF(AND($BC179=0,$C179=Tab_sel!$P$7,$D179=Tab_sel!$O$24,$E179=Tab_sel!$N$31,$F179=Tab_sel!$N$40,$I179=Tab_sel!$P$61,$H179=Tab_sel!$B$81),1,"")</f>
        <v>#N/A</v>
      </c>
      <c r="BZ179" s="857" t="e">
        <f>IF(AND($BC179=0,$C179=Tab_sel!$P$7,$D179=Tab_sel!$O$24,$E179=Tab_sel!$N$31,$F179=Tab_sel!$N$40,$I179=Tab_sel!$P$61,$H179=Tab_sel!$B$82),1,"")</f>
        <v>#N/A</v>
      </c>
      <c r="CA179" s="359"/>
      <c r="CC179">
        <f t="shared" si="54"/>
        <v>0</v>
      </c>
      <c r="CD179" s="882">
        <f t="shared" si="55"/>
        <v>0</v>
      </c>
      <c r="CE179" s="882">
        <f t="shared" si="56"/>
        <v>0</v>
      </c>
      <c r="CG179" t="s">
        <v>2618</v>
      </c>
      <c r="CJ179" t="s">
        <v>2670</v>
      </c>
    </row>
    <row r="180" spans="2:88" ht="30" customHeight="1" x14ac:dyDescent="0.25">
      <c r="B180" s="791" t="s">
        <v>2419</v>
      </c>
      <c r="C180" s="874" t="s">
        <v>53</v>
      </c>
      <c r="D180" s="875" t="s">
        <v>76</v>
      </c>
      <c r="E180" s="771" t="str">
        <f t="shared" si="75"/>
        <v>Equipement de l'Infrastructure informatique</v>
      </c>
      <c r="F180" s="773" t="str">
        <f>Disp</f>
        <v>Disparition</v>
      </c>
      <c r="G180" s="773" t="s">
        <v>2522</v>
      </c>
      <c r="H180" s="889" t="s">
        <v>2288</v>
      </c>
      <c r="I180" s="874" t="s">
        <v>1204</v>
      </c>
      <c r="J180" s="769" t="s">
        <v>2374</v>
      </c>
      <c r="K180" s="877" t="s">
        <v>1292</v>
      </c>
      <c r="L180" s="887"/>
      <c r="M180" s="788" t="s">
        <v>1252</v>
      </c>
      <c r="N180" s="851"/>
      <c r="O180" s="851"/>
      <c r="P180" s="875"/>
      <c r="Q180" s="803"/>
      <c r="R180" s="803"/>
      <c r="S180" s="804"/>
      <c r="T180" s="875"/>
      <c r="U180" s="875"/>
      <c r="V180" s="805"/>
      <c r="W180" s="851"/>
      <c r="X180" s="851"/>
      <c r="Y180" s="875"/>
      <c r="Z180" s="875"/>
      <c r="AA180" s="875"/>
      <c r="AB180" s="805"/>
      <c r="AC180" s="806"/>
      <c r="AD180" s="806"/>
      <c r="AE180" s="806"/>
      <c r="AF180" s="806"/>
      <c r="AG180" s="806"/>
      <c r="AH180" s="805"/>
      <c r="AI180" s="807" t="str">
        <f t="shared" si="57"/>
        <v/>
      </c>
      <c r="AJ180" s="805"/>
      <c r="AK180" s="359"/>
      <c r="AM180" t="str">
        <f t="shared" si="63"/>
        <v/>
      </c>
      <c r="AN180">
        <f t="shared" si="64"/>
        <v>0</v>
      </c>
      <c r="AV180" s="882"/>
      <c r="AW180" s="882">
        <f t="shared" si="53"/>
        <v>0</v>
      </c>
      <c r="AX180" s="882">
        <f t="shared" si="70"/>
        <v>1</v>
      </c>
      <c r="AY180" s="882">
        <f t="shared" si="71"/>
        <v>1</v>
      </c>
      <c r="AZ180" s="927">
        <f t="shared" si="72"/>
        <v>1</v>
      </c>
      <c r="BA180" s="882">
        <v>0</v>
      </c>
      <c r="BB180" s="925">
        <f t="shared" si="65"/>
        <v>0</v>
      </c>
      <c r="BC180" s="882">
        <f t="shared" si="73"/>
        <v>1</v>
      </c>
      <c r="BD180" s="342" t="e">
        <f>IF(AND($BC180=0,C180=Tab_sel!$P$7,$D180=Tab_sel!$O$24,$E180=Tab_sel!$B$31),1,"")</f>
        <v>#N/A</v>
      </c>
      <c r="BE180" s="322" t="e">
        <f>IF(AND($BC180=0,C180=Tab_sel!$P$7,$D180=Tab_sel!$O$24,$E180=Tab_sel!$B$32),1,"")</f>
        <v>#N/A</v>
      </c>
      <c r="BF180" s="322" t="e">
        <f>IF(AND($BC180=0,C180=Tab_sel!$P$7,$D180=Tab_sel!$O$24,$E180=Tab_sel!$B$33),1,"")</f>
        <v>#N/A</v>
      </c>
      <c r="BG180" s="322" t="e">
        <f>IF(AND($BC180=0,C180=Tab_sel!$P$7,$D180=Tab_sel!$O$24,$E180=Tab_sel!$B$34),1,"")</f>
        <v>#N/A</v>
      </c>
      <c r="BH180" s="322" t="e">
        <f>IF(AND($BC180=0,C180=Tab_sel!$P$7,$D180=Tab_sel!$O$24,$E180=Tab_sel!$B$35),1,"")</f>
        <v>#N/A</v>
      </c>
      <c r="BI180" s="343" t="e">
        <f>IF(AND($BC180=0,C180=Tab_sel!$P$7,$D180=Tab_sel!$O$24,$E180=Tab_sel!$B$36),1,"")</f>
        <v>#N/A</v>
      </c>
      <c r="BJ180" s="342" t="e">
        <f>IF(AND($BC180=0,$C180=Tab_sel!$P$7,$D180=Tab_sel!$O$24,$E180=Tab_sel!$N$31,$F180=Tab_sel!$B$40),1,"")</f>
        <v>#N/A</v>
      </c>
      <c r="BK180" s="322" t="e">
        <f>IF(AND($BC180=0,$C180=Tab_sel!$P$7,$D180=Tab_sel!$O$24,$E180=Tab_sel!$N$31,$F180=Tab_sel!$B$41),1,"")</f>
        <v>#N/A</v>
      </c>
      <c r="BL180" s="322" t="e">
        <f>IF(AND($BC180=0,$C180=Tab_sel!$P$7,$D180=Tab_sel!$O$24,$E180=Tab_sel!$N$31,$F180=Tab_sel!$B$42),1,"")</f>
        <v>#N/A</v>
      </c>
      <c r="BM180" s="322" t="e">
        <f>IF(AND($BC180=0,$C180=Tab_sel!$P$7,$D180=Tab_sel!$O$24,$E180=Tab_sel!$N$31,$F180=Tab_sel!$B$43),1,"")</f>
        <v>#N/A</v>
      </c>
      <c r="BN180" s="322" t="e">
        <f>IF(AND($BC180=0,$C180=Tab_sel!$P$7,$D180=Tab_sel!$O$24,$E180=Tab_sel!$N$31,$F180=Tab_sel!$B$44),1,"")</f>
        <v>#N/A</v>
      </c>
      <c r="BO180" s="343" t="e">
        <f>IF(AND($BC180=0,$C180=Tab_sel!$P$7,$D180=Tab_sel!$O$24,$E180=Tab_sel!$N$31,$F180=Tab_sel!$B$45),1,"")</f>
        <v>#N/A</v>
      </c>
      <c r="BP180" s="354" t="e">
        <f>IF(AND($BC180=0,$C180=Tab_sel!$P$7,$D180=Tab_sel!$O$24,$E180=Tab_sel!$N$31,$F180=Tab_sel!$N$40,$I180=Tab_sel!$B$61),1,"")</f>
        <v>#N/A</v>
      </c>
      <c r="BQ180" s="355" t="e">
        <f>IF(AND($BC180=0,$C180=Tab_sel!$P$7,$D180=Tab_sel!$O$24,$E180=Tab_sel!$N$31,$F180=Tab_sel!$N$40,$I180=Tab_sel!$B$62),1,"")</f>
        <v>#N/A</v>
      </c>
      <c r="BR180" s="355" t="e">
        <f>IF(AND($BC180=0,$C180=Tab_sel!$P$7,$D180=Tab_sel!$O$24,$E180=Tab_sel!$N$31,$F180=Tab_sel!$N$40,$I180=Tab_sel!$B$63),1,"")</f>
        <v>#N/A</v>
      </c>
      <c r="BS180" s="355" t="e">
        <f>IF(AND($BC180=0,$C180=Tab_sel!$P$7,$D180=Tab_sel!$O$24,$E180=Tab_sel!$N$31,$F180=Tab_sel!$N$40,$I180=Tab_sel!$B$64),1,"")</f>
        <v>#N/A</v>
      </c>
      <c r="BT180" s="356" t="e">
        <f>IF(AND($BC180=0,$C180=Tab_sel!$P$7,$D180=Tab_sel!$O$24,$E180=Tab_sel!$N$31,$F180=Tab_sel!$N$40,$I180=Tab_sel!$B$65),1,"")</f>
        <v>#N/A</v>
      </c>
      <c r="BU180" s="856" t="e">
        <f>IF(AND($BC180=0,$C180=Tab_sel!$P$7,$D180=Tab_sel!$O$24,$E180=Tab_sel!$N$31,$F180=Tab_sel!$N$40,$I180=Tab_sel!$P$61,$H180=Tab_sel!$B$77),1,"")</f>
        <v>#N/A</v>
      </c>
      <c r="BV180" s="883" t="e">
        <f>IF(AND($BC180=0,$C180=Tab_sel!$P$7,$D180=Tab_sel!$O$24,$E180=Tab_sel!$N$31,$F180=Tab_sel!$N$40,$I180=Tab_sel!$P$61,$H180=Tab_sel!$B$78),1,"")</f>
        <v>#N/A</v>
      </c>
      <c r="BW180" s="883" t="e">
        <f>IF(AND($BC180=0,$C180=Tab_sel!$P$7,$D180=Tab_sel!$O$24,$E180=Tab_sel!$N$31,$F180=Tab_sel!$N$40,$I180=Tab_sel!$P$61,$H180=Tab_sel!$B$79),1,"")</f>
        <v>#N/A</v>
      </c>
      <c r="BX180" s="883" t="e">
        <f>IF(AND($BC180=0,$C180=Tab_sel!$P$7,$D180=Tab_sel!$O$24,$E180=Tab_sel!$N$31,$F180=Tab_sel!$N$40,$I180=Tab_sel!$P$61,$H180=Tab_sel!$B$80),1,"")</f>
        <v>#N/A</v>
      </c>
      <c r="BY180" s="883" t="e">
        <f>IF(AND($BC180=0,$C180=Tab_sel!$P$7,$D180=Tab_sel!$O$24,$E180=Tab_sel!$N$31,$F180=Tab_sel!$N$40,$I180=Tab_sel!$P$61,$H180=Tab_sel!$B$81),1,"")</f>
        <v>#N/A</v>
      </c>
      <c r="BZ180" s="857" t="e">
        <f>IF(AND($BC180=0,$C180=Tab_sel!$P$7,$D180=Tab_sel!$O$24,$E180=Tab_sel!$N$31,$F180=Tab_sel!$N$40,$I180=Tab_sel!$P$61,$H180=Tab_sel!$B$82),1,"")</f>
        <v>#N/A</v>
      </c>
      <c r="CA180" s="359"/>
      <c r="CC180">
        <f t="shared" si="54"/>
        <v>0</v>
      </c>
      <c r="CD180" s="882">
        <f t="shared" si="55"/>
        <v>0</v>
      </c>
      <c r="CE180" s="882">
        <f t="shared" si="56"/>
        <v>0</v>
      </c>
      <c r="CG180" t="s">
        <v>2618</v>
      </c>
      <c r="CH180" t="s">
        <v>2619</v>
      </c>
      <c r="CJ180" t="s">
        <v>2670</v>
      </c>
    </row>
    <row r="181" spans="2:88" ht="40.5" customHeight="1" x14ac:dyDescent="0.25">
      <c r="B181" s="791" t="s">
        <v>1505</v>
      </c>
      <c r="C181" s="771" t="s">
        <v>53</v>
      </c>
      <c r="D181" s="772" t="s">
        <v>76</v>
      </c>
      <c r="E181" s="771" t="str">
        <f t="shared" si="75"/>
        <v>Equipement de l'Infrastructure informatique</v>
      </c>
      <c r="F181" s="783" t="str">
        <f>Endp</f>
        <v>Endommagement physique</v>
      </c>
      <c r="G181" s="780" t="s">
        <v>1111</v>
      </c>
      <c r="H181" s="780"/>
      <c r="I181" s="771" t="s">
        <v>1206</v>
      </c>
      <c r="J181" s="833"/>
      <c r="K181" s="775"/>
      <c r="L181" s="775"/>
      <c r="M181" s="788" t="s">
        <v>1247</v>
      </c>
      <c r="N181" s="767"/>
      <c r="O181" s="767"/>
      <c r="P181" s="772"/>
      <c r="Q181" s="803"/>
      <c r="R181" s="803"/>
      <c r="S181" s="804"/>
      <c r="T181" s="772"/>
      <c r="U181" s="772"/>
      <c r="V181" s="805"/>
      <c r="W181" s="767"/>
      <c r="X181" s="767"/>
      <c r="Y181" s="772"/>
      <c r="Z181" s="772"/>
      <c r="AA181" s="772"/>
      <c r="AB181" s="805"/>
      <c r="AC181" s="806"/>
      <c r="AD181" s="806"/>
      <c r="AE181" s="806"/>
      <c r="AF181" s="806"/>
      <c r="AG181" s="806"/>
      <c r="AH181" s="805"/>
      <c r="AI181" s="807" t="str">
        <f t="shared" si="57"/>
        <v/>
      </c>
      <c r="AJ181" s="805"/>
      <c r="AK181" s="359"/>
      <c r="AM181" t="str">
        <f t="shared" si="63"/>
        <v/>
      </c>
      <c r="AN181">
        <f t="shared" si="64"/>
        <v>0</v>
      </c>
      <c r="AW181" s="882">
        <f t="shared" si="53"/>
        <v>0</v>
      </c>
      <c r="AX181" s="882">
        <f t="shared" si="70"/>
        <v>1</v>
      </c>
      <c r="AY181" s="882">
        <f t="shared" si="71"/>
        <v>1</v>
      </c>
      <c r="AZ181" s="927">
        <f t="shared" si="72"/>
        <v>1</v>
      </c>
      <c r="BA181" s="882">
        <v>1</v>
      </c>
      <c r="BB181" s="925">
        <f t="shared" si="65"/>
        <v>0</v>
      </c>
      <c r="BC181" s="882">
        <f t="shared" si="73"/>
        <v>1</v>
      </c>
      <c r="BD181" s="342" t="e">
        <f>IF(AND($BC181=0,C181=Tab_sel!$P$7,$D181=Tab_sel!$O$24,$E181=Tab_sel!$B$31),1,"")</f>
        <v>#N/A</v>
      </c>
      <c r="BE181" s="322" t="e">
        <f>IF(AND($BC181=0,C181=Tab_sel!$P$7,$D181=Tab_sel!$O$24,$E181=Tab_sel!$B$32),1,"")</f>
        <v>#N/A</v>
      </c>
      <c r="BF181" s="322" t="e">
        <f>IF(AND($BC181=0,C181=Tab_sel!$P$7,$D181=Tab_sel!$O$24,$E181=Tab_sel!$B$33),1,"")</f>
        <v>#N/A</v>
      </c>
      <c r="BG181" s="322" t="e">
        <f>IF(AND($BC181=0,C181=Tab_sel!$P$7,$D181=Tab_sel!$O$24,$E181=Tab_sel!$B$34),1,"")</f>
        <v>#N/A</v>
      </c>
      <c r="BH181" s="322" t="e">
        <f>IF(AND($BC181=0,C181=Tab_sel!$P$7,$D181=Tab_sel!$O$24,$E181=Tab_sel!$B$35),1,"")</f>
        <v>#N/A</v>
      </c>
      <c r="BI181" s="343" t="e">
        <f>IF(AND($BC181=0,C181=Tab_sel!$P$7,$D181=Tab_sel!$O$24,$E181=Tab_sel!$B$36),1,"")</f>
        <v>#N/A</v>
      </c>
      <c r="BJ181" s="342" t="e">
        <f>IF(AND($BC181=0,$C181=Tab_sel!$P$7,$D181=Tab_sel!$O$24,$E181=Tab_sel!$N$31,$F181=Tab_sel!$B$40),1,"")</f>
        <v>#N/A</v>
      </c>
      <c r="BK181" s="322" t="e">
        <f>IF(AND($BC181=0,$C181=Tab_sel!$P$7,$D181=Tab_sel!$O$24,$E181=Tab_sel!$N$31,$F181=Tab_sel!$B$41),1,"")</f>
        <v>#N/A</v>
      </c>
      <c r="BL181" s="322" t="e">
        <f>IF(AND($BC181=0,$C181=Tab_sel!$P$7,$D181=Tab_sel!$O$24,$E181=Tab_sel!$N$31,$F181=Tab_sel!$B$42),1,"")</f>
        <v>#N/A</v>
      </c>
      <c r="BM181" s="322" t="e">
        <f>IF(AND($BC181=0,$C181=Tab_sel!$P$7,$D181=Tab_sel!$O$24,$E181=Tab_sel!$N$31,$F181=Tab_sel!$B$43),1,"")</f>
        <v>#N/A</v>
      </c>
      <c r="BN181" s="322" t="e">
        <f>IF(AND($BC181=0,$C181=Tab_sel!$P$7,$D181=Tab_sel!$O$24,$E181=Tab_sel!$N$31,$F181=Tab_sel!$B$44),1,"")</f>
        <v>#N/A</v>
      </c>
      <c r="BO181" s="343" t="e">
        <f>IF(AND($BC181=0,$C181=Tab_sel!$P$7,$D181=Tab_sel!$O$24,$E181=Tab_sel!$N$31,$F181=Tab_sel!$B$45),1,"")</f>
        <v>#N/A</v>
      </c>
      <c r="BP181" s="354" t="e">
        <f>IF(AND($BC181=0,$C181=Tab_sel!$P$7,$D181=Tab_sel!$O$24,$E181=Tab_sel!$N$31,$F181=Tab_sel!$N$40,$I181=Tab_sel!$B$61),1,"")</f>
        <v>#N/A</v>
      </c>
      <c r="BQ181" s="355" t="e">
        <f>IF(AND($BC181=0,$C181=Tab_sel!$P$7,$D181=Tab_sel!$O$24,$E181=Tab_sel!$N$31,$F181=Tab_sel!$N$40,$I181=Tab_sel!$B$62),1,"")</f>
        <v>#N/A</v>
      </c>
      <c r="BR181" s="355" t="e">
        <f>IF(AND($BC181=0,$C181=Tab_sel!$P$7,$D181=Tab_sel!$O$24,$E181=Tab_sel!$N$31,$F181=Tab_sel!$N$40,$I181=Tab_sel!$B$63),1,"")</f>
        <v>#N/A</v>
      </c>
      <c r="BS181" s="355" t="e">
        <f>IF(AND($BC181=0,$C181=Tab_sel!$P$7,$D181=Tab_sel!$O$24,$E181=Tab_sel!$N$31,$F181=Tab_sel!$N$40,$I181=Tab_sel!$B$64),1,"")</f>
        <v>#N/A</v>
      </c>
      <c r="BT181" s="356" t="e">
        <f>IF(AND($BC181=0,$C181=Tab_sel!$P$7,$D181=Tab_sel!$O$24,$E181=Tab_sel!$N$31,$F181=Tab_sel!$N$40,$I181=Tab_sel!$B$65),1,"")</f>
        <v>#N/A</v>
      </c>
      <c r="BU181" s="856" t="e">
        <f>IF(AND($BC181=0,$C181=Tab_sel!$P$7,$D181=Tab_sel!$O$24,$E181=Tab_sel!$N$31,$F181=Tab_sel!$N$40,$I181=Tab_sel!$P$61,$H181=Tab_sel!$B$77),1,"")</f>
        <v>#N/A</v>
      </c>
      <c r="BV181" s="883" t="e">
        <f>IF(AND($BC181=0,$C181=Tab_sel!$P$7,$D181=Tab_sel!$O$24,$E181=Tab_sel!$N$31,$F181=Tab_sel!$N$40,$I181=Tab_sel!$P$61,$H181=Tab_sel!$B$78),1,"")</f>
        <v>#N/A</v>
      </c>
      <c r="BW181" s="883" t="e">
        <f>IF(AND($BC181=0,$C181=Tab_sel!$P$7,$D181=Tab_sel!$O$24,$E181=Tab_sel!$N$31,$F181=Tab_sel!$N$40,$I181=Tab_sel!$P$61,$H181=Tab_sel!$B$79),1,"")</f>
        <v>#N/A</v>
      </c>
      <c r="BX181" s="883" t="e">
        <f>IF(AND($BC181=0,$C181=Tab_sel!$P$7,$D181=Tab_sel!$O$24,$E181=Tab_sel!$N$31,$F181=Tab_sel!$N$40,$I181=Tab_sel!$P$61,$H181=Tab_sel!$B$80),1,"")</f>
        <v>#N/A</v>
      </c>
      <c r="BY181" s="883" t="e">
        <f>IF(AND($BC181=0,$C181=Tab_sel!$P$7,$D181=Tab_sel!$O$24,$E181=Tab_sel!$N$31,$F181=Tab_sel!$N$40,$I181=Tab_sel!$P$61,$H181=Tab_sel!$B$81),1,"")</f>
        <v>#N/A</v>
      </c>
      <c r="BZ181" s="857" t="e">
        <f>IF(AND($BC181=0,$C181=Tab_sel!$P$7,$D181=Tab_sel!$O$24,$E181=Tab_sel!$N$31,$F181=Tab_sel!$N$40,$I181=Tab_sel!$P$61,$H181=Tab_sel!$B$82),1,"")</f>
        <v>#N/A</v>
      </c>
      <c r="CA181" s="359"/>
      <c r="CC181">
        <f t="shared" si="54"/>
        <v>0</v>
      </c>
      <c r="CD181" s="882">
        <f t="shared" si="55"/>
        <v>0</v>
      </c>
      <c r="CE181" s="882">
        <f t="shared" si="56"/>
        <v>0</v>
      </c>
      <c r="CJ181" t="s">
        <v>2668</v>
      </c>
    </row>
    <row r="182" spans="2:88" ht="40.5" customHeight="1" x14ac:dyDescent="0.25">
      <c r="B182" s="791" t="s">
        <v>1506</v>
      </c>
      <c r="C182" s="771" t="s">
        <v>53</v>
      </c>
      <c r="D182" s="772" t="s">
        <v>76</v>
      </c>
      <c r="E182" s="771" t="str">
        <f t="shared" si="75"/>
        <v>Equipement de l'Infrastructure informatique</v>
      </c>
      <c r="F182" s="783" t="str">
        <f>Endp</f>
        <v>Endommagement physique</v>
      </c>
      <c r="G182" s="780" t="s">
        <v>1811</v>
      </c>
      <c r="H182" s="780"/>
      <c r="I182" s="771" t="s">
        <v>1813</v>
      </c>
      <c r="J182" s="775"/>
      <c r="K182" s="775"/>
      <c r="L182" s="921" t="s">
        <v>1257</v>
      </c>
      <c r="M182" s="788" t="s">
        <v>1268</v>
      </c>
      <c r="N182" s="767"/>
      <c r="O182" s="767"/>
      <c r="P182" s="772"/>
      <c r="Q182" s="803"/>
      <c r="R182" s="803"/>
      <c r="S182" s="804"/>
      <c r="T182" s="772"/>
      <c r="U182" s="772"/>
      <c r="V182" s="805"/>
      <c r="W182" s="767"/>
      <c r="X182" s="767"/>
      <c r="Y182" s="772"/>
      <c r="Z182" s="772"/>
      <c r="AA182" s="772"/>
      <c r="AB182" s="805"/>
      <c r="AC182" s="806"/>
      <c r="AD182" s="806"/>
      <c r="AE182" s="806"/>
      <c r="AF182" s="806"/>
      <c r="AG182" s="806"/>
      <c r="AH182" s="805"/>
      <c r="AI182" s="807" t="str">
        <f t="shared" si="57"/>
        <v/>
      </c>
      <c r="AJ182" s="805"/>
      <c r="AK182" s="359"/>
      <c r="AM182" t="str">
        <f t="shared" si="63"/>
        <v/>
      </c>
      <c r="AN182">
        <f t="shared" si="64"/>
        <v>0</v>
      </c>
      <c r="AW182" s="882">
        <f t="shared" si="53"/>
        <v>0</v>
      </c>
      <c r="AX182" s="882">
        <f t="shared" si="70"/>
        <v>1</v>
      </c>
      <c r="AY182" s="882">
        <f t="shared" si="71"/>
        <v>1</v>
      </c>
      <c r="AZ182" s="927">
        <f t="shared" si="72"/>
        <v>1</v>
      </c>
      <c r="BA182" s="882">
        <v>1</v>
      </c>
      <c r="BB182" s="925">
        <f t="shared" si="65"/>
        <v>0</v>
      </c>
      <c r="BC182" s="882">
        <f t="shared" si="73"/>
        <v>1</v>
      </c>
      <c r="BD182" s="342" t="e">
        <f>IF(AND($BC182=0,C182=Tab_sel!$P$7,$D182=Tab_sel!$O$24,$E182=Tab_sel!$B$31),1,"")</f>
        <v>#N/A</v>
      </c>
      <c r="BE182" s="322" t="e">
        <f>IF(AND($BC182=0,C182=Tab_sel!$P$7,$D182=Tab_sel!$O$24,$E182=Tab_sel!$B$32),1,"")</f>
        <v>#N/A</v>
      </c>
      <c r="BF182" s="322" t="e">
        <f>IF(AND($BC182=0,C182=Tab_sel!$P$7,$D182=Tab_sel!$O$24,$E182=Tab_sel!$B$33),1,"")</f>
        <v>#N/A</v>
      </c>
      <c r="BG182" s="322" t="e">
        <f>IF(AND($BC182=0,C182=Tab_sel!$P$7,$D182=Tab_sel!$O$24,$E182=Tab_sel!$B$34),1,"")</f>
        <v>#N/A</v>
      </c>
      <c r="BH182" s="322" t="e">
        <f>IF(AND($BC182=0,C182=Tab_sel!$P$7,$D182=Tab_sel!$O$24,$E182=Tab_sel!$B$35),1,"")</f>
        <v>#N/A</v>
      </c>
      <c r="BI182" s="343" t="e">
        <f>IF(AND($BC182=0,C182=Tab_sel!$P$7,$D182=Tab_sel!$O$24,$E182=Tab_sel!$B$36),1,"")</f>
        <v>#N/A</v>
      </c>
      <c r="BJ182" s="342" t="e">
        <f>IF(AND($BC182=0,$C182=Tab_sel!$P$7,$D182=Tab_sel!$O$24,$E182=Tab_sel!$N$31,$F182=Tab_sel!$B$40),1,"")</f>
        <v>#N/A</v>
      </c>
      <c r="BK182" s="322" t="e">
        <f>IF(AND($BC182=0,$C182=Tab_sel!$P$7,$D182=Tab_sel!$O$24,$E182=Tab_sel!$N$31,$F182=Tab_sel!$B$41),1,"")</f>
        <v>#N/A</v>
      </c>
      <c r="BL182" s="322" t="e">
        <f>IF(AND($BC182=0,$C182=Tab_sel!$P$7,$D182=Tab_sel!$O$24,$E182=Tab_sel!$N$31,$F182=Tab_sel!$B$42),1,"")</f>
        <v>#N/A</v>
      </c>
      <c r="BM182" s="322" t="e">
        <f>IF(AND($BC182=0,$C182=Tab_sel!$P$7,$D182=Tab_sel!$O$24,$E182=Tab_sel!$N$31,$F182=Tab_sel!$B$43),1,"")</f>
        <v>#N/A</v>
      </c>
      <c r="BN182" s="322" t="e">
        <f>IF(AND($BC182=0,$C182=Tab_sel!$P$7,$D182=Tab_sel!$O$24,$E182=Tab_sel!$N$31,$F182=Tab_sel!$B$44),1,"")</f>
        <v>#N/A</v>
      </c>
      <c r="BO182" s="343" t="e">
        <f>IF(AND($BC182=0,$C182=Tab_sel!$P$7,$D182=Tab_sel!$O$24,$E182=Tab_sel!$N$31,$F182=Tab_sel!$B$45),1,"")</f>
        <v>#N/A</v>
      </c>
      <c r="BP182" s="354" t="e">
        <f>IF(AND($BC182=0,$C182=Tab_sel!$P$7,$D182=Tab_sel!$O$24,$E182=Tab_sel!$N$31,$F182=Tab_sel!$N$40,$I182=Tab_sel!$B$61),1,"")</f>
        <v>#N/A</v>
      </c>
      <c r="BQ182" s="355" t="e">
        <f>IF(AND($BC182=0,$C182=Tab_sel!$P$7,$D182=Tab_sel!$O$24,$E182=Tab_sel!$N$31,$F182=Tab_sel!$N$40,$I182=Tab_sel!$B$62),1,"")</f>
        <v>#N/A</v>
      </c>
      <c r="BR182" s="355" t="e">
        <f>IF(AND($BC182=0,$C182=Tab_sel!$P$7,$D182=Tab_sel!$O$24,$E182=Tab_sel!$N$31,$F182=Tab_sel!$N$40,$I182=Tab_sel!$B$63),1,"")</f>
        <v>#N/A</v>
      </c>
      <c r="BS182" s="355" t="e">
        <f>IF(AND($BC182=0,$C182=Tab_sel!$P$7,$D182=Tab_sel!$O$24,$E182=Tab_sel!$N$31,$F182=Tab_sel!$N$40,$I182=Tab_sel!$B$64),1,"")</f>
        <v>#N/A</v>
      </c>
      <c r="BT182" s="356" t="e">
        <f>IF(AND($BC182=0,$C182=Tab_sel!$P$7,$D182=Tab_sel!$O$24,$E182=Tab_sel!$N$31,$F182=Tab_sel!$N$40,$I182=Tab_sel!$B$65),1,"")</f>
        <v>#N/A</v>
      </c>
      <c r="BU182" s="856" t="e">
        <f>IF(AND($BC182=0,$C182=Tab_sel!$P$7,$D182=Tab_sel!$O$24,$E182=Tab_sel!$N$31,$F182=Tab_sel!$N$40,$I182=Tab_sel!$P$61,$H182=Tab_sel!$B$77),1,"")</f>
        <v>#N/A</v>
      </c>
      <c r="BV182" s="883" t="e">
        <f>IF(AND($BC182=0,$C182=Tab_sel!$P$7,$D182=Tab_sel!$O$24,$E182=Tab_sel!$N$31,$F182=Tab_sel!$N$40,$I182=Tab_sel!$P$61,$H182=Tab_sel!$B$78),1,"")</f>
        <v>#N/A</v>
      </c>
      <c r="BW182" s="883" t="e">
        <f>IF(AND($BC182=0,$C182=Tab_sel!$P$7,$D182=Tab_sel!$O$24,$E182=Tab_sel!$N$31,$F182=Tab_sel!$N$40,$I182=Tab_sel!$P$61,$H182=Tab_sel!$B$79),1,"")</f>
        <v>#N/A</v>
      </c>
      <c r="BX182" s="883" t="e">
        <f>IF(AND($BC182=0,$C182=Tab_sel!$P$7,$D182=Tab_sel!$O$24,$E182=Tab_sel!$N$31,$F182=Tab_sel!$N$40,$I182=Tab_sel!$P$61,$H182=Tab_sel!$B$80),1,"")</f>
        <v>#N/A</v>
      </c>
      <c r="BY182" s="883" t="e">
        <f>IF(AND($BC182=0,$C182=Tab_sel!$P$7,$D182=Tab_sel!$O$24,$E182=Tab_sel!$N$31,$F182=Tab_sel!$N$40,$I182=Tab_sel!$P$61,$H182=Tab_sel!$B$81),1,"")</f>
        <v>#N/A</v>
      </c>
      <c r="BZ182" s="857" t="e">
        <f>IF(AND($BC182=0,$C182=Tab_sel!$P$7,$D182=Tab_sel!$O$24,$E182=Tab_sel!$N$31,$F182=Tab_sel!$N$40,$I182=Tab_sel!$P$61,$H182=Tab_sel!$B$82),1,"")</f>
        <v>#N/A</v>
      </c>
      <c r="CA182" s="359"/>
      <c r="CC182">
        <f t="shared" si="54"/>
        <v>0</v>
      </c>
      <c r="CD182" s="882">
        <f t="shared" si="55"/>
        <v>0</v>
      </c>
      <c r="CE182" s="882">
        <f t="shared" si="56"/>
        <v>0</v>
      </c>
      <c r="CI182" t="s">
        <v>2686</v>
      </c>
      <c r="CJ182" t="s">
        <v>2671</v>
      </c>
    </row>
    <row r="183" spans="2:88" ht="40.5" customHeight="1" x14ac:dyDescent="0.25">
      <c r="B183" s="791" t="s">
        <v>1507</v>
      </c>
      <c r="C183" s="771" t="s">
        <v>53</v>
      </c>
      <c r="D183" s="772" t="s">
        <v>76</v>
      </c>
      <c r="E183" s="771" t="str">
        <f t="shared" si="75"/>
        <v>Equipement de l'Infrastructure informatique</v>
      </c>
      <c r="F183" s="786" t="str">
        <f>Inop</f>
        <v>Inopérabilité</v>
      </c>
      <c r="G183" s="780" t="s">
        <v>1139</v>
      </c>
      <c r="H183" s="780"/>
      <c r="I183" s="771" t="s">
        <v>1158</v>
      </c>
      <c r="J183" s="775"/>
      <c r="K183" s="775"/>
      <c r="L183" s="775"/>
      <c r="M183" s="794" t="s">
        <v>2460</v>
      </c>
      <c r="N183" s="767"/>
      <c r="O183" s="767"/>
      <c r="P183" s="772"/>
      <c r="Q183" s="803"/>
      <c r="R183" s="803"/>
      <c r="S183" s="804"/>
      <c r="T183" s="772"/>
      <c r="U183" s="772"/>
      <c r="V183" s="805"/>
      <c r="W183" s="767"/>
      <c r="X183" s="767"/>
      <c r="Y183" s="772"/>
      <c r="Z183" s="772"/>
      <c r="AA183" s="772"/>
      <c r="AB183" s="805"/>
      <c r="AC183" s="806"/>
      <c r="AD183" s="806"/>
      <c r="AE183" s="806"/>
      <c r="AF183" s="806"/>
      <c r="AG183" s="806"/>
      <c r="AH183" s="805"/>
      <c r="AI183" s="807" t="str">
        <f t="shared" si="57"/>
        <v/>
      </c>
      <c r="AJ183" s="805"/>
      <c r="AK183" s="359"/>
      <c r="AM183" t="str">
        <f t="shared" si="63"/>
        <v/>
      </c>
      <c r="AN183">
        <f t="shared" si="64"/>
        <v>0</v>
      </c>
      <c r="AW183" s="882">
        <f t="shared" ref="AW183:AW232" si="76">IF(ISNUMBER(IF(D183="D",VLOOKUP(C183,Tab_ActP,4,FALSE),IF(D183="I",VLOOKUP(C183,Tab_ActP,5,FALSE),IF(D183="C",VLOOKUP(C183,Tab_ActP,6,FALSE),VLOOKUP(C183,Tab_ActP,7,FALSE))))),1,0)</f>
        <v>0</v>
      </c>
      <c r="AX183" s="882">
        <f t="shared" si="70"/>
        <v>1</v>
      </c>
      <c r="AY183" s="882">
        <f t="shared" si="71"/>
        <v>1</v>
      </c>
      <c r="AZ183" s="927">
        <f t="shared" si="72"/>
        <v>1</v>
      </c>
      <c r="BA183" s="882">
        <v>1</v>
      </c>
      <c r="BB183" s="925">
        <f t="shared" si="65"/>
        <v>0</v>
      </c>
      <c r="BC183" s="882">
        <f t="shared" si="73"/>
        <v>1</v>
      </c>
      <c r="BD183" s="342" t="e">
        <f>IF(AND($BC183=0,C183=Tab_sel!$P$7,$D183=Tab_sel!$O$24,$E183=Tab_sel!$B$31),1,"")</f>
        <v>#N/A</v>
      </c>
      <c r="BE183" s="322" t="e">
        <f>IF(AND($BC183=0,C183=Tab_sel!$P$7,$D183=Tab_sel!$O$24,$E183=Tab_sel!$B$32),1,"")</f>
        <v>#N/A</v>
      </c>
      <c r="BF183" s="322" t="e">
        <f>IF(AND($BC183=0,C183=Tab_sel!$P$7,$D183=Tab_sel!$O$24,$E183=Tab_sel!$B$33),1,"")</f>
        <v>#N/A</v>
      </c>
      <c r="BG183" s="322" t="e">
        <f>IF(AND($BC183=0,C183=Tab_sel!$P$7,$D183=Tab_sel!$O$24,$E183=Tab_sel!$B$34),1,"")</f>
        <v>#N/A</v>
      </c>
      <c r="BH183" s="322" t="e">
        <f>IF(AND($BC183=0,C183=Tab_sel!$P$7,$D183=Tab_sel!$O$24,$E183=Tab_sel!$B$35),1,"")</f>
        <v>#N/A</v>
      </c>
      <c r="BI183" s="343" t="e">
        <f>IF(AND($BC183=0,C183=Tab_sel!$P$7,$D183=Tab_sel!$O$24,$E183=Tab_sel!$B$36),1,"")</f>
        <v>#N/A</v>
      </c>
      <c r="BJ183" s="342" t="e">
        <f>IF(AND($BC183=0,$C183=Tab_sel!$P$7,$D183=Tab_sel!$O$24,$E183=Tab_sel!$N$31,$F183=Tab_sel!$B$40),1,"")</f>
        <v>#N/A</v>
      </c>
      <c r="BK183" s="322" t="e">
        <f>IF(AND($BC183=0,$C183=Tab_sel!$P$7,$D183=Tab_sel!$O$24,$E183=Tab_sel!$N$31,$F183=Tab_sel!$B$41),1,"")</f>
        <v>#N/A</v>
      </c>
      <c r="BL183" s="322" t="e">
        <f>IF(AND($BC183=0,$C183=Tab_sel!$P$7,$D183=Tab_sel!$O$24,$E183=Tab_sel!$N$31,$F183=Tab_sel!$B$42),1,"")</f>
        <v>#N/A</v>
      </c>
      <c r="BM183" s="322" t="e">
        <f>IF(AND($BC183=0,$C183=Tab_sel!$P$7,$D183=Tab_sel!$O$24,$E183=Tab_sel!$N$31,$F183=Tab_sel!$B$43),1,"")</f>
        <v>#N/A</v>
      </c>
      <c r="BN183" s="322" t="e">
        <f>IF(AND($BC183=0,$C183=Tab_sel!$P$7,$D183=Tab_sel!$O$24,$E183=Tab_sel!$N$31,$F183=Tab_sel!$B$44),1,"")</f>
        <v>#N/A</v>
      </c>
      <c r="BO183" s="343" t="e">
        <f>IF(AND($BC183=0,$C183=Tab_sel!$P$7,$D183=Tab_sel!$O$24,$E183=Tab_sel!$N$31,$F183=Tab_sel!$B$45),1,"")</f>
        <v>#N/A</v>
      </c>
      <c r="BP183" s="354" t="e">
        <f>IF(AND($BC183=0,$C183=Tab_sel!$P$7,$D183=Tab_sel!$O$24,$E183=Tab_sel!$N$31,$F183=Tab_sel!$N$40,$I183=Tab_sel!$B$61),1,"")</f>
        <v>#N/A</v>
      </c>
      <c r="BQ183" s="355" t="e">
        <f>IF(AND($BC183=0,$C183=Tab_sel!$P$7,$D183=Tab_sel!$O$24,$E183=Tab_sel!$N$31,$F183=Tab_sel!$N$40,$I183=Tab_sel!$B$62),1,"")</f>
        <v>#N/A</v>
      </c>
      <c r="BR183" s="355" t="e">
        <f>IF(AND($BC183=0,$C183=Tab_sel!$P$7,$D183=Tab_sel!$O$24,$E183=Tab_sel!$N$31,$F183=Tab_sel!$N$40,$I183=Tab_sel!$B$63),1,"")</f>
        <v>#N/A</v>
      </c>
      <c r="BS183" s="355" t="e">
        <f>IF(AND($BC183=0,$C183=Tab_sel!$P$7,$D183=Tab_sel!$O$24,$E183=Tab_sel!$N$31,$F183=Tab_sel!$N$40,$I183=Tab_sel!$B$64),1,"")</f>
        <v>#N/A</v>
      </c>
      <c r="BT183" s="356" t="e">
        <f>IF(AND($BC183=0,$C183=Tab_sel!$P$7,$D183=Tab_sel!$O$24,$E183=Tab_sel!$N$31,$F183=Tab_sel!$N$40,$I183=Tab_sel!$B$65),1,"")</f>
        <v>#N/A</v>
      </c>
      <c r="BU183" s="856" t="e">
        <f>IF(AND($BC183=0,$C183=Tab_sel!$P$7,$D183=Tab_sel!$O$24,$E183=Tab_sel!$N$31,$F183=Tab_sel!$N$40,$I183=Tab_sel!$P$61,$H183=Tab_sel!$B$77),1,"")</f>
        <v>#N/A</v>
      </c>
      <c r="BV183" s="883" t="e">
        <f>IF(AND($BC183=0,$C183=Tab_sel!$P$7,$D183=Tab_sel!$O$24,$E183=Tab_sel!$N$31,$F183=Tab_sel!$N$40,$I183=Tab_sel!$P$61,$H183=Tab_sel!$B$78),1,"")</f>
        <v>#N/A</v>
      </c>
      <c r="BW183" s="883" t="e">
        <f>IF(AND($BC183=0,$C183=Tab_sel!$P$7,$D183=Tab_sel!$O$24,$E183=Tab_sel!$N$31,$F183=Tab_sel!$N$40,$I183=Tab_sel!$P$61,$H183=Tab_sel!$B$79),1,"")</f>
        <v>#N/A</v>
      </c>
      <c r="BX183" s="883" t="e">
        <f>IF(AND($BC183=0,$C183=Tab_sel!$P$7,$D183=Tab_sel!$O$24,$E183=Tab_sel!$N$31,$F183=Tab_sel!$N$40,$I183=Tab_sel!$P$61,$H183=Tab_sel!$B$80),1,"")</f>
        <v>#N/A</v>
      </c>
      <c r="BY183" s="883" t="e">
        <f>IF(AND($BC183=0,$C183=Tab_sel!$P$7,$D183=Tab_sel!$O$24,$E183=Tab_sel!$N$31,$F183=Tab_sel!$N$40,$I183=Tab_sel!$P$61,$H183=Tab_sel!$B$81),1,"")</f>
        <v>#N/A</v>
      </c>
      <c r="BZ183" s="857" t="e">
        <f>IF(AND($BC183=0,$C183=Tab_sel!$P$7,$D183=Tab_sel!$O$24,$E183=Tab_sel!$N$31,$F183=Tab_sel!$N$40,$I183=Tab_sel!$P$61,$H183=Tab_sel!$B$82),1,"")</f>
        <v>#N/A</v>
      </c>
      <c r="CA183" s="359"/>
      <c r="CC183">
        <f t="shared" ref="CC183:CC233" si="77">IF(OR(AK183=1,AH183="",NOT(AB183="-")),0,1)</f>
        <v>0</v>
      </c>
      <c r="CD183" s="882">
        <f t="shared" ref="CD183:CD233" si="78">IF(OR(AK183=1,AB183="-",AH183=""),0,1)</f>
        <v>0</v>
      </c>
      <c r="CE183" s="882">
        <f t="shared" ref="CE183:CE233" si="79">IF(NOT(AK183=1),AB183)</f>
        <v>0</v>
      </c>
      <c r="CJ183" t="s">
        <v>2672</v>
      </c>
    </row>
    <row r="184" spans="2:88" ht="40.5" customHeight="1" x14ac:dyDescent="0.25">
      <c r="B184" s="791" t="s">
        <v>1508</v>
      </c>
      <c r="C184" s="771" t="s">
        <v>53</v>
      </c>
      <c r="D184" s="772" t="s">
        <v>76</v>
      </c>
      <c r="E184" s="771" t="str">
        <f t="shared" si="75"/>
        <v>Equipement de l'Infrastructure informatique</v>
      </c>
      <c r="F184" s="786" t="str">
        <f>Inop</f>
        <v>Inopérabilité</v>
      </c>
      <c r="G184" s="780" t="s">
        <v>1217</v>
      </c>
      <c r="H184" s="780"/>
      <c r="I184" s="771" t="s">
        <v>1218</v>
      </c>
      <c r="J184" s="775"/>
      <c r="K184" s="775" t="s">
        <v>1252</v>
      </c>
      <c r="L184" s="775"/>
      <c r="M184" s="788" t="s">
        <v>1268</v>
      </c>
      <c r="N184" s="767"/>
      <c r="O184" s="767"/>
      <c r="P184" s="772"/>
      <c r="Q184" s="803"/>
      <c r="R184" s="803"/>
      <c r="S184" s="804"/>
      <c r="T184" s="772"/>
      <c r="U184" s="772"/>
      <c r="V184" s="805"/>
      <c r="W184" s="767"/>
      <c r="X184" s="767"/>
      <c r="Y184" s="772"/>
      <c r="Z184" s="772"/>
      <c r="AA184" s="772"/>
      <c r="AB184" s="805"/>
      <c r="AC184" s="806"/>
      <c r="AD184" s="806"/>
      <c r="AE184" s="806"/>
      <c r="AF184" s="806"/>
      <c r="AG184" s="806"/>
      <c r="AH184" s="805"/>
      <c r="AI184" s="807" t="str">
        <f t="shared" ref="AI184:AI232" si="80">IF(ISBLANK(AH184),"",CONCATENATE("R",AH184))</f>
        <v/>
      </c>
      <c r="AJ184" s="805"/>
      <c r="AK184" s="359"/>
      <c r="AM184" t="str">
        <f t="shared" si="63"/>
        <v/>
      </c>
      <c r="AN184">
        <f t="shared" si="64"/>
        <v>0</v>
      </c>
      <c r="AW184" s="882">
        <f t="shared" si="76"/>
        <v>0</v>
      </c>
      <c r="AX184" s="882">
        <f t="shared" si="70"/>
        <v>1</v>
      </c>
      <c r="AY184" s="882">
        <f t="shared" si="71"/>
        <v>1</v>
      </c>
      <c r="AZ184" s="927">
        <f t="shared" si="72"/>
        <v>1</v>
      </c>
      <c r="BA184" s="882">
        <v>1</v>
      </c>
      <c r="BB184" s="925">
        <f t="shared" si="65"/>
        <v>0</v>
      </c>
      <c r="BC184" s="882">
        <f t="shared" si="73"/>
        <v>1</v>
      </c>
      <c r="BD184" s="342" t="e">
        <f>IF(AND($BC184=0,C184=Tab_sel!$P$7,$D184=Tab_sel!$O$24,$E184=Tab_sel!$B$31),1,"")</f>
        <v>#N/A</v>
      </c>
      <c r="BE184" s="322" t="e">
        <f>IF(AND($BC184=0,C184=Tab_sel!$P$7,$D184=Tab_sel!$O$24,$E184=Tab_sel!$B$32),1,"")</f>
        <v>#N/A</v>
      </c>
      <c r="BF184" s="322" t="e">
        <f>IF(AND($BC184=0,C184=Tab_sel!$P$7,$D184=Tab_sel!$O$24,$E184=Tab_sel!$B$33),1,"")</f>
        <v>#N/A</v>
      </c>
      <c r="BG184" s="322" t="e">
        <f>IF(AND($BC184=0,C184=Tab_sel!$P$7,$D184=Tab_sel!$O$24,$E184=Tab_sel!$B$34),1,"")</f>
        <v>#N/A</v>
      </c>
      <c r="BH184" s="322" t="e">
        <f>IF(AND($BC184=0,C184=Tab_sel!$P$7,$D184=Tab_sel!$O$24,$E184=Tab_sel!$B$35),1,"")</f>
        <v>#N/A</v>
      </c>
      <c r="BI184" s="343" t="e">
        <f>IF(AND($BC184=0,C184=Tab_sel!$P$7,$D184=Tab_sel!$O$24,$E184=Tab_sel!$B$36),1,"")</f>
        <v>#N/A</v>
      </c>
      <c r="BJ184" s="342" t="e">
        <f>IF(AND($BC184=0,$C184=Tab_sel!$P$7,$D184=Tab_sel!$O$24,$E184=Tab_sel!$N$31,$F184=Tab_sel!$B$40),1,"")</f>
        <v>#N/A</v>
      </c>
      <c r="BK184" s="322" t="e">
        <f>IF(AND($BC184=0,$C184=Tab_sel!$P$7,$D184=Tab_sel!$O$24,$E184=Tab_sel!$N$31,$F184=Tab_sel!$B$41),1,"")</f>
        <v>#N/A</v>
      </c>
      <c r="BL184" s="322" t="e">
        <f>IF(AND($BC184=0,$C184=Tab_sel!$P$7,$D184=Tab_sel!$O$24,$E184=Tab_sel!$N$31,$F184=Tab_sel!$B$42),1,"")</f>
        <v>#N/A</v>
      </c>
      <c r="BM184" s="322" t="e">
        <f>IF(AND($BC184=0,$C184=Tab_sel!$P$7,$D184=Tab_sel!$O$24,$E184=Tab_sel!$N$31,$F184=Tab_sel!$B$43),1,"")</f>
        <v>#N/A</v>
      </c>
      <c r="BN184" s="322" t="e">
        <f>IF(AND($BC184=0,$C184=Tab_sel!$P$7,$D184=Tab_sel!$O$24,$E184=Tab_sel!$N$31,$F184=Tab_sel!$B$44),1,"")</f>
        <v>#N/A</v>
      </c>
      <c r="BO184" s="343" t="e">
        <f>IF(AND($BC184=0,$C184=Tab_sel!$P$7,$D184=Tab_sel!$O$24,$E184=Tab_sel!$N$31,$F184=Tab_sel!$B$45),1,"")</f>
        <v>#N/A</v>
      </c>
      <c r="BP184" s="354" t="e">
        <f>IF(AND($BC184=0,$C184=Tab_sel!$P$7,$D184=Tab_sel!$O$24,$E184=Tab_sel!$N$31,$F184=Tab_sel!$N$40,$I184=Tab_sel!$B$61),1,"")</f>
        <v>#N/A</v>
      </c>
      <c r="BQ184" s="355" t="e">
        <f>IF(AND($BC184=0,$C184=Tab_sel!$P$7,$D184=Tab_sel!$O$24,$E184=Tab_sel!$N$31,$F184=Tab_sel!$N$40,$I184=Tab_sel!$B$62),1,"")</f>
        <v>#N/A</v>
      </c>
      <c r="BR184" s="355" t="e">
        <f>IF(AND($BC184=0,$C184=Tab_sel!$P$7,$D184=Tab_sel!$O$24,$E184=Tab_sel!$N$31,$F184=Tab_sel!$N$40,$I184=Tab_sel!$B$63),1,"")</f>
        <v>#N/A</v>
      </c>
      <c r="BS184" s="355" t="e">
        <f>IF(AND($BC184=0,$C184=Tab_sel!$P$7,$D184=Tab_sel!$O$24,$E184=Tab_sel!$N$31,$F184=Tab_sel!$N$40,$I184=Tab_sel!$B$64),1,"")</f>
        <v>#N/A</v>
      </c>
      <c r="BT184" s="356" t="e">
        <f>IF(AND($BC184=0,$C184=Tab_sel!$P$7,$D184=Tab_sel!$O$24,$E184=Tab_sel!$N$31,$F184=Tab_sel!$N$40,$I184=Tab_sel!$B$65),1,"")</f>
        <v>#N/A</v>
      </c>
      <c r="BU184" s="856" t="e">
        <f>IF(AND($BC184=0,$C184=Tab_sel!$P$7,$D184=Tab_sel!$O$24,$E184=Tab_sel!$N$31,$F184=Tab_sel!$N$40,$I184=Tab_sel!$P$61,$H184=Tab_sel!$B$77),1,"")</f>
        <v>#N/A</v>
      </c>
      <c r="BV184" s="883" t="e">
        <f>IF(AND($BC184=0,$C184=Tab_sel!$P$7,$D184=Tab_sel!$O$24,$E184=Tab_sel!$N$31,$F184=Tab_sel!$N$40,$I184=Tab_sel!$P$61,$H184=Tab_sel!$B$78),1,"")</f>
        <v>#N/A</v>
      </c>
      <c r="BW184" s="883" t="e">
        <f>IF(AND($BC184=0,$C184=Tab_sel!$P$7,$D184=Tab_sel!$O$24,$E184=Tab_sel!$N$31,$F184=Tab_sel!$N$40,$I184=Tab_sel!$P$61,$H184=Tab_sel!$B$79),1,"")</f>
        <v>#N/A</v>
      </c>
      <c r="BX184" s="883" t="e">
        <f>IF(AND($BC184=0,$C184=Tab_sel!$P$7,$D184=Tab_sel!$O$24,$E184=Tab_sel!$N$31,$F184=Tab_sel!$N$40,$I184=Tab_sel!$P$61,$H184=Tab_sel!$B$80),1,"")</f>
        <v>#N/A</v>
      </c>
      <c r="BY184" s="883" t="e">
        <f>IF(AND($BC184=0,$C184=Tab_sel!$P$7,$D184=Tab_sel!$O$24,$E184=Tab_sel!$N$31,$F184=Tab_sel!$N$40,$I184=Tab_sel!$P$61,$H184=Tab_sel!$B$81),1,"")</f>
        <v>#N/A</v>
      </c>
      <c r="BZ184" s="857" t="e">
        <f>IF(AND($BC184=0,$C184=Tab_sel!$P$7,$D184=Tab_sel!$O$24,$E184=Tab_sel!$N$31,$F184=Tab_sel!$N$40,$I184=Tab_sel!$P$61,$H184=Tab_sel!$B$82),1,"")</f>
        <v>#N/A</v>
      </c>
      <c r="CA184" s="359"/>
      <c r="CC184">
        <f t="shared" si="77"/>
        <v>0</v>
      </c>
      <c r="CD184" s="882">
        <f t="shared" si="78"/>
        <v>0</v>
      </c>
      <c r="CE184" s="882">
        <f t="shared" si="79"/>
        <v>0</v>
      </c>
      <c r="CH184" t="s">
        <v>2670</v>
      </c>
      <c r="CJ184" t="s">
        <v>2671</v>
      </c>
    </row>
    <row r="185" spans="2:88" ht="49.5" customHeight="1" x14ac:dyDescent="0.25">
      <c r="B185" s="791" t="s">
        <v>1509</v>
      </c>
      <c r="C185" s="771" t="s">
        <v>53</v>
      </c>
      <c r="D185" s="772" t="s">
        <v>76</v>
      </c>
      <c r="E185" s="771" t="str">
        <f t="shared" si="75"/>
        <v>Equipement de l'Infrastructure informatique</v>
      </c>
      <c r="F185" s="786" t="str">
        <f>Inex</f>
        <v>Inexploitabilité</v>
      </c>
      <c r="G185" s="783" t="s">
        <v>1118</v>
      </c>
      <c r="H185" s="783"/>
      <c r="I185" s="771" t="s">
        <v>1166</v>
      </c>
      <c r="J185" s="785"/>
      <c r="K185" s="775" t="s">
        <v>1252</v>
      </c>
      <c r="L185" s="785"/>
      <c r="M185" s="788" t="s">
        <v>1247</v>
      </c>
      <c r="N185" s="767"/>
      <c r="O185" s="767"/>
      <c r="P185" s="772"/>
      <c r="Q185" s="803"/>
      <c r="R185" s="803"/>
      <c r="S185" s="804"/>
      <c r="T185" s="772"/>
      <c r="U185" s="772"/>
      <c r="V185" s="805"/>
      <c r="W185" s="767"/>
      <c r="X185" s="767"/>
      <c r="Y185" s="772"/>
      <c r="Z185" s="772"/>
      <c r="AA185" s="772"/>
      <c r="AB185" s="805"/>
      <c r="AC185" s="806"/>
      <c r="AD185" s="806"/>
      <c r="AE185" s="806"/>
      <c r="AF185" s="806"/>
      <c r="AG185" s="806"/>
      <c r="AH185" s="805"/>
      <c r="AI185" s="807" t="str">
        <f t="shared" si="80"/>
        <v/>
      </c>
      <c r="AJ185" s="805"/>
      <c r="AK185" s="359"/>
      <c r="AM185" t="str">
        <f t="shared" si="63"/>
        <v/>
      </c>
      <c r="AN185">
        <f t="shared" si="64"/>
        <v>0</v>
      </c>
      <c r="AW185" s="882">
        <f t="shared" si="76"/>
        <v>0</v>
      </c>
      <c r="AX185" s="882">
        <f t="shared" si="70"/>
        <v>1</v>
      </c>
      <c r="AY185" s="882">
        <f t="shared" si="71"/>
        <v>1</v>
      </c>
      <c r="AZ185" s="927">
        <f t="shared" si="72"/>
        <v>1</v>
      </c>
      <c r="BA185" s="882">
        <v>1</v>
      </c>
      <c r="BB185" s="925">
        <f t="shared" si="65"/>
        <v>0</v>
      </c>
      <c r="BC185" s="882">
        <f t="shared" si="73"/>
        <v>1</v>
      </c>
      <c r="BD185" s="342" t="e">
        <f>IF(AND($BC185=0,C185=Tab_sel!$P$7,$D185=Tab_sel!$O$24,$E185=Tab_sel!$B$31),1,"")</f>
        <v>#N/A</v>
      </c>
      <c r="BE185" s="322" t="e">
        <f>IF(AND($BC185=0,C185=Tab_sel!$P$7,$D185=Tab_sel!$O$24,$E185=Tab_sel!$B$32),1,"")</f>
        <v>#N/A</v>
      </c>
      <c r="BF185" s="322" t="e">
        <f>IF(AND($BC185=0,C185=Tab_sel!$P$7,$D185=Tab_sel!$O$24,$E185=Tab_sel!$B$33),1,"")</f>
        <v>#N/A</v>
      </c>
      <c r="BG185" s="322" t="e">
        <f>IF(AND($BC185=0,C185=Tab_sel!$P$7,$D185=Tab_sel!$O$24,$E185=Tab_sel!$B$34),1,"")</f>
        <v>#N/A</v>
      </c>
      <c r="BH185" s="322" t="e">
        <f>IF(AND($BC185=0,C185=Tab_sel!$P$7,$D185=Tab_sel!$O$24,$E185=Tab_sel!$B$35),1,"")</f>
        <v>#N/A</v>
      </c>
      <c r="BI185" s="343" t="e">
        <f>IF(AND($BC185=0,C185=Tab_sel!$P$7,$D185=Tab_sel!$O$24,$E185=Tab_sel!$B$36),1,"")</f>
        <v>#N/A</v>
      </c>
      <c r="BJ185" s="342" t="e">
        <f>IF(AND($BC185=0,$C185=Tab_sel!$P$7,$D185=Tab_sel!$O$24,$E185=Tab_sel!$N$31,$F185=Tab_sel!$B$40),1,"")</f>
        <v>#N/A</v>
      </c>
      <c r="BK185" s="322" t="e">
        <f>IF(AND($BC185=0,$C185=Tab_sel!$P$7,$D185=Tab_sel!$O$24,$E185=Tab_sel!$N$31,$F185=Tab_sel!$B$41),1,"")</f>
        <v>#N/A</v>
      </c>
      <c r="BL185" s="322" t="e">
        <f>IF(AND($BC185=0,$C185=Tab_sel!$P$7,$D185=Tab_sel!$O$24,$E185=Tab_sel!$N$31,$F185=Tab_sel!$B$42),1,"")</f>
        <v>#N/A</v>
      </c>
      <c r="BM185" s="322" t="e">
        <f>IF(AND($BC185=0,$C185=Tab_sel!$P$7,$D185=Tab_sel!$O$24,$E185=Tab_sel!$N$31,$F185=Tab_sel!$B$43),1,"")</f>
        <v>#N/A</v>
      </c>
      <c r="BN185" s="322" t="e">
        <f>IF(AND($BC185=0,$C185=Tab_sel!$P$7,$D185=Tab_sel!$O$24,$E185=Tab_sel!$N$31,$F185=Tab_sel!$B$44),1,"")</f>
        <v>#N/A</v>
      </c>
      <c r="BO185" s="343" t="e">
        <f>IF(AND($BC185=0,$C185=Tab_sel!$P$7,$D185=Tab_sel!$O$24,$E185=Tab_sel!$N$31,$F185=Tab_sel!$B$45),1,"")</f>
        <v>#N/A</v>
      </c>
      <c r="BP185" s="354" t="e">
        <f>IF(AND($BC185=0,$C185=Tab_sel!$P$7,$D185=Tab_sel!$O$24,$E185=Tab_sel!$N$31,$F185=Tab_sel!$N$40,$I185=Tab_sel!$B$61),1,"")</f>
        <v>#N/A</v>
      </c>
      <c r="BQ185" s="355" t="e">
        <f>IF(AND($BC185=0,$C185=Tab_sel!$P$7,$D185=Tab_sel!$O$24,$E185=Tab_sel!$N$31,$F185=Tab_sel!$N$40,$I185=Tab_sel!$B$62),1,"")</f>
        <v>#N/A</v>
      </c>
      <c r="BR185" s="355" t="e">
        <f>IF(AND($BC185=0,$C185=Tab_sel!$P$7,$D185=Tab_sel!$O$24,$E185=Tab_sel!$N$31,$F185=Tab_sel!$N$40,$I185=Tab_sel!$B$63),1,"")</f>
        <v>#N/A</v>
      </c>
      <c r="BS185" s="355" t="e">
        <f>IF(AND($BC185=0,$C185=Tab_sel!$P$7,$D185=Tab_sel!$O$24,$E185=Tab_sel!$N$31,$F185=Tab_sel!$N$40,$I185=Tab_sel!$B$64),1,"")</f>
        <v>#N/A</v>
      </c>
      <c r="BT185" s="356" t="e">
        <f>IF(AND($BC185=0,$C185=Tab_sel!$P$7,$D185=Tab_sel!$O$24,$E185=Tab_sel!$N$31,$F185=Tab_sel!$N$40,$I185=Tab_sel!$B$65),1,"")</f>
        <v>#N/A</v>
      </c>
      <c r="BU185" s="856" t="e">
        <f>IF(AND($BC185=0,$C185=Tab_sel!$P$7,$D185=Tab_sel!$O$24,$E185=Tab_sel!$N$31,$F185=Tab_sel!$N$40,$I185=Tab_sel!$P$61,$H185=Tab_sel!$B$77),1,"")</f>
        <v>#N/A</v>
      </c>
      <c r="BV185" s="883" t="e">
        <f>IF(AND($BC185=0,$C185=Tab_sel!$P$7,$D185=Tab_sel!$O$24,$E185=Tab_sel!$N$31,$F185=Tab_sel!$N$40,$I185=Tab_sel!$P$61,$H185=Tab_sel!$B$78),1,"")</f>
        <v>#N/A</v>
      </c>
      <c r="BW185" s="883" t="e">
        <f>IF(AND($BC185=0,$C185=Tab_sel!$P$7,$D185=Tab_sel!$O$24,$E185=Tab_sel!$N$31,$F185=Tab_sel!$N$40,$I185=Tab_sel!$P$61,$H185=Tab_sel!$B$79),1,"")</f>
        <v>#N/A</v>
      </c>
      <c r="BX185" s="883" t="e">
        <f>IF(AND($BC185=0,$C185=Tab_sel!$P$7,$D185=Tab_sel!$O$24,$E185=Tab_sel!$N$31,$F185=Tab_sel!$N$40,$I185=Tab_sel!$P$61,$H185=Tab_sel!$B$80),1,"")</f>
        <v>#N/A</v>
      </c>
      <c r="BY185" s="883" t="e">
        <f>IF(AND($BC185=0,$C185=Tab_sel!$P$7,$D185=Tab_sel!$O$24,$E185=Tab_sel!$N$31,$F185=Tab_sel!$N$40,$I185=Tab_sel!$P$61,$H185=Tab_sel!$B$81),1,"")</f>
        <v>#N/A</v>
      </c>
      <c r="BZ185" s="857" t="e">
        <f>IF(AND($BC185=0,$C185=Tab_sel!$P$7,$D185=Tab_sel!$O$24,$E185=Tab_sel!$N$31,$F185=Tab_sel!$N$40,$I185=Tab_sel!$P$61,$H185=Tab_sel!$B$82),1,"")</f>
        <v>#N/A</v>
      </c>
      <c r="CA185" s="359"/>
      <c r="CC185">
        <f t="shared" si="77"/>
        <v>0</v>
      </c>
      <c r="CD185" s="882">
        <f t="shared" si="78"/>
        <v>0</v>
      </c>
      <c r="CE185" s="882">
        <f t="shared" si="79"/>
        <v>0</v>
      </c>
      <c r="CH185" t="s">
        <v>2670</v>
      </c>
      <c r="CJ185" t="s">
        <v>2668</v>
      </c>
    </row>
    <row r="186" spans="2:88" ht="49.5" customHeight="1" x14ac:dyDescent="0.25">
      <c r="B186" s="791" t="s">
        <v>1510</v>
      </c>
      <c r="C186" s="771" t="s">
        <v>53</v>
      </c>
      <c r="D186" s="772" t="s">
        <v>76</v>
      </c>
      <c r="E186" s="771" t="str">
        <f t="shared" si="75"/>
        <v>Equipement de l'Infrastructure informatique</v>
      </c>
      <c r="F186" s="786" t="str">
        <f>Inex</f>
        <v>Inexploitabilité</v>
      </c>
      <c r="G186" s="784" t="s">
        <v>1119</v>
      </c>
      <c r="H186" s="784"/>
      <c r="I186" s="771" t="s">
        <v>1200</v>
      </c>
      <c r="J186" s="787"/>
      <c r="K186" s="787"/>
      <c r="L186" s="787"/>
      <c r="M186" s="795" t="s">
        <v>2539</v>
      </c>
      <c r="N186" s="767"/>
      <c r="O186" s="767"/>
      <c r="P186" s="772"/>
      <c r="Q186" s="803"/>
      <c r="R186" s="803"/>
      <c r="S186" s="804"/>
      <c r="T186" s="772"/>
      <c r="U186" s="772"/>
      <c r="V186" s="805"/>
      <c r="W186" s="767"/>
      <c r="X186" s="767"/>
      <c r="Y186" s="772"/>
      <c r="Z186" s="772"/>
      <c r="AA186" s="772"/>
      <c r="AB186" s="805"/>
      <c r="AC186" s="806"/>
      <c r="AD186" s="806"/>
      <c r="AE186" s="806"/>
      <c r="AF186" s="806"/>
      <c r="AG186" s="806"/>
      <c r="AH186" s="805"/>
      <c r="AI186" s="807" t="str">
        <f t="shared" si="80"/>
        <v/>
      </c>
      <c r="AJ186" s="805"/>
      <c r="AK186" s="359"/>
      <c r="AM186" t="str">
        <f t="shared" si="63"/>
        <v/>
      </c>
      <c r="AN186">
        <f t="shared" si="64"/>
        <v>0</v>
      </c>
      <c r="AW186" s="882">
        <f t="shared" si="76"/>
        <v>0</v>
      </c>
      <c r="AX186" s="882">
        <f t="shared" si="70"/>
        <v>1</v>
      </c>
      <c r="AY186" s="882">
        <f t="shared" si="71"/>
        <v>1</v>
      </c>
      <c r="AZ186" s="927">
        <f t="shared" si="72"/>
        <v>1</v>
      </c>
      <c r="BA186" s="882">
        <v>1</v>
      </c>
      <c r="BB186" s="925">
        <f t="shared" si="65"/>
        <v>0</v>
      </c>
      <c r="BC186" s="882">
        <f t="shared" si="73"/>
        <v>1</v>
      </c>
      <c r="BD186" s="342" t="e">
        <f>IF(AND($BC186=0,C186=Tab_sel!$P$7,$D186=Tab_sel!$O$24,$E186=Tab_sel!$B$31),1,"")</f>
        <v>#N/A</v>
      </c>
      <c r="BE186" s="322" t="e">
        <f>IF(AND($BC186=0,C186=Tab_sel!$P$7,$D186=Tab_sel!$O$24,$E186=Tab_sel!$B$32),1,"")</f>
        <v>#N/A</v>
      </c>
      <c r="BF186" s="322" t="e">
        <f>IF(AND($BC186=0,C186=Tab_sel!$P$7,$D186=Tab_sel!$O$24,$E186=Tab_sel!$B$33),1,"")</f>
        <v>#N/A</v>
      </c>
      <c r="BG186" s="322" t="e">
        <f>IF(AND($BC186=0,C186=Tab_sel!$P$7,$D186=Tab_sel!$O$24,$E186=Tab_sel!$B$34),1,"")</f>
        <v>#N/A</v>
      </c>
      <c r="BH186" s="322" t="e">
        <f>IF(AND($BC186=0,C186=Tab_sel!$P$7,$D186=Tab_sel!$O$24,$E186=Tab_sel!$B$35),1,"")</f>
        <v>#N/A</v>
      </c>
      <c r="BI186" s="343" t="e">
        <f>IF(AND($BC186=0,C186=Tab_sel!$P$7,$D186=Tab_sel!$O$24,$E186=Tab_sel!$B$36),1,"")</f>
        <v>#N/A</v>
      </c>
      <c r="BJ186" s="342" t="e">
        <f>IF(AND($BC186=0,$C186=Tab_sel!$P$7,$D186=Tab_sel!$O$24,$E186=Tab_sel!$N$31,$F186=Tab_sel!$B$40),1,"")</f>
        <v>#N/A</v>
      </c>
      <c r="BK186" s="322" t="e">
        <f>IF(AND($BC186=0,$C186=Tab_sel!$P$7,$D186=Tab_sel!$O$24,$E186=Tab_sel!$N$31,$F186=Tab_sel!$B$41),1,"")</f>
        <v>#N/A</v>
      </c>
      <c r="BL186" s="322" t="e">
        <f>IF(AND($BC186=0,$C186=Tab_sel!$P$7,$D186=Tab_sel!$O$24,$E186=Tab_sel!$N$31,$F186=Tab_sel!$B$42),1,"")</f>
        <v>#N/A</v>
      </c>
      <c r="BM186" s="322" t="e">
        <f>IF(AND($BC186=0,$C186=Tab_sel!$P$7,$D186=Tab_sel!$O$24,$E186=Tab_sel!$N$31,$F186=Tab_sel!$B$43),1,"")</f>
        <v>#N/A</v>
      </c>
      <c r="BN186" s="322" t="e">
        <f>IF(AND($BC186=0,$C186=Tab_sel!$P$7,$D186=Tab_sel!$O$24,$E186=Tab_sel!$N$31,$F186=Tab_sel!$B$44),1,"")</f>
        <v>#N/A</v>
      </c>
      <c r="BO186" s="343" t="e">
        <f>IF(AND($BC186=0,$C186=Tab_sel!$P$7,$D186=Tab_sel!$O$24,$E186=Tab_sel!$N$31,$F186=Tab_sel!$B$45),1,"")</f>
        <v>#N/A</v>
      </c>
      <c r="BP186" s="354" t="e">
        <f>IF(AND($BC186=0,$C186=Tab_sel!$P$7,$D186=Tab_sel!$O$24,$E186=Tab_sel!$N$31,$F186=Tab_sel!$N$40,$I186=Tab_sel!$B$61),1,"")</f>
        <v>#N/A</v>
      </c>
      <c r="BQ186" s="355" t="e">
        <f>IF(AND($BC186=0,$C186=Tab_sel!$P$7,$D186=Tab_sel!$O$24,$E186=Tab_sel!$N$31,$F186=Tab_sel!$N$40,$I186=Tab_sel!$B$62),1,"")</f>
        <v>#N/A</v>
      </c>
      <c r="BR186" s="355" t="e">
        <f>IF(AND($BC186=0,$C186=Tab_sel!$P$7,$D186=Tab_sel!$O$24,$E186=Tab_sel!$N$31,$F186=Tab_sel!$N$40,$I186=Tab_sel!$B$63),1,"")</f>
        <v>#N/A</v>
      </c>
      <c r="BS186" s="355" t="e">
        <f>IF(AND($BC186=0,$C186=Tab_sel!$P$7,$D186=Tab_sel!$O$24,$E186=Tab_sel!$N$31,$F186=Tab_sel!$N$40,$I186=Tab_sel!$B$64),1,"")</f>
        <v>#N/A</v>
      </c>
      <c r="BT186" s="356" t="e">
        <f>IF(AND($BC186=0,$C186=Tab_sel!$P$7,$D186=Tab_sel!$O$24,$E186=Tab_sel!$N$31,$F186=Tab_sel!$N$40,$I186=Tab_sel!$B$65),1,"")</f>
        <v>#N/A</v>
      </c>
      <c r="BU186" s="856" t="e">
        <f>IF(AND($BC186=0,$C186=Tab_sel!$P$7,$D186=Tab_sel!$O$24,$E186=Tab_sel!$N$31,$F186=Tab_sel!$N$40,$I186=Tab_sel!$P$61,$H186=Tab_sel!$B$77),1,"")</f>
        <v>#N/A</v>
      </c>
      <c r="BV186" s="883" t="e">
        <f>IF(AND($BC186=0,$C186=Tab_sel!$P$7,$D186=Tab_sel!$O$24,$E186=Tab_sel!$N$31,$F186=Tab_sel!$N$40,$I186=Tab_sel!$P$61,$H186=Tab_sel!$B$78),1,"")</f>
        <v>#N/A</v>
      </c>
      <c r="BW186" s="883" t="e">
        <f>IF(AND($BC186=0,$C186=Tab_sel!$P$7,$D186=Tab_sel!$O$24,$E186=Tab_sel!$N$31,$F186=Tab_sel!$N$40,$I186=Tab_sel!$P$61,$H186=Tab_sel!$B$79),1,"")</f>
        <v>#N/A</v>
      </c>
      <c r="BX186" s="883" t="e">
        <f>IF(AND($BC186=0,$C186=Tab_sel!$P$7,$D186=Tab_sel!$O$24,$E186=Tab_sel!$N$31,$F186=Tab_sel!$N$40,$I186=Tab_sel!$P$61,$H186=Tab_sel!$B$80),1,"")</f>
        <v>#N/A</v>
      </c>
      <c r="BY186" s="883" t="e">
        <f>IF(AND($BC186=0,$C186=Tab_sel!$P$7,$D186=Tab_sel!$O$24,$E186=Tab_sel!$N$31,$F186=Tab_sel!$N$40,$I186=Tab_sel!$P$61,$H186=Tab_sel!$B$81),1,"")</f>
        <v>#N/A</v>
      </c>
      <c r="BZ186" s="857" t="e">
        <f>IF(AND($BC186=0,$C186=Tab_sel!$P$7,$D186=Tab_sel!$O$24,$E186=Tab_sel!$N$31,$F186=Tab_sel!$N$40,$I186=Tab_sel!$P$61,$H186=Tab_sel!$B$82),1,"")</f>
        <v>#N/A</v>
      </c>
      <c r="CA186" s="359"/>
      <c r="CC186">
        <f t="shared" si="77"/>
        <v>0</v>
      </c>
      <c r="CD186" s="882">
        <f t="shared" si="78"/>
        <v>0</v>
      </c>
      <c r="CE186" s="882">
        <f t="shared" si="79"/>
        <v>0</v>
      </c>
      <c r="CJ186" t="s">
        <v>2669</v>
      </c>
    </row>
    <row r="187" spans="2:88" ht="49.5" customHeight="1" x14ac:dyDescent="0.25">
      <c r="B187" s="791" t="s">
        <v>1511</v>
      </c>
      <c r="C187" s="771" t="s">
        <v>53</v>
      </c>
      <c r="D187" s="772" t="s">
        <v>76</v>
      </c>
      <c r="E187" s="780" t="str">
        <f>Env</f>
        <v>Environnement de travail et équipement des utilisateurs</v>
      </c>
      <c r="F187" s="786" t="str">
        <f>Inex</f>
        <v>Inexploitabilité</v>
      </c>
      <c r="G187" s="784" t="s">
        <v>1143</v>
      </c>
      <c r="H187" s="784"/>
      <c r="I187" s="771" t="s">
        <v>1196</v>
      </c>
      <c r="J187" s="769" t="s">
        <v>2537</v>
      </c>
      <c r="K187" s="787"/>
      <c r="L187" s="787"/>
      <c r="M187" s="795" t="s">
        <v>1259</v>
      </c>
      <c r="N187" s="767"/>
      <c r="O187" s="767"/>
      <c r="P187" s="772"/>
      <c r="Q187" s="803"/>
      <c r="R187" s="803"/>
      <c r="S187" s="804"/>
      <c r="T187" s="772"/>
      <c r="U187" s="772"/>
      <c r="V187" s="805"/>
      <c r="W187" s="767"/>
      <c r="X187" s="767"/>
      <c r="Y187" s="772"/>
      <c r="Z187" s="772"/>
      <c r="AA187" s="772"/>
      <c r="AB187" s="805"/>
      <c r="AC187" s="806"/>
      <c r="AD187" s="806"/>
      <c r="AE187" s="806"/>
      <c r="AF187" s="806"/>
      <c r="AG187" s="806"/>
      <c r="AH187" s="805"/>
      <c r="AI187" s="807" t="str">
        <f t="shared" si="80"/>
        <v/>
      </c>
      <c r="AJ187" s="805"/>
      <c r="AK187" s="359"/>
      <c r="AM187" t="str">
        <f t="shared" si="63"/>
        <v/>
      </c>
      <c r="AN187">
        <f t="shared" si="64"/>
        <v>0</v>
      </c>
      <c r="AW187" s="882">
        <f t="shared" si="76"/>
        <v>0</v>
      </c>
      <c r="AX187" s="882">
        <f t="shared" si="70"/>
        <v>1</v>
      </c>
      <c r="AY187" s="882">
        <f t="shared" si="71"/>
        <v>1</v>
      </c>
      <c r="AZ187" s="927">
        <f t="shared" si="72"/>
        <v>1</v>
      </c>
      <c r="BA187" s="882">
        <v>1</v>
      </c>
      <c r="BB187" s="925">
        <f t="shared" si="65"/>
        <v>0</v>
      </c>
      <c r="BC187" s="882">
        <f t="shared" si="73"/>
        <v>1</v>
      </c>
      <c r="BD187" s="342" t="e">
        <f>IF(AND($BC187=0,C187=Tab_sel!$P$7,$D187=Tab_sel!$O$24,$E187=Tab_sel!$B$31),1,"")</f>
        <v>#N/A</v>
      </c>
      <c r="BE187" s="322" t="e">
        <f>IF(AND($BC187=0,C187=Tab_sel!$P$7,$D187=Tab_sel!$O$24,$E187=Tab_sel!$B$32),1,"")</f>
        <v>#N/A</v>
      </c>
      <c r="BF187" s="322" t="e">
        <f>IF(AND($BC187=0,C187=Tab_sel!$P$7,$D187=Tab_sel!$O$24,$E187=Tab_sel!$B$33),1,"")</f>
        <v>#N/A</v>
      </c>
      <c r="BG187" s="322" t="e">
        <f>IF(AND($BC187=0,C187=Tab_sel!$P$7,$D187=Tab_sel!$O$24,$E187=Tab_sel!$B$34),1,"")</f>
        <v>#N/A</v>
      </c>
      <c r="BH187" s="322" t="e">
        <f>IF(AND($BC187=0,C187=Tab_sel!$P$7,$D187=Tab_sel!$O$24,$E187=Tab_sel!$B$35),1,"")</f>
        <v>#N/A</v>
      </c>
      <c r="BI187" s="343" t="e">
        <f>IF(AND($BC187=0,C187=Tab_sel!$P$7,$D187=Tab_sel!$O$24,$E187=Tab_sel!$B$36),1,"")</f>
        <v>#N/A</v>
      </c>
      <c r="BJ187" s="342" t="e">
        <f>IF(AND($BC187=0,$C187=Tab_sel!$P$7,$D187=Tab_sel!$O$24,$E187=Tab_sel!$N$31,$F187=Tab_sel!$B$40),1,"")</f>
        <v>#N/A</v>
      </c>
      <c r="BK187" s="322" t="e">
        <f>IF(AND($BC187=0,$C187=Tab_sel!$P$7,$D187=Tab_sel!$O$24,$E187=Tab_sel!$N$31,$F187=Tab_sel!$B$41),1,"")</f>
        <v>#N/A</v>
      </c>
      <c r="BL187" s="322" t="e">
        <f>IF(AND($BC187=0,$C187=Tab_sel!$P$7,$D187=Tab_sel!$O$24,$E187=Tab_sel!$N$31,$F187=Tab_sel!$B$42),1,"")</f>
        <v>#N/A</v>
      </c>
      <c r="BM187" s="322" t="e">
        <f>IF(AND($BC187=0,$C187=Tab_sel!$P$7,$D187=Tab_sel!$O$24,$E187=Tab_sel!$N$31,$F187=Tab_sel!$B$43),1,"")</f>
        <v>#N/A</v>
      </c>
      <c r="BN187" s="322" t="e">
        <f>IF(AND($BC187=0,$C187=Tab_sel!$P$7,$D187=Tab_sel!$O$24,$E187=Tab_sel!$N$31,$F187=Tab_sel!$B$44),1,"")</f>
        <v>#N/A</v>
      </c>
      <c r="BO187" s="343" t="e">
        <f>IF(AND($BC187=0,$C187=Tab_sel!$P$7,$D187=Tab_sel!$O$24,$E187=Tab_sel!$N$31,$F187=Tab_sel!$B$45),1,"")</f>
        <v>#N/A</v>
      </c>
      <c r="BP187" s="354" t="e">
        <f>IF(AND($BC187=0,$C187=Tab_sel!$P$7,$D187=Tab_sel!$O$24,$E187=Tab_sel!$N$31,$F187=Tab_sel!$N$40,$I187=Tab_sel!$B$61),1,"")</f>
        <v>#N/A</v>
      </c>
      <c r="BQ187" s="355" t="e">
        <f>IF(AND($BC187=0,$C187=Tab_sel!$P$7,$D187=Tab_sel!$O$24,$E187=Tab_sel!$N$31,$F187=Tab_sel!$N$40,$I187=Tab_sel!$B$62),1,"")</f>
        <v>#N/A</v>
      </c>
      <c r="BR187" s="355" t="e">
        <f>IF(AND($BC187=0,$C187=Tab_sel!$P$7,$D187=Tab_sel!$O$24,$E187=Tab_sel!$N$31,$F187=Tab_sel!$N$40,$I187=Tab_sel!$B$63),1,"")</f>
        <v>#N/A</v>
      </c>
      <c r="BS187" s="355" t="e">
        <f>IF(AND($BC187=0,$C187=Tab_sel!$P$7,$D187=Tab_sel!$O$24,$E187=Tab_sel!$N$31,$F187=Tab_sel!$N$40,$I187=Tab_sel!$B$64),1,"")</f>
        <v>#N/A</v>
      </c>
      <c r="BT187" s="356" t="e">
        <f>IF(AND($BC187=0,$C187=Tab_sel!$P$7,$D187=Tab_sel!$O$24,$E187=Tab_sel!$N$31,$F187=Tab_sel!$N$40,$I187=Tab_sel!$B$65),1,"")</f>
        <v>#N/A</v>
      </c>
      <c r="BU187" s="856" t="e">
        <f>IF(AND($BC187=0,$C187=Tab_sel!$P$7,$D187=Tab_sel!$O$24,$E187=Tab_sel!$N$31,$F187=Tab_sel!$N$40,$I187=Tab_sel!$P$61,$H187=Tab_sel!$B$77),1,"")</f>
        <v>#N/A</v>
      </c>
      <c r="BV187" s="883" t="e">
        <f>IF(AND($BC187=0,$C187=Tab_sel!$P$7,$D187=Tab_sel!$O$24,$E187=Tab_sel!$N$31,$F187=Tab_sel!$N$40,$I187=Tab_sel!$P$61,$H187=Tab_sel!$B$78),1,"")</f>
        <v>#N/A</v>
      </c>
      <c r="BW187" s="883" t="e">
        <f>IF(AND($BC187=0,$C187=Tab_sel!$P$7,$D187=Tab_sel!$O$24,$E187=Tab_sel!$N$31,$F187=Tab_sel!$N$40,$I187=Tab_sel!$P$61,$H187=Tab_sel!$B$79),1,"")</f>
        <v>#N/A</v>
      </c>
      <c r="BX187" s="883" t="e">
        <f>IF(AND($BC187=0,$C187=Tab_sel!$P$7,$D187=Tab_sel!$O$24,$E187=Tab_sel!$N$31,$F187=Tab_sel!$N$40,$I187=Tab_sel!$P$61,$H187=Tab_sel!$B$80),1,"")</f>
        <v>#N/A</v>
      </c>
      <c r="BY187" s="883" t="e">
        <f>IF(AND($BC187=0,$C187=Tab_sel!$P$7,$D187=Tab_sel!$O$24,$E187=Tab_sel!$N$31,$F187=Tab_sel!$N$40,$I187=Tab_sel!$P$61,$H187=Tab_sel!$B$81),1,"")</f>
        <v>#N/A</v>
      </c>
      <c r="BZ187" s="857" t="e">
        <f>IF(AND($BC187=0,$C187=Tab_sel!$P$7,$D187=Tab_sel!$O$24,$E187=Tab_sel!$N$31,$F187=Tab_sel!$N$40,$I187=Tab_sel!$P$61,$H187=Tab_sel!$B$82),1,"")</f>
        <v>#N/A</v>
      </c>
      <c r="CA187" s="359"/>
      <c r="CC187">
        <f t="shared" si="77"/>
        <v>0</v>
      </c>
      <c r="CD187" s="882">
        <f t="shared" si="78"/>
        <v>0</v>
      </c>
      <c r="CE187" s="882">
        <f t="shared" si="79"/>
        <v>0</v>
      </c>
      <c r="CG187" t="s">
        <v>2609</v>
      </c>
      <c r="CJ187" t="s">
        <v>2611</v>
      </c>
    </row>
    <row r="188" spans="2:88" ht="49.5" customHeight="1" x14ac:dyDescent="0.25">
      <c r="B188" s="791" t="s">
        <v>1512</v>
      </c>
      <c r="C188" s="771" t="s">
        <v>53</v>
      </c>
      <c r="D188" s="772" t="s">
        <v>76</v>
      </c>
      <c r="E188" s="780" t="str">
        <f>Env</f>
        <v>Environnement de travail et équipement des utilisateurs</v>
      </c>
      <c r="F188" s="786" t="str">
        <f>Inex</f>
        <v>Inexploitabilité</v>
      </c>
      <c r="G188" s="784" t="s">
        <v>1523</v>
      </c>
      <c r="H188" s="784"/>
      <c r="I188" s="771" t="s">
        <v>1180</v>
      </c>
      <c r="J188" s="787"/>
      <c r="K188" s="769" t="s">
        <v>1265</v>
      </c>
      <c r="L188" s="787"/>
      <c r="M188" s="795" t="s">
        <v>1259</v>
      </c>
      <c r="N188" s="767"/>
      <c r="O188" s="767"/>
      <c r="P188" s="772"/>
      <c r="Q188" s="803"/>
      <c r="R188" s="803"/>
      <c r="S188" s="804"/>
      <c r="T188" s="772"/>
      <c r="U188" s="772"/>
      <c r="V188" s="805"/>
      <c r="W188" s="767"/>
      <c r="X188" s="767"/>
      <c r="Y188" s="772"/>
      <c r="Z188" s="772"/>
      <c r="AA188" s="772"/>
      <c r="AB188" s="805"/>
      <c r="AC188" s="806"/>
      <c r="AD188" s="806"/>
      <c r="AE188" s="806"/>
      <c r="AF188" s="806"/>
      <c r="AG188" s="806"/>
      <c r="AH188" s="805"/>
      <c r="AI188" s="807" t="str">
        <f t="shared" si="80"/>
        <v/>
      </c>
      <c r="AJ188" s="805"/>
      <c r="AK188" s="359"/>
      <c r="AM188" t="str">
        <f t="shared" si="63"/>
        <v/>
      </c>
      <c r="AN188">
        <f t="shared" si="64"/>
        <v>0</v>
      </c>
      <c r="AW188" s="882">
        <f t="shared" si="76"/>
        <v>0</v>
      </c>
      <c r="AX188" s="882">
        <f t="shared" si="70"/>
        <v>1</v>
      </c>
      <c r="AY188" s="882">
        <f t="shared" si="71"/>
        <v>1</v>
      </c>
      <c r="AZ188" s="927">
        <f t="shared" si="72"/>
        <v>1</v>
      </c>
      <c r="BA188" s="882">
        <v>1</v>
      </c>
      <c r="BB188" s="925">
        <f t="shared" si="65"/>
        <v>0</v>
      </c>
      <c r="BC188" s="882">
        <f t="shared" si="73"/>
        <v>1</v>
      </c>
      <c r="BD188" s="342" t="e">
        <f>IF(AND($BC188=0,C188=Tab_sel!$P$7,$D188=Tab_sel!$O$24,$E188=Tab_sel!$B$31),1,"")</f>
        <v>#N/A</v>
      </c>
      <c r="BE188" s="322" t="e">
        <f>IF(AND($BC188=0,C188=Tab_sel!$P$7,$D188=Tab_sel!$O$24,$E188=Tab_sel!$B$32),1,"")</f>
        <v>#N/A</v>
      </c>
      <c r="BF188" s="322" t="e">
        <f>IF(AND($BC188=0,C188=Tab_sel!$P$7,$D188=Tab_sel!$O$24,$E188=Tab_sel!$B$33),1,"")</f>
        <v>#N/A</v>
      </c>
      <c r="BG188" s="322" t="e">
        <f>IF(AND($BC188=0,C188=Tab_sel!$P$7,$D188=Tab_sel!$O$24,$E188=Tab_sel!$B$34),1,"")</f>
        <v>#N/A</v>
      </c>
      <c r="BH188" s="322" t="e">
        <f>IF(AND($BC188=0,C188=Tab_sel!$P$7,$D188=Tab_sel!$O$24,$E188=Tab_sel!$B$35),1,"")</f>
        <v>#N/A</v>
      </c>
      <c r="BI188" s="343" t="e">
        <f>IF(AND($BC188=0,C188=Tab_sel!$P$7,$D188=Tab_sel!$O$24,$E188=Tab_sel!$B$36),1,"")</f>
        <v>#N/A</v>
      </c>
      <c r="BJ188" s="342" t="e">
        <f>IF(AND($BC188=0,$C188=Tab_sel!$P$7,$D188=Tab_sel!$O$24,$E188=Tab_sel!$N$31,$F188=Tab_sel!$B$40),1,"")</f>
        <v>#N/A</v>
      </c>
      <c r="BK188" s="322" t="e">
        <f>IF(AND($BC188=0,$C188=Tab_sel!$P$7,$D188=Tab_sel!$O$24,$E188=Tab_sel!$N$31,$F188=Tab_sel!$B$41),1,"")</f>
        <v>#N/A</v>
      </c>
      <c r="BL188" s="322" t="e">
        <f>IF(AND($BC188=0,$C188=Tab_sel!$P$7,$D188=Tab_sel!$O$24,$E188=Tab_sel!$N$31,$F188=Tab_sel!$B$42),1,"")</f>
        <v>#N/A</v>
      </c>
      <c r="BM188" s="322" t="e">
        <f>IF(AND($BC188=0,$C188=Tab_sel!$P$7,$D188=Tab_sel!$O$24,$E188=Tab_sel!$N$31,$F188=Tab_sel!$B$43),1,"")</f>
        <v>#N/A</v>
      </c>
      <c r="BN188" s="322" t="e">
        <f>IF(AND($BC188=0,$C188=Tab_sel!$P$7,$D188=Tab_sel!$O$24,$E188=Tab_sel!$N$31,$F188=Tab_sel!$B$44),1,"")</f>
        <v>#N/A</v>
      </c>
      <c r="BO188" s="343" t="e">
        <f>IF(AND($BC188=0,$C188=Tab_sel!$P$7,$D188=Tab_sel!$O$24,$E188=Tab_sel!$N$31,$F188=Tab_sel!$B$45),1,"")</f>
        <v>#N/A</v>
      </c>
      <c r="BP188" s="354" t="e">
        <f>IF(AND($BC188=0,$C188=Tab_sel!$P$7,$D188=Tab_sel!$O$24,$E188=Tab_sel!$N$31,$F188=Tab_sel!$N$40,$I188=Tab_sel!$B$61),1,"")</f>
        <v>#N/A</v>
      </c>
      <c r="BQ188" s="355" t="e">
        <f>IF(AND($BC188=0,$C188=Tab_sel!$P$7,$D188=Tab_sel!$O$24,$E188=Tab_sel!$N$31,$F188=Tab_sel!$N$40,$I188=Tab_sel!$B$62),1,"")</f>
        <v>#N/A</v>
      </c>
      <c r="BR188" s="355" t="e">
        <f>IF(AND($BC188=0,$C188=Tab_sel!$P$7,$D188=Tab_sel!$O$24,$E188=Tab_sel!$N$31,$F188=Tab_sel!$N$40,$I188=Tab_sel!$B$63),1,"")</f>
        <v>#N/A</v>
      </c>
      <c r="BS188" s="355" t="e">
        <f>IF(AND($BC188=0,$C188=Tab_sel!$P$7,$D188=Tab_sel!$O$24,$E188=Tab_sel!$N$31,$F188=Tab_sel!$N$40,$I188=Tab_sel!$B$64),1,"")</f>
        <v>#N/A</v>
      </c>
      <c r="BT188" s="356" t="e">
        <f>IF(AND($BC188=0,$C188=Tab_sel!$P$7,$D188=Tab_sel!$O$24,$E188=Tab_sel!$N$31,$F188=Tab_sel!$N$40,$I188=Tab_sel!$B$65),1,"")</f>
        <v>#N/A</v>
      </c>
      <c r="BU188" s="856" t="e">
        <f>IF(AND($BC188=0,$C188=Tab_sel!$P$7,$D188=Tab_sel!$O$24,$E188=Tab_sel!$N$31,$F188=Tab_sel!$N$40,$I188=Tab_sel!$P$61,$H188=Tab_sel!$B$77),1,"")</f>
        <v>#N/A</v>
      </c>
      <c r="BV188" s="883" t="e">
        <f>IF(AND($BC188=0,$C188=Tab_sel!$P$7,$D188=Tab_sel!$O$24,$E188=Tab_sel!$N$31,$F188=Tab_sel!$N$40,$I188=Tab_sel!$P$61,$H188=Tab_sel!$B$78),1,"")</f>
        <v>#N/A</v>
      </c>
      <c r="BW188" s="883" t="e">
        <f>IF(AND($BC188=0,$C188=Tab_sel!$P$7,$D188=Tab_sel!$O$24,$E188=Tab_sel!$N$31,$F188=Tab_sel!$N$40,$I188=Tab_sel!$P$61,$H188=Tab_sel!$B$79),1,"")</f>
        <v>#N/A</v>
      </c>
      <c r="BX188" s="883" t="e">
        <f>IF(AND($BC188=0,$C188=Tab_sel!$P$7,$D188=Tab_sel!$O$24,$E188=Tab_sel!$N$31,$F188=Tab_sel!$N$40,$I188=Tab_sel!$P$61,$H188=Tab_sel!$B$80),1,"")</f>
        <v>#N/A</v>
      </c>
      <c r="BY188" s="883" t="e">
        <f>IF(AND($BC188=0,$C188=Tab_sel!$P$7,$D188=Tab_sel!$O$24,$E188=Tab_sel!$N$31,$F188=Tab_sel!$N$40,$I188=Tab_sel!$P$61,$H188=Tab_sel!$B$81),1,"")</f>
        <v>#N/A</v>
      </c>
      <c r="BZ188" s="857" t="e">
        <f>IF(AND($BC188=0,$C188=Tab_sel!$P$7,$D188=Tab_sel!$O$24,$E188=Tab_sel!$N$31,$F188=Tab_sel!$N$40,$I188=Tab_sel!$P$61,$H188=Tab_sel!$B$82),1,"")</f>
        <v>#N/A</v>
      </c>
      <c r="CA188" s="359"/>
      <c r="CC188">
        <f t="shared" si="77"/>
        <v>0</v>
      </c>
      <c r="CD188" s="882">
        <f t="shared" si="78"/>
        <v>0</v>
      </c>
      <c r="CE188" s="882">
        <f t="shared" si="79"/>
        <v>0</v>
      </c>
      <c r="CH188" t="s">
        <v>2636</v>
      </c>
      <c r="CJ188" t="s">
        <v>2611</v>
      </c>
    </row>
    <row r="189" spans="2:88" ht="57.75" customHeight="1" x14ac:dyDescent="0.25">
      <c r="B189" s="791" t="s">
        <v>1513</v>
      </c>
      <c r="C189" s="771" t="s">
        <v>53</v>
      </c>
      <c r="D189" s="772" t="s">
        <v>76</v>
      </c>
      <c r="E189" s="780" t="str">
        <f>Env</f>
        <v>Environnement de travail et équipement des utilisateurs</v>
      </c>
      <c r="F189" s="786" t="str">
        <f>Inop</f>
        <v>Inopérabilité</v>
      </c>
      <c r="G189" s="780" t="s">
        <v>2601</v>
      </c>
      <c r="H189" s="780"/>
      <c r="I189" s="771" t="s">
        <v>1161</v>
      </c>
      <c r="J189" s="787"/>
      <c r="K189" s="787"/>
      <c r="L189" s="787"/>
      <c r="M189" s="795" t="s">
        <v>1276</v>
      </c>
      <c r="N189" s="767"/>
      <c r="O189" s="767"/>
      <c r="P189" s="772"/>
      <c r="Q189" s="803"/>
      <c r="R189" s="803"/>
      <c r="S189" s="804"/>
      <c r="T189" s="772"/>
      <c r="U189" s="772"/>
      <c r="V189" s="805"/>
      <c r="W189" s="767"/>
      <c r="X189" s="767"/>
      <c r="Y189" s="772"/>
      <c r="Z189" s="772"/>
      <c r="AA189" s="772"/>
      <c r="AB189" s="805"/>
      <c r="AC189" s="806"/>
      <c r="AD189" s="806"/>
      <c r="AE189" s="806"/>
      <c r="AF189" s="806"/>
      <c r="AG189" s="806"/>
      <c r="AH189" s="805"/>
      <c r="AI189" s="807" t="str">
        <f t="shared" si="80"/>
        <v/>
      </c>
      <c r="AJ189" s="805"/>
      <c r="AK189" s="359"/>
      <c r="AM189" t="str">
        <f t="shared" si="63"/>
        <v/>
      </c>
      <c r="AN189">
        <f t="shared" si="64"/>
        <v>0</v>
      </c>
      <c r="AW189" s="882">
        <f t="shared" si="76"/>
        <v>0</v>
      </c>
      <c r="AX189" s="882">
        <f t="shared" si="70"/>
        <v>1</v>
      </c>
      <c r="AY189" s="882">
        <f t="shared" si="71"/>
        <v>1</v>
      </c>
      <c r="AZ189" s="927">
        <f t="shared" si="72"/>
        <v>1</v>
      </c>
      <c r="BA189" s="882">
        <v>1</v>
      </c>
      <c r="BB189" s="925">
        <f t="shared" si="65"/>
        <v>0</v>
      </c>
      <c r="BC189" s="882">
        <f t="shared" si="73"/>
        <v>1</v>
      </c>
      <c r="BD189" s="342" t="e">
        <f>IF(AND($BC189=0,C189=Tab_sel!$P$7,$D189=Tab_sel!$O$24,$E189=Tab_sel!$B$31),1,"")</f>
        <v>#N/A</v>
      </c>
      <c r="BE189" s="322" t="e">
        <f>IF(AND($BC189=0,C189=Tab_sel!$P$7,$D189=Tab_sel!$O$24,$E189=Tab_sel!$B$32),1,"")</f>
        <v>#N/A</v>
      </c>
      <c r="BF189" s="322" t="e">
        <f>IF(AND($BC189=0,C189=Tab_sel!$P$7,$D189=Tab_sel!$O$24,$E189=Tab_sel!$B$33),1,"")</f>
        <v>#N/A</v>
      </c>
      <c r="BG189" s="322" t="e">
        <f>IF(AND($BC189=0,C189=Tab_sel!$P$7,$D189=Tab_sel!$O$24,$E189=Tab_sel!$B$34),1,"")</f>
        <v>#N/A</v>
      </c>
      <c r="BH189" s="322" t="e">
        <f>IF(AND($BC189=0,C189=Tab_sel!$P$7,$D189=Tab_sel!$O$24,$E189=Tab_sel!$B$35),1,"")</f>
        <v>#N/A</v>
      </c>
      <c r="BI189" s="343" t="e">
        <f>IF(AND($BC189=0,C189=Tab_sel!$P$7,$D189=Tab_sel!$O$24,$E189=Tab_sel!$B$36),1,"")</f>
        <v>#N/A</v>
      </c>
      <c r="BJ189" s="342" t="e">
        <f>IF(AND($BC189=0,$C189=Tab_sel!$P$7,$D189=Tab_sel!$O$24,$E189=Tab_sel!$N$31,$F189=Tab_sel!$B$40),1,"")</f>
        <v>#N/A</v>
      </c>
      <c r="BK189" s="322" t="e">
        <f>IF(AND($BC189=0,$C189=Tab_sel!$P$7,$D189=Tab_sel!$O$24,$E189=Tab_sel!$N$31,$F189=Tab_sel!$B$41),1,"")</f>
        <v>#N/A</v>
      </c>
      <c r="BL189" s="322" t="e">
        <f>IF(AND($BC189=0,$C189=Tab_sel!$P$7,$D189=Tab_sel!$O$24,$E189=Tab_sel!$N$31,$F189=Tab_sel!$B$42),1,"")</f>
        <v>#N/A</v>
      </c>
      <c r="BM189" s="322" t="e">
        <f>IF(AND($BC189=0,$C189=Tab_sel!$P$7,$D189=Tab_sel!$O$24,$E189=Tab_sel!$N$31,$F189=Tab_sel!$B$43),1,"")</f>
        <v>#N/A</v>
      </c>
      <c r="BN189" s="322" t="e">
        <f>IF(AND($BC189=0,$C189=Tab_sel!$P$7,$D189=Tab_sel!$O$24,$E189=Tab_sel!$N$31,$F189=Tab_sel!$B$44),1,"")</f>
        <v>#N/A</v>
      </c>
      <c r="BO189" s="343" t="e">
        <f>IF(AND($BC189=0,$C189=Tab_sel!$P$7,$D189=Tab_sel!$O$24,$E189=Tab_sel!$N$31,$F189=Tab_sel!$B$45),1,"")</f>
        <v>#N/A</v>
      </c>
      <c r="BP189" s="354" t="e">
        <f>IF(AND($BC189=0,$C189=Tab_sel!$P$7,$D189=Tab_sel!$O$24,$E189=Tab_sel!$N$31,$F189=Tab_sel!$N$40,$I189=Tab_sel!$B$61),1,"")</f>
        <v>#N/A</v>
      </c>
      <c r="BQ189" s="355" t="e">
        <f>IF(AND($BC189=0,$C189=Tab_sel!$P$7,$D189=Tab_sel!$O$24,$E189=Tab_sel!$N$31,$F189=Tab_sel!$N$40,$I189=Tab_sel!$B$62),1,"")</f>
        <v>#N/A</v>
      </c>
      <c r="BR189" s="355" t="e">
        <f>IF(AND($BC189=0,$C189=Tab_sel!$P$7,$D189=Tab_sel!$O$24,$E189=Tab_sel!$N$31,$F189=Tab_sel!$N$40,$I189=Tab_sel!$B$63),1,"")</f>
        <v>#N/A</v>
      </c>
      <c r="BS189" s="355" t="e">
        <f>IF(AND($BC189=0,$C189=Tab_sel!$P$7,$D189=Tab_sel!$O$24,$E189=Tab_sel!$N$31,$F189=Tab_sel!$N$40,$I189=Tab_sel!$B$64),1,"")</f>
        <v>#N/A</v>
      </c>
      <c r="BT189" s="356" t="e">
        <f>IF(AND($BC189=0,$C189=Tab_sel!$P$7,$D189=Tab_sel!$O$24,$E189=Tab_sel!$N$31,$F189=Tab_sel!$N$40,$I189=Tab_sel!$B$65),1,"")</f>
        <v>#N/A</v>
      </c>
      <c r="BU189" s="856" t="e">
        <f>IF(AND($BC189=0,$C189=Tab_sel!$P$7,$D189=Tab_sel!$O$24,$E189=Tab_sel!$N$31,$F189=Tab_sel!$N$40,$I189=Tab_sel!$P$61,$H189=Tab_sel!$B$77),1,"")</f>
        <v>#N/A</v>
      </c>
      <c r="BV189" s="883" t="e">
        <f>IF(AND($BC189=0,$C189=Tab_sel!$P$7,$D189=Tab_sel!$O$24,$E189=Tab_sel!$N$31,$F189=Tab_sel!$N$40,$I189=Tab_sel!$P$61,$H189=Tab_sel!$B$78),1,"")</f>
        <v>#N/A</v>
      </c>
      <c r="BW189" s="883" t="e">
        <f>IF(AND($BC189=0,$C189=Tab_sel!$P$7,$D189=Tab_sel!$O$24,$E189=Tab_sel!$N$31,$F189=Tab_sel!$N$40,$I189=Tab_sel!$P$61,$H189=Tab_sel!$B$79),1,"")</f>
        <v>#N/A</v>
      </c>
      <c r="BX189" s="883" t="e">
        <f>IF(AND($BC189=0,$C189=Tab_sel!$P$7,$D189=Tab_sel!$O$24,$E189=Tab_sel!$N$31,$F189=Tab_sel!$N$40,$I189=Tab_sel!$P$61,$H189=Tab_sel!$B$80),1,"")</f>
        <v>#N/A</v>
      </c>
      <c r="BY189" s="883" t="e">
        <f>IF(AND($BC189=0,$C189=Tab_sel!$P$7,$D189=Tab_sel!$O$24,$E189=Tab_sel!$N$31,$F189=Tab_sel!$N$40,$I189=Tab_sel!$P$61,$H189=Tab_sel!$B$81),1,"")</f>
        <v>#N/A</v>
      </c>
      <c r="BZ189" s="857" t="e">
        <f>IF(AND($BC189=0,$C189=Tab_sel!$P$7,$D189=Tab_sel!$O$24,$E189=Tab_sel!$N$31,$F189=Tab_sel!$N$40,$I189=Tab_sel!$P$61,$H189=Tab_sel!$B$82),1,"")</f>
        <v>#N/A</v>
      </c>
      <c r="CA189" s="359"/>
      <c r="CC189">
        <f t="shared" si="77"/>
        <v>0</v>
      </c>
      <c r="CD189" s="882">
        <f t="shared" si="78"/>
        <v>0</v>
      </c>
      <c r="CE189" s="882">
        <f t="shared" si="79"/>
        <v>0</v>
      </c>
      <c r="CJ189" t="s">
        <v>2673</v>
      </c>
    </row>
    <row r="190" spans="2:88" ht="53.25" customHeight="1" x14ac:dyDescent="0.25">
      <c r="B190" s="791" t="s">
        <v>2014</v>
      </c>
      <c r="C190" s="771" t="s">
        <v>53</v>
      </c>
      <c r="D190" s="772" t="s">
        <v>76</v>
      </c>
      <c r="E190" s="780" t="str">
        <f>Env</f>
        <v>Environnement de travail et équipement des utilisateurs</v>
      </c>
      <c r="F190" s="786" t="str">
        <f>Inop</f>
        <v>Inopérabilité</v>
      </c>
      <c r="G190" s="780" t="s">
        <v>1217</v>
      </c>
      <c r="H190" s="780"/>
      <c r="I190" s="771" t="s">
        <v>1218</v>
      </c>
      <c r="J190" s="775"/>
      <c r="K190" s="775" t="s">
        <v>1252</v>
      </c>
      <c r="L190" s="775"/>
      <c r="M190" s="795" t="s">
        <v>1276</v>
      </c>
      <c r="N190" s="767"/>
      <c r="O190" s="767"/>
      <c r="P190" s="772"/>
      <c r="Q190" s="803"/>
      <c r="R190" s="803"/>
      <c r="S190" s="804"/>
      <c r="T190" s="772"/>
      <c r="U190" s="772"/>
      <c r="V190" s="805"/>
      <c r="W190" s="767"/>
      <c r="X190" s="767"/>
      <c r="Y190" s="772"/>
      <c r="Z190" s="772"/>
      <c r="AA190" s="772"/>
      <c r="AB190" s="805"/>
      <c r="AC190" s="806"/>
      <c r="AD190" s="806"/>
      <c r="AE190" s="806"/>
      <c r="AF190" s="806"/>
      <c r="AG190" s="806"/>
      <c r="AH190" s="805"/>
      <c r="AI190" s="807" t="str">
        <f t="shared" si="80"/>
        <v/>
      </c>
      <c r="AJ190" s="805"/>
      <c r="AK190" s="359"/>
      <c r="AM190" t="str">
        <f t="shared" si="63"/>
        <v/>
      </c>
      <c r="AN190">
        <f t="shared" si="64"/>
        <v>0</v>
      </c>
      <c r="AW190" s="882">
        <f t="shared" si="76"/>
        <v>0</v>
      </c>
      <c r="AX190" s="882">
        <f t="shared" si="70"/>
        <v>1</v>
      </c>
      <c r="AY190" s="882">
        <f t="shared" si="71"/>
        <v>1</v>
      </c>
      <c r="AZ190" s="927">
        <f t="shared" si="72"/>
        <v>1</v>
      </c>
      <c r="BA190" s="882">
        <v>1</v>
      </c>
      <c r="BB190" s="925">
        <f t="shared" si="65"/>
        <v>0</v>
      </c>
      <c r="BC190" s="882">
        <f t="shared" si="73"/>
        <v>1</v>
      </c>
      <c r="BD190" s="342" t="e">
        <f>IF(AND($BC190=0,C190=Tab_sel!$P$7,$D190=Tab_sel!$O$24,$E190=Tab_sel!$B$31),1,"")</f>
        <v>#N/A</v>
      </c>
      <c r="BE190" s="322" t="e">
        <f>IF(AND($BC190=0,C190=Tab_sel!$P$7,$D190=Tab_sel!$O$24,$E190=Tab_sel!$B$32),1,"")</f>
        <v>#N/A</v>
      </c>
      <c r="BF190" s="322" t="e">
        <f>IF(AND($BC190=0,C190=Tab_sel!$P$7,$D190=Tab_sel!$O$24,$E190=Tab_sel!$B$33),1,"")</f>
        <v>#N/A</v>
      </c>
      <c r="BG190" s="322" t="e">
        <f>IF(AND($BC190=0,C190=Tab_sel!$P$7,$D190=Tab_sel!$O$24,$E190=Tab_sel!$B$34),1,"")</f>
        <v>#N/A</v>
      </c>
      <c r="BH190" s="322" t="e">
        <f>IF(AND($BC190=0,C190=Tab_sel!$P$7,$D190=Tab_sel!$O$24,$E190=Tab_sel!$B$35),1,"")</f>
        <v>#N/A</v>
      </c>
      <c r="BI190" s="343" t="e">
        <f>IF(AND($BC190=0,C190=Tab_sel!$P$7,$D190=Tab_sel!$O$24,$E190=Tab_sel!$B$36),1,"")</f>
        <v>#N/A</v>
      </c>
      <c r="BJ190" s="342" t="e">
        <f>IF(AND($BC190=0,$C190=Tab_sel!$P$7,$D190=Tab_sel!$O$24,$E190=Tab_sel!$N$31,$F190=Tab_sel!$B$40),1,"")</f>
        <v>#N/A</v>
      </c>
      <c r="BK190" s="322" t="e">
        <f>IF(AND($BC190=0,$C190=Tab_sel!$P$7,$D190=Tab_sel!$O$24,$E190=Tab_sel!$N$31,$F190=Tab_sel!$B$41),1,"")</f>
        <v>#N/A</v>
      </c>
      <c r="BL190" s="322" t="e">
        <f>IF(AND($BC190=0,$C190=Tab_sel!$P$7,$D190=Tab_sel!$O$24,$E190=Tab_sel!$N$31,$F190=Tab_sel!$B$42),1,"")</f>
        <v>#N/A</v>
      </c>
      <c r="BM190" s="322" t="e">
        <f>IF(AND($BC190=0,$C190=Tab_sel!$P$7,$D190=Tab_sel!$O$24,$E190=Tab_sel!$N$31,$F190=Tab_sel!$B$43),1,"")</f>
        <v>#N/A</v>
      </c>
      <c r="BN190" s="322" t="e">
        <f>IF(AND($BC190=0,$C190=Tab_sel!$P$7,$D190=Tab_sel!$O$24,$E190=Tab_sel!$N$31,$F190=Tab_sel!$B$44),1,"")</f>
        <v>#N/A</v>
      </c>
      <c r="BO190" s="343" t="e">
        <f>IF(AND($BC190=0,$C190=Tab_sel!$P$7,$D190=Tab_sel!$O$24,$E190=Tab_sel!$N$31,$F190=Tab_sel!$B$45),1,"")</f>
        <v>#N/A</v>
      </c>
      <c r="BP190" s="354" t="e">
        <f>IF(AND($BC190=0,$C190=Tab_sel!$P$7,$D190=Tab_sel!$O$24,$E190=Tab_sel!$N$31,$F190=Tab_sel!$N$40,$I190=Tab_sel!$B$61),1,"")</f>
        <v>#N/A</v>
      </c>
      <c r="BQ190" s="355" t="e">
        <f>IF(AND($BC190=0,$C190=Tab_sel!$P$7,$D190=Tab_sel!$O$24,$E190=Tab_sel!$N$31,$F190=Tab_sel!$N$40,$I190=Tab_sel!$B$62),1,"")</f>
        <v>#N/A</v>
      </c>
      <c r="BR190" s="355" t="e">
        <f>IF(AND($BC190=0,$C190=Tab_sel!$P$7,$D190=Tab_sel!$O$24,$E190=Tab_sel!$N$31,$F190=Tab_sel!$N$40,$I190=Tab_sel!$B$63),1,"")</f>
        <v>#N/A</v>
      </c>
      <c r="BS190" s="355" t="e">
        <f>IF(AND($BC190=0,$C190=Tab_sel!$P$7,$D190=Tab_sel!$O$24,$E190=Tab_sel!$N$31,$F190=Tab_sel!$N$40,$I190=Tab_sel!$B$64),1,"")</f>
        <v>#N/A</v>
      </c>
      <c r="BT190" s="356" t="e">
        <f>IF(AND($BC190=0,$C190=Tab_sel!$P$7,$D190=Tab_sel!$O$24,$E190=Tab_sel!$N$31,$F190=Tab_sel!$N$40,$I190=Tab_sel!$B$65),1,"")</f>
        <v>#N/A</v>
      </c>
      <c r="BU190" s="856" t="e">
        <f>IF(AND($BC190=0,$C190=Tab_sel!$P$7,$D190=Tab_sel!$O$24,$E190=Tab_sel!$N$31,$F190=Tab_sel!$N$40,$I190=Tab_sel!$P$61,$H190=Tab_sel!$B$77),1,"")</f>
        <v>#N/A</v>
      </c>
      <c r="BV190" s="883" t="e">
        <f>IF(AND($BC190=0,$C190=Tab_sel!$P$7,$D190=Tab_sel!$O$24,$E190=Tab_sel!$N$31,$F190=Tab_sel!$N$40,$I190=Tab_sel!$P$61,$H190=Tab_sel!$B$78),1,"")</f>
        <v>#N/A</v>
      </c>
      <c r="BW190" s="883" t="e">
        <f>IF(AND($BC190=0,$C190=Tab_sel!$P$7,$D190=Tab_sel!$O$24,$E190=Tab_sel!$N$31,$F190=Tab_sel!$N$40,$I190=Tab_sel!$P$61,$H190=Tab_sel!$B$79),1,"")</f>
        <v>#N/A</v>
      </c>
      <c r="BX190" s="883" t="e">
        <f>IF(AND($BC190=0,$C190=Tab_sel!$P$7,$D190=Tab_sel!$O$24,$E190=Tab_sel!$N$31,$F190=Tab_sel!$N$40,$I190=Tab_sel!$P$61,$H190=Tab_sel!$B$80),1,"")</f>
        <v>#N/A</v>
      </c>
      <c r="BY190" s="883" t="e">
        <f>IF(AND($BC190=0,$C190=Tab_sel!$P$7,$D190=Tab_sel!$O$24,$E190=Tab_sel!$N$31,$F190=Tab_sel!$N$40,$I190=Tab_sel!$P$61,$H190=Tab_sel!$B$81),1,"")</f>
        <v>#N/A</v>
      </c>
      <c r="BZ190" s="857" t="e">
        <f>IF(AND($BC190=0,$C190=Tab_sel!$P$7,$D190=Tab_sel!$O$24,$E190=Tab_sel!$N$31,$F190=Tab_sel!$N$40,$I190=Tab_sel!$P$61,$H190=Tab_sel!$B$82),1,"")</f>
        <v>#N/A</v>
      </c>
      <c r="CA190" s="359"/>
      <c r="CC190">
        <f t="shared" si="77"/>
        <v>0</v>
      </c>
      <c r="CD190" s="882">
        <f t="shared" si="78"/>
        <v>0</v>
      </c>
      <c r="CE190" s="882">
        <f t="shared" si="79"/>
        <v>0</v>
      </c>
      <c r="CH190" t="s">
        <v>2670</v>
      </c>
      <c r="CJ190" t="s">
        <v>2673</v>
      </c>
    </row>
    <row r="191" spans="2:88" ht="53.25" customHeight="1" x14ac:dyDescent="0.25">
      <c r="B191" s="791" t="s">
        <v>1514</v>
      </c>
      <c r="C191" s="771" t="s">
        <v>53</v>
      </c>
      <c r="D191" s="772" t="s">
        <v>23</v>
      </c>
      <c r="E191" s="771" t="str">
        <f>Cfg</f>
        <v>Configuration systèmes et applications</v>
      </c>
      <c r="F191" s="768" t="str">
        <f>Altf</f>
        <v>Altération (non détectée) de fonction</v>
      </c>
      <c r="G191" s="768" t="s">
        <v>1108</v>
      </c>
      <c r="H191" s="768"/>
      <c r="I191" s="771" t="s">
        <v>1198</v>
      </c>
      <c r="J191" s="769" t="s">
        <v>2576</v>
      </c>
      <c r="K191" s="877" t="s">
        <v>2578</v>
      </c>
      <c r="L191" s="769"/>
      <c r="M191" s="788"/>
      <c r="N191" s="767"/>
      <c r="O191" s="767"/>
      <c r="P191" s="772"/>
      <c r="Q191" s="803"/>
      <c r="R191" s="803"/>
      <c r="S191" s="804"/>
      <c r="T191" s="772"/>
      <c r="U191" s="772"/>
      <c r="V191" s="805"/>
      <c r="W191" s="767"/>
      <c r="X191" s="767"/>
      <c r="Y191" s="772"/>
      <c r="Z191" s="772"/>
      <c r="AA191" s="772"/>
      <c r="AB191" s="805"/>
      <c r="AC191" s="806"/>
      <c r="AD191" s="806"/>
      <c r="AE191" s="806"/>
      <c r="AF191" s="806"/>
      <c r="AG191" s="806"/>
      <c r="AH191" s="805"/>
      <c r="AI191" s="807" t="str">
        <f t="shared" si="80"/>
        <v/>
      </c>
      <c r="AJ191" s="805"/>
      <c r="AK191" s="359"/>
      <c r="AM191" t="str">
        <f t="shared" si="63"/>
        <v/>
      </c>
      <c r="AN191">
        <f t="shared" si="64"/>
        <v>0</v>
      </c>
      <c r="AW191" s="882">
        <f t="shared" si="76"/>
        <v>0</v>
      </c>
      <c r="AX191" s="882">
        <f t="shared" ref="AX191:AX214" si="81">VLOOKUP(E191,Tab_ActS,2,FALSE)</f>
        <v>1</v>
      </c>
      <c r="AY191" s="882">
        <f t="shared" ref="AY191:AY214" si="82">VLOOKUP(F191,Tab_SDom,3,FALSE)</f>
        <v>1</v>
      </c>
      <c r="AZ191" s="927">
        <f t="shared" ref="AZ191:AZ214" si="83">VLOOKUP($I191,Tabexpo,8,FALSE)</f>
        <v>1</v>
      </c>
      <c r="BA191" s="882">
        <v>1</v>
      </c>
      <c r="BB191" s="925">
        <f t="shared" si="65"/>
        <v>0</v>
      </c>
      <c r="BC191" s="882">
        <f t="shared" ref="BC191:BC214" si="84">IF(IndS=FALSE,IF(BB191=1,0,1),IF(BB191=0,1,AV191))</f>
        <v>1</v>
      </c>
      <c r="BD191" s="342" t="e">
        <f>IF(AND($BC191=0,C191=Tab_sel!$P$7,$D191=Tab_sel!$O$24,$E191=Tab_sel!$B$31),1,"")</f>
        <v>#N/A</v>
      </c>
      <c r="BE191" s="322" t="e">
        <f>IF(AND($BC191=0,C191=Tab_sel!$P$7,$D191=Tab_sel!$O$24,$E191=Tab_sel!$B$32),1,"")</f>
        <v>#N/A</v>
      </c>
      <c r="BF191" s="322" t="e">
        <f>IF(AND($BC191=0,C191=Tab_sel!$P$7,$D191=Tab_sel!$O$24,$E191=Tab_sel!$B$33),1,"")</f>
        <v>#N/A</v>
      </c>
      <c r="BG191" s="322" t="e">
        <f>IF(AND($BC191=0,C191=Tab_sel!$P$7,$D191=Tab_sel!$O$24,$E191=Tab_sel!$B$34),1,"")</f>
        <v>#N/A</v>
      </c>
      <c r="BH191" s="322" t="e">
        <f>IF(AND($BC191=0,C191=Tab_sel!$P$7,$D191=Tab_sel!$O$24,$E191=Tab_sel!$B$35),1,"")</f>
        <v>#N/A</v>
      </c>
      <c r="BI191" s="343" t="e">
        <f>IF(AND($BC191=0,C191=Tab_sel!$P$7,$D191=Tab_sel!$O$24,$E191=Tab_sel!$B$36),1,"")</f>
        <v>#N/A</v>
      </c>
      <c r="BJ191" s="342" t="e">
        <f>IF(AND($BC191=0,$C191=Tab_sel!$P$7,$D191=Tab_sel!$O$24,$E191=Tab_sel!$N$31,$F191=Tab_sel!$B$40),1,"")</f>
        <v>#N/A</v>
      </c>
      <c r="BK191" s="322" t="e">
        <f>IF(AND($BC191=0,$C191=Tab_sel!$P$7,$D191=Tab_sel!$O$24,$E191=Tab_sel!$N$31,$F191=Tab_sel!$B$41),1,"")</f>
        <v>#N/A</v>
      </c>
      <c r="BL191" s="322" t="e">
        <f>IF(AND($BC191=0,$C191=Tab_sel!$P$7,$D191=Tab_sel!$O$24,$E191=Tab_sel!$N$31,$F191=Tab_sel!$B$42),1,"")</f>
        <v>#N/A</v>
      </c>
      <c r="BM191" s="322" t="e">
        <f>IF(AND($BC191=0,$C191=Tab_sel!$P$7,$D191=Tab_sel!$O$24,$E191=Tab_sel!$N$31,$F191=Tab_sel!$B$43),1,"")</f>
        <v>#N/A</v>
      </c>
      <c r="BN191" s="322" t="e">
        <f>IF(AND($BC191=0,$C191=Tab_sel!$P$7,$D191=Tab_sel!$O$24,$E191=Tab_sel!$N$31,$F191=Tab_sel!$B$44),1,"")</f>
        <v>#N/A</v>
      </c>
      <c r="BO191" s="343" t="e">
        <f>IF(AND($BC191=0,$C191=Tab_sel!$P$7,$D191=Tab_sel!$O$24,$E191=Tab_sel!$N$31,$F191=Tab_sel!$B$45),1,"")</f>
        <v>#N/A</v>
      </c>
      <c r="BP191" s="354" t="e">
        <f>IF(AND($BC191=0,$C191=Tab_sel!$P$7,$D191=Tab_sel!$O$24,$E191=Tab_sel!$N$31,$F191=Tab_sel!$N$40,$I191=Tab_sel!$B$61),1,"")</f>
        <v>#N/A</v>
      </c>
      <c r="BQ191" s="355" t="e">
        <f>IF(AND($BC191=0,$C191=Tab_sel!$P$7,$D191=Tab_sel!$O$24,$E191=Tab_sel!$N$31,$F191=Tab_sel!$N$40,$I191=Tab_sel!$B$62),1,"")</f>
        <v>#N/A</v>
      </c>
      <c r="BR191" s="355" t="e">
        <f>IF(AND($BC191=0,$C191=Tab_sel!$P$7,$D191=Tab_sel!$O$24,$E191=Tab_sel!$N$31,$F191=Tab_sel!$N$40,$I191=Tab_sel!$B$63),1,"")</f>
        <v>#N/A</v>
      </c>
      <c r="BS191" s="355" t="e">
        <f>IF(AND($BC191=0,$C191=Tab_sel!$P$7,$D191=Tab_sel!$O$24,$E191=Tab_sel!$N$31,$F191=Tab_sel!$N$40,$I191=Tab_sel!$B$64),1,"")</f>
        <v>#N/A</v>
      </c>
      <c r="BT191" s="356" t="e">
        <f>IF(AND($BC191=0,$C191=Tab_sel!$P$7,$D191=Tab_sel!$O$24,$E191=Tab_sel!$N$31,$F191=Tab_sel!$N$40,$I191=Tab_sel!$B$65),1,"")</f>
        <v>#N/A</v>
      </c>
      <c r="BU191" s="856" t="e">
        <f>IF(AND($BC191=0,$C191=Tab_sel!$P$7,$D191=Tab_sel!$O$24,$E191=Tab_sel!$N$31,$F191=Tab_sel!$N$40,$I191=Tab_sel!$P$61,$H191=Tab_sel!$B$77),1,"")</f>
        <v>#N/A</v>
      </c>
      <c r="BV191" s="883" t="e">
        <f>IF(AND($BC191=0,$C191=Tab_sel!$P$7,$D191=Tab_sel!$O$24,$E191=Tab_sel!$N$31,$F191=Tab_sel!$N$40,$I191=Tab_sel!$P$61,$H191=Tab_sel!$B$78),1,"")</f>
        <v>#N/A</v>
      </c>
      <c r="BW191" s="883" t="e">
        <f>IF(AND($BC191=0,$C191=Tab_sel!$P$7,$D191=Tab_sel!$O$24,$E191=Tab_sel!$N$31,$F191=Tab_sel!$N$40,$I191=Tab_sel!$P$61,$H191=Tab_sel!$B$79),1,"")</f>
        <v>#N/A</v>
      </c>
      <c r="BX191" s="883" t="e">
        <f>IF(AND($BC191=0,$C191=Tab_sel!$P$7,$D191=Tab_sel!$O$24,$E191=Tab_sel!$N$31,$F191=Tab_sel!$N$40,$I191=Tab_sel!$P$61,$H191=Tab_sel!$B$80),1,"")</f>
        <v>#N/A</v>
      </c>
      <c r="BY191" s="883" t="e">
        <f>IF(AND($BC191=0,$C191=Tab_sel!$P$7,$D191=Tab_sel!$O$24,$E191=Tab_sel!$N$31,$F191=Tab_sel!$N$40,$I191=Tab_sel!$P$61,$H191=Tab_sel!$B$81),1,"")</f>
        <v>#N/A</v>
      </c>
      <c r="BZ191" s="857" t="e">
        <f>IF(AND($BC191=0,$C191=Tab_sel!$P$7,$D191=Tab_sel!$O$24,$E191=Tab_sel!$N$31,$F191=Tab_sel!$N$40,$I191=Tab_sel!$P$61,$H191=Tab_sel!$B$82),1,"")</f>
        <v>#N/A</v>
      </c>
      <c r="CA191" s="359"/>
      <c r="CC191">
        <f t="shared" si="77"/>
        <v>0</v>
      </c>
      <c r="CD191" s="882">
        <f t="shared" si="78"/>
        <v>0</v>
      </c>
      <c r="CE191" s="882">
        <f t="shared" si="79"/>
        <v>0</v>
      </c>
      <c r="CG191" t="s">
        <v>2674</v>
      </c>
      <c r="CH191" t="s">
        <v>2675</v>
      </c>
    </row>
    <row r="192" spans="2:88" ht="53.25" customHeight="1" x14ac:dyDescent="0.25">
      <c r="B192" s="791" t="s">
        <v>2420</v>
      </c>
      <c r="C192" s="874" t="s">
        <v>53</v>
      </c>
      <c r="D192" s="875" t="s">
        <v>23</v>
      </c>
      <c r="E192" s="771" t="str">
        <f>Cfg</f>
        <v>Configuration systèmes et applications</v>
      </c>
      <c r="F192" s="768" t="str">
        <f>Altf</f>
        <v>Altération (non détectée) de fonction</v>
      </c>
      <c r="G192" s="876" t="s">
        <v>1108</v>
      </c>
      <c r="H192" s="876" t="s">
        <v>2421</v>
      </c>
      <c r="I192" s="874" t="s">
        <v>1198</v>
      </c>
      <c r="J192" s="877" t="s">
        <v>2537</v>
      </c>
      <c r="K192" s="877"/>
      <c r="L192" s="877"/>
      <c r="M192" s="788"/>
      <c r="N192" s="851"/>
      <c r="O192" s="851"/>
      <c r="P192" s="875"/>
      <c r="Q192" s="803"/>
      <c r="R192" s="803"/>
      <c r="S192" s="804"/>
      <c r="T192" s="875"/>
      <c r="U192" s="875"/>
      <c r="V192" s="805"/>
      <c r="W192" s="851"/>
      <c r="X192" s="851"/>
      <c r="Y192" s="875"/>
      <c r="Z192" s="875"/>
      <c r="AA192" s="875"/>
      <c r="AB192" s="805"/>
      <c r="AC192" s="806"/>
      <c r="AD192" s="806"/>
      <c r="AE192" s="806"/>
      <c r="AF192" s="806"/>
      <c r="AG192" s="806"/>
      <c r="AH192" s="805"/>
      <c r="AI192" s="807" t="str">
        <f t="shared" si="80"/>
        <v/>
      </c>
      <c r="AJ192" s="805"/>
      <c r="AK192" s="359"/>
      <c r="AM192" t="str">
        <f t="shared" si="63"/>
        <v/>
      </c>
      <c r="AN192">
        <f t="shared" si="64"/>
        <v>0</v>
      </c>
      <c r="AV192" s="882"/>
      <c r="AW192" s="882">
        <f t="shared" si="76"/>
        <v>0</v>
      </c>
      <c r="AX192" s="882">
        <f t="shared" si="81"/>
        <v>1</v>
      </c>
      <c r="AY192" s="882">
        <f t="shared" si="82"/>
        <v>1</v>
      </c>
      <c r="AZ192" s="927">
        <f t="shared" si="83"/>
        <v>1</v>
      </c>
      <c r="BA192" s="882">
        <v>0</v>
      </c>
      <c r="BB192" s="925">
        <f t="shared" si="65"/>
        <v>0</v>
      </c>
      <c r="BC192" s="882">
        <f t="shared" si="84"/>
        <v>1</v>
      </c>
      <c r="BD192" s="342" t="e">
        <f>IF(AND($BC192=0,C192=Tab_sel!$P$7,$D192=Tab_sel!$O$24,$E192=Tab_sel!$B$31),1,"")</f>
        <v>#N/A</v>
      </c>
      <c r="BE192" s="322" t="e">
        <f>IF(AND($BC192=0,C192=Tab_sel!$P$7,$D192=Tab_sel!$O$24,$E192=Tab_sel!$B$32),1,"")</f>
        <v>#N/A</v>
      </c>
      <c r="BF192" s="322" t="e">
        <f>IF(AND($BC192=0,C192=Tab_sel!$P$7,$D192=Tab_sel!$O$24,$E192=Tab_sel!$B$33),1,"")</f>
        <v>#N/A</v>
      </c>
      <c r="BG192" s="322" t="e">
        <f>IF(AND($BC192=0,C192=Tab_sel!$P$7,$D192=Tab_sel!$O$24,$E192=Tab_sel!$B$34),1,"")</f>
        <v>#N/A</v>
      </c>
      <c r="BH192" s="322" t="e">
        <f>IF(AND($BC192=0,C192=Tab_sel!$P$7,$D192=Tab_sel!$O$24,$E192=Tab_sel!$B$35),1,"")</f>
        <v>#N/A</v>
      </c>
      <c r="BI192" s="343" t="e">
        <f>IF(AND($BC192=0,C192=Tab_sel!$P$7,$D192=Tab_sel!$O$24,$E192=Tab_sel!$B$36),1,"")</f>
        <v>#N/A</v>
      </c>
      <c r="BJ192" s="342" t="e">
        <f>IF(AND($BC192=0,$C192=Tab_sel!$P$7,$D192=Tab_sel!$O$24,$E192=Tab_sel!$N$31,$F192=Tab_sel!$B$40),1,"")</f>
        <v>#N/A</v>
      </c>
      <c r="BK192" s="322" t="e">
        <f>IF(AND($BC192=0,$C192=Tab_sel!$P$7,$D192=Tab_sel!$O$24,$E192=Tab_sel!$N$31,$F192=Tab_sel!$B$41),1,"")</f>
        <v>#N/A</v>
      </c>
      <c r="BL192" s="322" t="e">
        <f>IF(AND($BC192=0,$C192=Tab_sel!$P$7,$D192=Tab_sel!$O$24,$E192=Tab_sel!$N$31,$F192=Tab_sel!$B$42),1,"")</f>
        <v>#N/A</v>
      </c>
      <c r="BM192" s="322" t="e">
        <f>IF(AND($BC192=0,$C192=Tab_sel!$P$7,$D192=Tab_sel!$O$24,$E192=Tab_sel!$N$31,$F192=Tab_sel!$B$43),1,"")</f>
        <v>#N/A</v>
      </c>
      <c r="BN192" s="322" t="e">
        <f>IF(AND($BC192=0,$C192=Tab_sel!$P$7,$D192=Tab_sel!$O$24,$E192=Tab_sel!$N$31,$F192=Tab_sel!$B$44),1,"")</f>
        <v>#N/A</v>
      </c>
      <c r="BO192" s="343" t="e">
        <f>IF(AND($BC192=0,$C192=Tab_sel!$P$7,$D192=Tab_sel!$O$24,$E192=Tab_sel!$N$31,$F192=Tab_sel!$B$45),1,"")</f>
        <v>#N/A</v>
      </c>
      <c r="BP192" s="354" t="e">
        <f>IF(AND($BC192=0,$C192=Tab_sel!$P$7,$D192=Tab_sel!$O$24,$E192=Tab_sel!$N$31,$F192=Tab_sel!$N$40,$I192=Tab_sel!$B$61),1,"")</f>
        <v>#N/A</v>
      </c>
      <c r="BQ192" s="355" t="e">
        <f>IF(AND($BC192=0,$C192=Tab_sel!$P$7,$D192=Tab_sel!$O$24,$E192=Tab_sel!$N$31,$F192=Tab_sel!$N$40,$I192=Tab_sel!$B$62),1,"")</f>
        <v>#N/A</v>
      </c>
      <c r="BR192" s="355" t="e">
        <f>IF(AND($BC192=0,$C192=Tab_sel!$P$7,$D192=Tab_sel!$O$24,$E192=Tab_sel!$N$31,$F192=Tab_sel!$N$40,$I192=Tab_sel!$B$63),1,"")</f>
        <v>#N/A</v>
      </c>
      <c r="BS192" s="355" t="e">
        <f>IF(AND($BC192=0,$C192=Tab_sel!$P$7,$D192=Tab_sel!$O$24,$E192=Tab_sel!$N$31,$F192=Tab_sel!$N$40,$I192=Tab_sel!$B$64),1,"")</f>
        <v>#N/A</v>
      </c>
      <c r="BT192" s="356" t="e">
        <f>IF(AND($BC192=0,$C192=Tab_sel!$P$7,$D192=Tab_sel!$O$24,$E192=Tab_sel!$N$31,$F192=Tab_sel!$N$40,$I192=Tab_sel!$B$65),1,"")</f>
        <v>#N/A</v>
      </c>
      <c r="BU192" s="856" t="e">
        <f>IF(AND($BC192=0,$C192=Tab_sel!$P$7,$D192=Tab_sel!$O$24,$E192=Tab_sel!$N$31,$F192=Tab_sel!$N$40,$I192=Tab_sel!$P$61,$H192=Tab_sel!$B$77),1,"")</f>
        <v>#N/A</v>
      </c>
      <c r="BV192" s="883" t="e">
        <f>IF(AND($BC192=0,$C192=Tab_sel!$P$7,$D192=Tab_sel!$O$24,$E192=Tab_sel!$N$31,$F192=Tab_sel!$N$40,$I192=Tab_sel!$P$61,$H192=Tab_sel!$B$78),1,"")</f>
        <v>#N/A</v>
      </c>
      <c r="BW192" s="883" t="e">
        <f>IF(AND($BC192=0,$C192=Tab_sel!$P$7,$D192=Tab_sel!$O$24,$E192=Tab_sel!$N$31,$F192=Tab_sel!$N$40,$I192=Tab_sel!$P$61,$H192=Tab_sel!$B$79),1,"")</f>
        <v>#N/A</v>
      </c>
      <c r="BX192" s="883" t="e">
        <f>IF(AND($BC192=0,$C192=Tab_sel!$P$7,$D192=Tab_sel!$O$24,$E192=Tab_sel!$N$31,$F192=Tab_sel!$N$40,$I192=Tab_sel!$P$61,$H192=Tab_sel!$B$80),1,"")</f>
        <v>#N/A</v>
      </c>
      <c r="BY192" s="883" t="e">
        <f>IF(AND($BC192=0,$C192=Tab_sel!$P$7,$D192=Tab_sel!$O$24,$E192=Tab_sel!$N$31,$F192=Tab_sel!$N$40,$I192=Tab_sel!$P$61,$H192=Tab_sel!$B$81),1,"")</f>
        <v>#N/A</v>
      </c>
      <c r="BZ192" s="857" t="e">
        <f>IF(AND($BC192=0,$C192=Tab_sel!$P$7,$D192=Tab_sel!$O$24,$E192=Tab_sel!$N$31,$F192=Tab_sel!$N$40,$I192=Tab_sel!$P$61,$H192=Tab_sel!$B$82),1,"")</f>
        <v>#N/A</v>
      </c>
      <c r="CA192" s="359"/>
      <c r="CC192">
        <f t="shared" si="77"/>
        <v>0</v>
      </c>
      <c r="CD192" s="882">
        <f t="shared" si="78"/>
        <v>0</v>
      </c>
      <c r="CE192" s="882">
        <f t="shared" si="79"/>
        <v>0</v>
      </c>
      <c r="CG192" t="s">
        <v>2609</v>
      </c>
    </row>
    <row r="193" spans="2:86" ht="53.25" customHeight="1" x14ac:dyDescent="0.25">
      <c r="B193" s="791" t="s">
        <v>2422</v>
      </c>
      <c r="C193" s="874" t="s">
        <v>53</v>
      </c>
      <c r="D193" s="875" t="s">
        <v>23</v>
      </c>
      <c r="E193" s="771" t="str">
        <f>Cfg</f>
        <v>Configuration systèmes et applications</v>
      </c>
      <c r="F193" s="768" t="str">
        <f>Altf</f>
        <v>Altération (non détectée) de fonction</v>
      </c>
      <c r="G193" s="876" t="s">
        <v>1108</v>
      </c>
      <c r="H193" s="876" t="s">
        <v>2423</v>
      </c>
      <c r="I193" s="874" t="s">
        <v>1198</v>
      </c>
      <c r="J193" s="877" t="s">
        <v>2370</v>
      </c>
      <c r="K193" s="877" t="s">
        <v>1310</v>
      </c>
      <c r="L193" s="877"/>
      <c r="M193" s="788"/>
      <c r="N193" s="851"/>
      <c r="O193" s="851"/>
      <c r="P193" s="875"/>
      <c r="Q193" s="803"/>
      <c r="R193" s="803"/>
      <c r="S193" s="804"/>
      <c r="T193" s="875"/>
      <c r="U193" s="875"/>
      <c r="V193" s="805"/>
      <c r="W193" s="851"/>
      <c r="X193" s="851"/>
      <c r="Y193" s="875"/>
      <c r="Z193" s="875"/>
      <c r="AA193" s="875"/>
      <c r="AB193" s="805"/>
      <c r="AC193" s="806"/>
      <c r="AD193" s="806"/>
      <c r="AE193" s="806"/>
      <c r="AF193" s="806"/>
      <c r="AG193" s="806"/>
      <c r="AH193" s="805"/>
      <c r="AI193" s="807" t="str">
        <f t="shared" si="80"/>
        <v/>
      </c>
      <c r="AJ193" s="805"/>
      <c r="AK193" s="359"/>
      <c r="AM193" t="str">
        <f t="shared" si="63"/>
        <v/>
      </c>
      <c r="AN193">
        <f t="shared" si="64"/>
        <v>0</v>
      </c>
      <c r="AV193" s="882"/>
      <c r="AW193" s="882">
        <f t="shared" si="76"/>
        <v>0</v>
      </c>
      <c r="AX193" s="882">
        <f t="shared" si="81"/>
        <v>1</v>
      </c>
      <c r="AY193" s="882">
        <f t="shared" si="82"/>
        <v>1</v>
      </c>
      <c r="AZ193" s="927">
        <f t="shared" si="83"/>
        <v>1</v>
      </c>
      <c r="BA193" s="882">
        <v>0</v>
      </c>
      <c r="BB193" s="925">
        <f t="shared" si="65"/>
        <v>0</v>
      </c>
      <c r="BC193" s="882">
        <f t="shared" si="84"/>
        <v>1</v>
      </c>
      <c r="BD193" s="342" t="e">
        <f>IF(AND($BC193=0,C193=Tab_sel!$P$7,$D193=Tab_sel!$O$24,$E193=Tab_sel!$B$31),1,"")</f>
        <v>#N/A</v>
      </c>
      <c r="BE193" s="322" t="e">
        <f>IF(AND($BC193=0,C193=Tab_sel!$P$7,$D193=Tab_sel!$O$24,$E193=Tab_sel!$B$32),1,"")</f>
        <v>#N/A</v>
      </c>
      <c r="BF193" s="322" t="e">
        <f>IF(AND($BC193=0,C193=Tab_sel!$P$7,$D193=Tab_sel!$O$24,$E193=Tab_sel!$B$33),1,"")</f>
        <v>#N/A</v>
      </c>
      <c r="BG193" s="322" t="e">
        <f>IF(AND($BC193=0,C193=Tab_sel!$P$7,$D193=Tab_sel!$O$24,$E193=Tab_sel!$B$34),1,"")</f>
        <v>#N/A</v>
      </c>
      <c r="BH193" s="322" t="e">
        <f>IF(AND($BC193=0,C193=Tab_sel!$P$7,$D193=Tab_sel!$O$24,$E193=Tab_sel!$B$35),1,"")</f>
        <v>#N/A</v>
      </c>
      <c r="BI193" s="343" t="e">
        <f>IF(AND($BC193=0,C193=Tab_sel!$P$7,$D193=Tab_sel!$O$24,$E193=Tab_sel!$B$36),1,"")</f>
        <v>#N/A</v>
      </c>
      <c r="BJ193" s="342" t="e">
        <f>IF(AND($BC193=0,$C193=Tab_sel!$P$7,$D193=Tab_sel!$O$24,$E193=Tab_sel!$N$31,$F193=Tab_sel!$B$40),1,"")</f>
        <v>#N/A</v>
      </c>
      <c r="BK193" s="322" t="e">
        <f>IF(AND($BC193=0,$C193=Tab_sel!$P$7,$D193=Tab_sel!$O$24,$E193=Tab_sel!$N$31,$F193=Tab_sel!$B$41),1,"")</f>
        <v>#N/A</v>
      </c>
      <c r="BL193" s="322" t="e">
        <f>IF(AND($BC193=0,$C193=Tab_sel!$P$7,$D193=Tab_sel!$O$24,$E193=Tab_sel!$N$31,$F193=Tab_sel!$B$42),1,"")</f>
        <v>#N/A</v>
      </c>
      <c r="BM193" s="322" t="e">
        <f>IF(AND($BC193=0,$C193=Tab_sel!$P$7,$D193=Tab_sel!$O$24,$E193=Tab_sel!$N$31,$F193=Tab_sel!$B$43),1,"")</f>
        <v>#N/A</v>
      </c>
      <c r="BN193" s="322" t="e">
        <f>IF(AND($BC193=0,$C193=Tab_sel!$P$7,$D193=Tab_sel!$O$24,$E193=Tab_sel!$N$31,$F193=Tab_sel!$B$44),1,"")</f>
        <v>#N/A</v>
      </c>
      <c r="BO193" s="343" t="e">
        <f>IF(AND($BC193=0,$C193=Tab_sel!$P$7,$D193=Tab_sel!$O$24,$E193=Tab_sel!$N$31,$F193=Tab_sel!$B$45),1,"")</f>
        <v>#N/A</v>
      </c>
      <c r="BP193" s="354" t="e">
        <f>IF(AND($BC193=0,$C193=Tab_sel!$P$7,$D193=Tab_sel!$O$24,$E193=Tab_sel!$N$31,$F193=Tab_sel!$N$40,$I193=Tab_sel!$B$61),1,"")</f>
        <v>#N/A</v>
      </c>
      <c r="BQ193" s="355" t="e">
        <f>IF(AND($BC193=0,$C193=Tab_sel!$P$7,$D193=Tab_sel!$O$24,$E193=Tab_sel!$N$31,$F193=Tab_sel!$N$40,$I193=Tab_sel!$B$62),1,"")</f>
        <v>#N/A</v>
      </c>
      <c r="BR193" s="355" t="e">
        <f>IF(AND($BC193=0,$C193=Tab_sel!$P$7,$D193=Tab_sel!$O$24,$E193=Tab_sel!$N$31,$F193=Tab_sel!$N$40,$I193=Tab_sel!$B$63),1,"")</f>
        <v>#N/A</v>
      </c>
      <c r="BS193" s="355" t="e">
        <f>IF(AND($BC193=0,$C193=Tab_sel!$P$7,$D193=Tab_sel!$O$24,$E193=Tab_sel!$N$31,$F193=Tab_sel!$N$40,$I193=Tab_sel!$B$64),1,"")</f>
        <v>#N/A</v>
      </c>
      <c r="BT193" s="356" t="e">
        <f>IF(AND($BC193=0,$C193=Tab_sel!$P$7,$D193=Tab_sel!$O$24,$E193=Tab_sel!$N$31,$F193=Tab_sel!$N$40,$I193=Tab_sel!$B$65),1,"")</f>
        <v>#N/A</v>
      </c>
      <c r="BU193" s="856" t="e">
        <f>IF(AND($BC193=0,$C193=Tab_sel!$P$7,$D193=Tab_sel!$O$24,$E193=Tab_sel!$N$31,$F193=Tab_sel!$N$40,$I193=Tab_sel!$P$61,$H193=Tab_sel!$B$77),1,"")</f>
        <v>#N/A</v>
      </c>
      <c r="BV193" s="883" t="e">
        <f>IF(AND($BC193=0,$C193=Tab_sel!$P$7,$D193=Tab_sel!$O$24,$E193=Tab_sel!$N$31,$F193=Tab_sel!$N$40,$I193=Tab_sel!$P$61,$H193=Tab_sel!$B$78),1,"")</f>
        <v>#N/A</v>
      </c>
      <c r="BW193" s="883" t="e">
        <f>IF(AND($BC193=0,$C193=Tab_sel!$P$7,$D193=Tab_sel!$O$24,$E193=Tab_sel!$N$31,$F193=Tab_sel!$N$40,$I193=Tab_sel!$P$61,$H193=Tab_sel!$B$79),1,"")</f>
        <v>#N/A</v>
      </c>
      <c r="BX193" s="883" t="e">
        <f>IF(AND($BC193=0,$C193=Tab_sel!$P$7,$D193=Tab_sel!$O$24,$E193=Tab_sel!$N$31,$F193=Tab_sel!$N$40,$I193=Tab_sel!$P$61,$H193=Tab_sel!$B$80),1,"")</f>
        <v>#N/A</v>
      </c>
      <c r="BY193" s="883" t="e">
        <f>IF(AND($BC193=0,$C193=Tab_sel!$P$7,$D193=Tab_sel!$O$24,$E193=Tab_sel!$N$31,$F193=Tab_sel!$N$40,$I193=Tab_sel!$P$61,$H193=Tab_sel!$B$81),1,"")</f>
        <v>#N/A</v>
      </c>
      <c r="BZ193" s="857" t="e">
        <f>IF(AND($BC193=0,$C193=Tab_sel!$P$7,$D193=Tab_sel!$O$24,$E193=Tab_sel!$N$31,$F193=Tab_sel!$N$40,$I193=Tab_sel!$P$61,$H193=Tab_sel!$B$82),1,"")</f>
        <v>#N/A</v>
      </c>
      <c r="CA193" s="359"/>
      <c r="CC193">
        <f t="shared" si="77"/>
        <v>0</v>
      </c>
      <c r="CD193" s="882">
        <f t="shared" si="78"/>
        <v>0</v>
      </c>
      <c r="CE193" s="882">
        <f t="shared" si="79"/>
        <v>0</v>
      </c>
      <c r="CG193" t="s">
        <v>2614</v>
      </c>
      <c r="CH193" t="s">
        <v>2676</v>
      </c>
    </row>
    <row r="194" spans="2:86" ht="53.25" customHeight="1" x14ac:dyDescent="0.25">
      <c r="B194" s="791" t="s">
        <v>2424</v>
      </c>
      <c r="C194" s="874" t="s">
        <v>53</v>
      </c>
      <c r="D194" s="875" t="s">
        <v>23</v>
      </c>
      <c r="E194" s="771" t="str">
        <f>Cfg</f>
        <v>Configuration systèmes et applications</v>
      </c>
      <c r="F194" s="768" t="str">
        <f>Altf</f>
        <v>Altération (non détectée) de fonction</v>
      </c>
      <c r="G194" s="876" t="s">
        <v>1108</v>
      </c>
      <c r="H194" s="876" t="s">
        <v>2425</v>
      </c>
      <c r="I194" s="874" t="s">
        <v>1198</v>
      </c>
      <c r="J194" s="877"/>
      <c r="K194" s="877" t="s">
        <v>2452</v>
      </c>
      <c r="L194" s="877"/>
      <c r="M194" s="788"/>
      <c r="N194" s="851"/>
      <c r="O194" s="851"/>
      <c r="P194" s="875"/>
      <c r="Q194" s="803"/>
      <c r="R194" s="803"/>
      <c r="S194" s="804"/>
      <c r="T194" s="875"/>
      <c r="U194" s="875"/>
      <c r="V194" s="805"/>
      <c r="W194" s="851"/>
      <c r="X194" s="851"/>
      <c r="Y194" s="875"/>
      <c r="Z194" s="875"/>
      <c r="AA194" s="875"/>
      <c r="AB194" s="805"/>
      <c r="AC194" s="806"/>
      <c r="AD194" s="806"/>
      <c r="AE194" s="806"/>
      <c r="AF194" s="806"/>
      <c r="AG194" s="806"/>
      <c r="AH194" s="805"/>
      <c r="AI194" s="807" t="str">
        <f t="shared" si="80"/>
        <v/>
      </c>
      <c r="AJ194" s="805"/>
      <c r="AK194" s="359"/>
      <c r="AM194" t="str">
        <f t="shared" si="63"/>
        <v/>
      </c>
      <c r="AN194">
        <f t="shared" si="64"/>
        <v>0</v>
      </c>
      <c r="AV194" s="882"/>
      <c r="AW194" s="882">
        <f t="shared" si="76"/>
        <v>0</v>
      </c>
      <c r="AX194" s="882">
        <f t="shared" si="81"/>
        <v>1</v>
      </c>
      <c r="AY194" s="882">
        <f t="shared" si="82"/>
        <v>1</v>
      </c>
      <c r="AZ194" s="927">
        <f t="shared" si="83"/>
        <v>1</v>
      </c>
      <c r="BA194" s="882">
        <v>0</v>
      </c>
      <c r="BB194" s="925">
        <f t="shared" si="65"/>
        <v>0</v>
      </c>
      <c r="BC194" s="882">
        <f t="shared" si="84"/>
        <v>1</v>
      </c>
      <c r="BD194" s="342" t="e">
        <f>IF(AND($BC194=0,C194=Tab_sel!$P$7,$D194=Tab_sel!$O$24,$E194=Tab_sel!$B$31),1,"")</f>
        <v>#N/A</v>
      </c>
      <c r="BE194" s="322" t="e">
        <f>IF(AND($BC194=0,C194=Tab_sel!$P$7,$D194=Tab_sel!$O$24,$E194=Tab_sel!$B$32),1,"")</f>
        <v>#N/A</v>
      </c>
      <c r="BF194" s="322" t="e">
        <f>IF(AND($BC194=0,C194=Tab_sel!$P$7,$D194=Tab_sel!$O$24,$E194=Tab_sel!$B$33),1,"")</f>
        <v>#N/A</v>
      </c>
      <c r="BG194" s="322" t="e">
        <f>IF(AND($BC194=0,C194=Tab_sel!$P$7,$D194=Tab_sel!$O$24,$E194=Tab_sel!$B$34),1,"")</f>
        <v>#N/A</v>
      </c>
      <c r="BH194" s="322" t="e">
        <f>IF(AND($BC194=0,C194=Tab_sel!$P$7,$D194=Tab_sel!$O$24,$E194=Tab_sel!$B$35),1,"")</f>
        <v>#N/A</v>
      </c>
      <c r="BI194" s="343" t="e">
        <f>IF(AND($BC194=0,C194=Tab_sel!$P$7,$D194=Tab_sel!$O$24,$E194=Tab_sel!$B$36),1,"")</f>
        <v>#N/A</v>
      </c>
      <c r="BJ194" s="342" t="e">
        <f>IF(AND($BC194=0,$C194=Tab_sel!$P$7,$D194=Tab_sel!$O$24,$E194=Tab_sel!$N$31,$F194=Tab_sel!$B$40),1,"")</f>
        <v>#N/A</v>
      </c>
      <c r="BK194" s="322" t="e">
        <f>IF(AND($BC194=0,$C194=Tab_sel!$P$7,$D194=Tab_sel!$O$24,$E194=Tab_sel!$N$31,$F194=Tab_sel!$B$41),1,"")</f>
        <v>#N/A</v>
      </c>
      <c r="BL194" s="322" t="e">
        <f>IF(AND($BC194=0,$C194=Tab_sel!$P$7,$D194=Tab_sel!$O$24,$E194=Tab_sel!$N$31,$F194=Tab_sel!$B$42),1,"")</f>
        <v>#N/A</v>
      </c>
      <c r="BM194" s="322" t="e">
        <f>IF(AND($BC194=0,$C194=Tab_sel!$P$7,$D194=Tab_sel!$O$24,$E194=Tab_sel!$N$31,$F194=Tab_sel!$B$43),1,"")</f>
        <v>#N/A</v>
      </c>
      <c r="BN194" s="322" t="e">
        <f>IF(AND($BC194=0,$C194=Tab_sel!$P$7,$D194=Tab_sel!$O$24,$E194=Tab_sel!$N$31,$F194=Tab_sel!$B$44),1,"")</f>
        <v>#N/A</v>
      </c>
      <c r="BO194" s="343" t="e">
        <f>IF(AND($BC194=0,$C194=Tab_sel!$P$7,$D194=Tab_sel!$O$24,$E194=Tab_sel!$N$31,$F194=Tab_sel!$B$45),1,"")</f>
        <v>#N/A</v>
      </c>
      <c r="BP194" s="354" t="e">
        <f>IF(AND($BC194=0,$C194=Tab_sel!$P$7,$D194=Tab_sel!$O$24,$E194=Tab_sel!$N$31,$F194=Tab_sel!$N$40,$I194=Tab_sel!$B$61),1,"")</f>
        <v>#N/A</v>
      </c>
      <c r="BQ194" s="355" t="e">
        <f>IF(AND($BC194=0,$C194=Tab_sel!$P$7,$D194=Tab_sel!$O$24,$E194=Tab_sel!$N$31,$F194=Tab_sel!$N$40,$I194=Tab_sel!$B$62),1,"")</f>
        <v>#N/A</v>
      </c>
      <c r="BR194" s="355" t="e">
        <f>IF(AND($BC194=0,$C194=Tab_sel!$P$7,$D194=Tab_sel!$O$24,$E194=Tab_sel!$N$31,$F194=Tab_sel!$N$40,$I194=Tab_sel!$B$63),1,"")</f>
        <v>#N/A</v>
      </c>
      <c r="BS194" s="355" t="e">
        <f>IF(AND($BC194=0,$C194=Tab_sel!$P$7,$D194=Tab_sel!$O$24,$E194=Tab_sel!$N$31,$F194=Tab_sel!$N$40,$I194=Tab_sel!$B$64),1,"")</f>
        <v>#N/A</v>
      </c>
      <c r="BT194" s="356" t="e">
        <f>IF(AND($BC194=0,$C194=Tab_sel!$P$7,$D194=Tab_sel!$O$24,$E194=Tab_sel!$N$31,$F194=Tab_sel!$N$40,$I194=Tab_sel!$B$65),1,"")</f>
        <v>#N/A</v>
      </c>
      <c r="BU194" s="856" t="e">
        <f>IF(AND($BC194=0,$C194=Tab_sel!$P$7,$D194=Tab_sel!$O$24,$E194=Tab_sel!$N$31,$F194=Tab_sel!$N$40,$I194=Tab_sel!$P$61,$H194=Tab_sel!$B$77),1,"")</f>
        <v>#N/A</v>
      </c>
      <c r="BV194" s="883" t="e">
        <f>IF(AND($BC194=0,$C194=Tab_sel!$P$7,$D194=Tab_sel!$O$24,$E194=Tab_sel!$N$31,$F194=Tab_sel!$N$40,$I194=Tab_sel!$P$61,$H194=Tab_sel!$B$78),1,"")</f>
        <v>#N/A</v>
      </c>
      <c r="BW194" s="883" t="e">
        <f>IF(AND($BC194=0,$C194=Tab_sel!$P$7,$D194=Tab_sel!$O$24,$E194=Tab_sel!$N$31,$F194=Tab_sel!$N$40,$I194=Tab_sel!$P$61,$H194=Tab_sel!$B$79),1,"")</f>
        <v>#N/A</v>
      </c>
      <c r="BX194" s="883" t="e">
        <f>IF(AND($BC194=0,$C194=Tab_sel!$P$7,$D194=Tab_sel!$O$24,$E194=Tab_sel!$N$31,$F194=Tab_sel!$N$40,$I194=Tab_sel!$P$61,$H194=Tab_sel!$B$80),1,"")</f>
        <v>#N/A</v>
      </c>
      <c r="BY194" s="883" t="e">
        <f>IF(AND($BC194=0,$C194=Tab_sel!$P$7,$D194=Tab_sel!$O$24,$E194=Tab_sel!$N$31,$F194=Tab_sel!$N$40,$I194=Tab_sel!$P$61,$H194=Tab_sel!$B$81),1,"")</f>
        <v>#N/A</v>
      </c>
      <c r="BZ194" s="857" t="e">
        <f>IF(AND($BC194=0,$C194=Tab_sel!$P$7,$D194=Tab_sel!$O$24,$E194=Tab_sel!$N$31,$F194=Tab_sel!$N$40,$I194=Tab_sel!$P$61,$H194=Tab_sel!$B$82),1,"")</f>
        <v>#N/A</v>
      </c>
      <c r="CA194" s="359"/>
      <c r="CC194">
        <f t="shared" si="77"/>
        <v>0</v>
      </c>
      <c r="CD194" s="882">
        <f t="shared" si="78"/>
        <v>0</v>
      </c>
      <c r="CE194" s="882">
        <f t="shared" si="79"/>
        <v>0</v>
      </c>
      <c r="CH194" t="s">
        <v>2677</v>
      </c>
    </row>
    <row r="195" spans="2:86" ht="39.6" x14ac:dyDescent="0.25">
      <c r="B195" s="791" t="s">
        <v>1515</v>
      </c>
      <c r="C195" s="771" t="s">
        <v>53</v>
      </c>
      <c r="D195" s="772" t="s">
        <v>23</v>
      </c>
      <c r="E195" s="771" t="str">
        <f>Cfg</f>
        <v>Configuration systèmes et applications</v>
      </c>
      <c r="F195" s="768" t="str">
        <f>Altf</f>
        <v>Altération (non détectée) de fonction</v>
      </c>
      <c r="G195" s="768" t="s">
        <v>2267</v>
      </c>
      <c r="H195" s="768"/>
      <c r="I195" s="771" t="s">
        <v>1166</v>
      </c>
      <c r="J195" s="769"/>
      <c r="K195" s="769" t="s">
        <v>1348</v>
      </c>
      <c r="L195" s="779"/>
      <c r="M195" s="788"/>
      <c r="N195" s="767"/>
      <c r="O195" s="767"/>
      <c r="P195" s="772"/>
      <c r="Q195" s="803"/>
      <c r="R195" s="803"/>
      <c r="S195" s="804"/>
      <c r="T195" s="772"/>
      <c r="U195" s="772"/>
      <c r="V195" s="805"/>
      <c r="W195" s="767"/>
      <c r="X195" s="767"/>
      <c r="Y195" s="772"/>
      <c r="Z195" s="772"/>
      <c r="AA195" s="772"/>
      <c r="AB195" s="805"/>
      <c r="AC195" s="806"/>
      <c r="AD195" s="806"/>
      <c r="AE195" s="806"/>
      <c r="AF195" s="806"/>
      <c r="AG195" s="806"/>
      <c r="AH195" s="805"/>
      <c r="AI195" s="807" t="str">
        <f t="shared" si="80"/>
        <v/>
      </c>
      <c r="AJ195" s="805"/>
      <c r="AK195" s="359"/>
      <c r="AM195" t="str">
        <f t="shared" si="63"/>
        <v/>
      </c>
      <c r="AN195">
        <f t="shared" si="64"/>
        <v>0</v>
      </c>
      <c r="AW195" s="882">
        <f t="shared" si="76"/>
        <v>0</v>
      </c>
      <c r="AX195" s="882">
        <f t="shared" si="81"/>
        <v>1</v>
      </c>
      <c r="AY195" s="882">
        <f t="shared" si="82"/>
        <v>1</v>
      </c>
      <c r="AZ195" s="927">
        <f t="shared" si="83"/>
        <v>1</v>
      </c>
      <c r="BA195" s="882">
        <v>1</v>
      </c>
      <c r="BB195" s="925">
        <f t="shared" si="65"/>
        <v>0</v>
      </c>
      <c r="BC195" s="882">
        <f t="shared" si="84"/>
        <v>1</v>
      </c>
      <c r="BD195" s="342" t="e">
        <f>IF(AND($BC195=0,C195=Tab_sel!$P$7,$D195=Tab_sel!$O$24,$E195=Tab_sel!$B$31),1,"")</f>
        <v>#N/A</v>
      </c>
      <c r="BE195" s="322" t="e">
        <f>IF(AND($BC195=0,C195=Tab_sel!$P$7,$D195=Tab_sel!$O$24,$E195=Tab_sel!$B$32),1,"")</f>
        <v>#N/A</v>
      </c>
      <c r="BF195" s="322" t="e">
        <f>IF(AND($BC195=0,C195=Tab_sel!$P$7,$D195=Tab_sel!$O$24,$E195=Tab_sel!$B$33),1,"")</f>
        <v>#N/A</v>
      </c>
      <c r="BG195" s="322" t="e">
        <f>IF(AND($BC195=0,C195=Tab_sel!$P$7,$D195=Tab_sel!$O$24,$E195=Tab_sel!$B$34),1,"")</f>
        <v>#N/A</v>
      </c>
      <c r="BH195" s="322" t="e">
        <f>IF(AND($BC195=0,C195=Tab_sel!$P$7,$D195=Tab_sel!$O$24,$E195=Tab_sel!$B$35),1,"")</f>
        <v>#N/A</v>
      </c>
      <c r="BI195" s="343" t="e">
        <f>IF(AND($BC195=0,C195=Tab_sel!$P$7,$D195=Tab_sel!$O$24,$E195=Tab_sel!$B$36),1,"")</f>
        <v>#N/A</v>
      </c>
      <c r="BJ195" s="342" t="e">
        <f>IF(AND($BC195=0,$C195=Tab_sel!$P$7,$D195=Tab_sel!$O$24,$E195=Tab_sel!$N$31,$F195=Tab_sel!$B$40),1,"")</f>
        <v>#N/A</v>
      </c>
      <c r="BK195" s="322" t="e">
        <f>IF(AND($BC195=0,$C195=Tab_sel!$P$7,$D195=Tab_sel!$O$24,$E195=Tab_sel!$N$31,$F195=Tab_sel!$B$41),1,"")</f>
        <v>#N/A</v>
      </c>
      <c r="BL195" s="322" t="e">
        <f>IF(AND($BC195=0,$C195=Tab_sel!$P$7,$D195=Tab_sel!$O$24,$E195=Tab_sel!$N$31,$F195=Tab_sel!$B$42),1,"")</f>
        <v>#N/A</v>
      </c>
      <c r="BM195" s="322" t="e">
        <f>IF(AND($BC195=0,$C195=Tab_sel!$P$7,$D195=Tab_sel!$O$24,$E195=Tab_sel!$N$31,$F195=Tab_sel!$B$43),1,"")</f>
        <v>#N/A</v>
      </c>
      <c r="BN195" s="322" t="e">
        <f>IF(AND($BC195=0,$C195=Tab_sel!$P$7,$D195=Tab_sel!$O$24,$E195=Tab_sel!$N$31,$F195=Tab_sel!$B$44),1,"")</f>
        <v>#N/A</v>
      </c>
      <c r="BO195" s="343" t="e">
        <f>IF(AND($BC195=0,$C195=Tab_sel!$P$7,$D195=Tab_sel!$O$24,$E195=Tab_sel!$N$31,$F195=Tab_sel!$B$45),1,"")</f>
        <v>#N/A</v>
      </c>
      <c r="BP195" s="354" t="e">
        <f>IF(AND($BC195=0,$C195=Tab_sel!$P$7,$D195=Tab_sel!$O$24,$E195=Tab_sel!$N$31,$F195=Tab_sel!$N$40,$I195=Tab_sel!$B$61),1,"")</f>
        <v>#N/A</v>
      </c>
      <c r="BQ195" s="355" t="e">
        <f>IF(AND($BC195=0,$C195=Tab_sel!$P$7,$D195=Tab_sel!$O$24,$E195=Tab_sel!$N$31,$F195=Tab_sel!$N$40,$I195=Tab_sel!$B$62),1,"")</f>
        <v>#N/A</v>
      </c>
      <c r="BR195" s="355" t="e">
        <f>IF(AND($BC195=0,$C195=Tab_sel!$P$7,$D195=Tab_sel!$O$24,$E195=Tab_sel!$N$31,$F195=Tab_sel!$N$40,$I195=Tab_sel!$B$63),1,"")</f>
        <v>#N/A</v>
      </c>
      <c r="BS195" s="355" t="e">
        <f>IF(AND($BC195=0,$C195=Tab_sel!$P$7,$D195=Tab_sel!$O$24,$E195=Tab_sel!$N$31,$F195=Tab_sel!$N$40,$I195=Tab_sel!$B$64),1,"")</f>
        <v>#N/A</v>
      </c>
      <c r="BT195" s="356" t="e">
        <f>IF(AND($BC195=0,$C195=Tab_sel!$P$7,$D195=Tab_sel!$O$24,$E195=Tab_sel!$N$31,$F195=Tab_sel!$N$40,$I195=Tab_sel!$B$65),1,"")</f>
        <v>#N/A</v>
      </c>
      <c r="BU195" s="856" t="e">
        <f>IF(AND($BC195=0,$C195=Tab_sel!$P$7,$D195=Tab_sel!$O$24,$E195=Tab_sel!$N$31,$F195=Tab_sel!$N$40,$I195=Tab_sel!$P$61,$H195=Tab_sel!$B$77),1,"")</f>
        <v>#N/A</v>
      </c>
      <c r="BV195" s="883" t="e">
        <f>IF(AND($BC195=0,$C195=Tab_sel!$P$7,$D195=Tab_sel!$O$24,$E195=Tab_sel!$N$31,$F195=Tab_sel!$N$40,$I195=Tab_sel!$P$61,$H195=Tab_sel!$B$78),1,"")</f>
        <v>#N/A</v>
      </c>
      <c r="BW195" s="883" t="e">
        <f>IF(AND($BC195=0,$C195=Tab_sel!$P$7,$D195=Tab_sel!$O$24,$E195=Tab_sel!$N$31,$F195=Tab_sel!$N$40,$I195=Tab_sel!$P$61,$H195=Tab_sel!$B$79),1,"")</f>
        <v>#N/A</v>
      </c>
      <c r="BX195" s="883" t="e">
        <f>IF(AND($BC195=0,$C195=Tab_sel!$P$7,$D195=Tab_sel!$O$24,$E195=Tab_sel!$N$31,$F195=Tab_sel!$N$40,$I195=Tab_sel!$P$61,$H195=Tab_sel!$B$80),1,"")</f>
        <v>#N/A</v>
      </c>
      <c r="BY195" s="883" t="e">
        <f>IF(AND($BC195=0,$C195=Tab_sel!$P$7,$D195=Tab_sel!$O$24,$E195=Tab_sel!$N$31,$F195=Tab_sel!$N$40,$I195=Tab_sel!$P$61,$H195=Tab_sel!$B$81),1,"")</f>
        <v>#N/A</v>
      </c>
      <c r="BZ195" s="857" t="e">
        <f>IF(AND($BC195=0,$C195=Tab_sel!$P$7,$D195=Tab_sel!$O$24,$E195=Tab_sel!$N$31,$F195=Tab_sel!$N$40,$I195=Tab_sel!$P$61,$H195=Tab_sel!$B$82),1,"")</f>
        <v>#N/A</v>
      </c>
      <c r="CA195" s="359"/>
      <c r="CC195">
        <f t="shared" si="77"/>
        <v>0</v>
      </c>
      <c r="CD195" s="882">
        <f t="shared" si="78"/>
        <v>0</v>
      </c>
      <c r="CE195" s="882">
        <f t="shared" si="79"/>
        <v>0</v>
      </c>
      <c r="CH195" t="s">
        <v>2617</v>
      </c>
    </row>
    <row r="196" spans="2:86" ht="44.25" customHeight="1" x14ac:dyDescent="0.25">
      <c r="B196" s="791" t="s">
        <v>1516</v>
      </c>
      <c r="C196" s="771" t="s">
        <v>53</v>
      </c>
      <c r="D196" s="772" t="s">
        <v>23</v>
      </c>
      <c r="E196" s="771" t="str">
        <f>Msl</f>
        <v>Media support de logiciel</v>
      </c>
      <c r="F196" s="773" t="str">
        <f>Crfx</f>
        <v>Création de faux</v>
      </c>
      <c r="G196" s="768" t="s">
        <v>2523</v>
      </c>
      <c r="H196" s="768"/>
      <c r="I196" s="771" t="s">
        <v>1204</v>
      </c>
      <c r="J196" s="877" t="s">
        <v>2374</v>
      </c>
      <c r="K196" s="769" t="s">
        <v>2453</v>
      </c>
      <c r="L196" s="769"/>
      <c r="M196" s="823"/>
      <c r="N196" s="767"/>
      <c r="O196" s="767"/>
      <c r="P196" s="772"/>
      <c r="Q196" s="803"/>
      <c r="R196" s="803"/>
      <c r="S196" s="804"/>
      <c r="T196" s="772"/>
      <c r="U196" s="772"/>
      <c r="V196" s="805"/>
      <c r="W196" s="767"/>
      <c r="X196" s="767"/>
      <c r="Y196" s="772"/>
      <c r="Z196" s="772"/>
      <c r="AA196" s="772"/>
      <c r="AB196" s="805"/>
      <c r="AC196" s="806"/>
      <c r="AD196" s="806"/>
      <c r="AE196" s="806"/>
      <c r="AF196" s="806"/>
      <c r="AG196" s="806"/>
      <c r="AH196" s="805"/>
      <c r="AI196" s="807" t="str">
        <f t="shared" si="80"/>
        <v/>
      </c>
      <c r="AJ196" s="805"/>
      <c r="AK196" s="359"/>
      <c r="AM196" t="str">
        <f t="shared" si="63"/>
        <v/>
      </c>
      <c r="AN196">
        <f t="shared" si="64"/>
        <v>0</v>
      </c>
      <c r="AW196" s="882">
        <f t="shared" si="76"/>
        <v>0</v>
      </c>
      <c r="AX196" s="882">
        <f t="shared" si="81"/>
        <v>1</v>
      </c>
      <c r="AY196" s="882">
        <f t="shared" si="82"/>
        <v>1</v>
      </c>
      <c r="AZ196" s="927">
        <f t="shared" si="83"/>
        <v>1</v>
      </c>
      <c r="BA196" s="882">
        <v>1</v>
      </c>
      <c r="BB196" s="925">
        <f t="shared" si="65"/>
        <v>0</v>
      </c>
      <c r="BC196" s="882">
        <f t="shared" si="84"/>
        <v>1</v>
      </c>
      <c r="BD196" s="342" t="e">
        <f>IF(AND($BC196=0,C196=Tab_sel!$P$7,$D196=Tab_sel!$O$24,$E196=Tab_sel!$B$31),1,"")</f>
        <v>#N/A</v>
      </c>
      <c r="BE196" s="322" t="e">
        <f>IF(AND($BC196=0,C196=Tab_sel!$P$7,$D196=Tab_sel!$O$24,$E196=Tab_sel!$B$32),1,"")</f>
        <v>#N/A</v>
      </c>
      <c r="BF196" s="322" t="e">
        <f>IF(AND($BC196=0,C196=Tab_sel!$P$7,$D196=Tab_sel!$O$24,$E196=Tab_sel!$B$33),1,"")</f>
        <v>#N/A</v>
      </c>
      <c r="BG196" s="322" t="e">
        <f>IF(AND($BC196=0,C196=Tab_sel!$P$7,$D196=Tab_sel!$O$24,$E196=Tab_sel!$B$34),1,"")</f>
        <v>#N/A</v>
      </c>
      <c r="BH196" s="322" t="e">
        <f>IF(AND($BC196=0,C196=Tab_sel!$P$7,$D196=Tab_sel!$O$24,$E196=Tab_sel!$B$35),1,"")</f>
        <v>#N/A</v>
      </c>
      <c r="BI196" s="343" t="e">
        <f>IF(AND($BC196=0,C196=Tab_sel!$P$7,$D196=Tab_sel!$O$24,$E196=Tab_sel!$B$36),1,"")</f>
        <v>#N/A</v>
      </c>
      <c r="BJ196" s="342" t="e">
        <f>IF(AND($BC196=0,$C196=Tab_sel!$P$7,$D196=Tab_sel!$O$24,$E196=Tab_sel!$N$31,$F196=Tab_sel!$B$40),1,"")</f>
        <v>#N/A</v>
      </c>
      <c r="BK196" s="322" t="e">
        <f>IF(AND($BC196=0,$C196=Tab_sel!$P$7,$D196=Tab_sel!$O$24,$E196=Tab_sel!$N$31,$F196=Tab_sel!$B$41),1,"")</f>
        <v>#N/A</v>
      </c>
      <c r="BL196" s="322" t="e">
        <f>IF(AND($BC196=0,$C196=Tab_sel!$P$7,$D196=Tab_sel!$O$24,$E196=Tab_sel!$N$31,$F196=Tab_sel!$B$42),1,"")</f>
        <v>#N/A</v>
      </c>
      <c r="BM196" s="322" t="e">
        <f>IF(AND($BC196=0,$C196=Tab_sel!$P$7,$D196=Tab_sel!$O$24,$E196=Tab_sel!$N$31,$F196=Tab_sel!$B$43),1,"")</f>
        <v>#N/A</v>
      </c>
      <c r="BN196" s="322" t="e">
        <f>IF(AND($BC196=0,$C196=Tab_sel!$P$7,$D196=Tab_sel!$O$24,$E196=Tab_sel!$N$31,$F196=Tab_sel!$B$44),1,"")</f>
        <v>#N/A</v>
      </c>
      <c r="BO196" s="343" t="e">
        <f>IF(AND($BC196=0,$C196=Tab_sel!$P$7,$D196=Tab_sel!$O$24,$E196=Tab_sel!$N$31,$F196=Tab_sel!$B$45),1,"")</f>
        <v>#N/A</v>
      </c>
      <c r="BP196" s="354" t="e">
        <f>IF(AND($BC196=0,$C196=Tab_sel!$P$7,$D196=Tab_sel!$O$24,$E196=Tab_sel!$N$31,$F196=Tab_sel!$N$40,$I196=Tab_sel!$B$61),1,"")</f>
        <v>#N/A</v>
      </c>
      <c r="BQ196" s="355" t="e">
        <f>IF(AND($BC196=0,$C196=Tab_sel!$P$7,$D196=Tab_sel!$O$24,$E196=Tab_sel!$N$31,$F196=Tab_sel!$N$40,$I196=Tab_sel!$B$62),1,"")</f>
        <v>#N/A</v>
      </c>
      <c r="BR196" s="355" t="e">
        <f>IF(AND($BC196=0,$C196=Tab_sel!$P$7,$D196=Tab_sel!$O$24,$E196=Tab_sel!$N$31,$F196=Tab_sel!$N$40,$I196=Tab_sel!$B$63),1,"")</f>
        <v>#N/A</v>
      </c>
      <c r="BS196" s="355" t="e">
        <f>IF(AND($BC196=0,$C196=Tab_sel!$P$7,$D196=Tab_sel!$O$24,$E196=Tab_sel!$N$31,$F196=Tab_sel!$N$40,$I196=Tab_sel!$B$64),1,"")</f>
        <v>#N/A</v>
      </c>
      <c r="BT196" s="356" t="e">
        <f>IF(AND($BC196=0,$C196=Tab_sel!$P$7,$D196=Tab_sel!$O$24,$E196=Tab_sel!$N$31,$F196=Tab_sel!$N$40,$I196=Tab_sel!$B$65),1,"")</f>
        <v>#N/A</v>
      </c>
      <c r="BU196" s="856" t="e">
        <f>IF(AND($BC196=0,$C196=Tab_sel!$P$7,$D196=Tab_sel!$O$24,$E196=Tab_sel!$N$31,$F196=Tab_sel!$N$40,$I196=Tab_sel!$P$61,$H196=Tab_sel!$B$77),1,"")</f>
        <v>#N/A</v>
      </c>
      <c r="BV196" s="883" t="e">
        <f>IF(AND($BC196=0,$C196=Tab_sel!$P$7,$D196=Tab_sel!$O$24,$E196=Tab_sel!$N$31,$F196=Tab_sel!$N$40,$I196=Tab_sel!$P$61,$H196=Tab_sel!$B$78),1,"")</f>
        <v>#N/A</v>
      </c>
      <c r="BW196" s="883" t="e">
        <f>IF(AND($BC196=0,$C196=Tab_sel!$P$7,$D196=Tab_sel!$O$24,$E196=Tab_sel!$N$31,$F196=Tab_sel!$N$40,$I196=Tab_sel!$P$61,$H196=Tab_sel!$B$79),1,"")</f>
        <v>#N/A</v>
      </c>
      <c r="BX196" s="883" t="e">
        <f>IF(AND($BC196=0,$C196=Tab_sel!$P$7,$D196=Tab_sel!$O$24,$E196=Tab_sel!$N$31,$F196=Tab_sel!$N$40,$I196=Tab_sel!$P$61,$H196=Tab_sel!$B$80),1,"")</f>
        <v>#N/A</v>
      </c>
      <c r="BY196" s="883" t="e">
        <f>IF(AND($BC196=0,$C196=Tab_sel!$P$7,$D196=Tab_sel!$O$24,$E196=Tab_sel!$N$31,$F196=Tab_sel!$N$40,$I196=Tab_sel!$P$61,$H196=Tab_sel!$B$81),1,"")</f>
        <v>#N/A</v>
      </c>
      <c r="BZ196" s="857" t="e">
        <f>IF(AND($BC196=0,$C196=Tab_sel!$P$7,$D196=Tab_sel!$O$24,$E196=Tab_sel!$N$31,$F196=Tab_sel!$N$40,$I196=Tab_sel!$P$61,$H196=Tab_sel!$B$82),1,"")</f>
        <v>#N/A</v>
      </c>
      <c r="CA196" s="359"/>
      <c r="CC196">
        <f t="shared" si="77"/>
        <v>0</v>
      </c>
      <c r="CD196" s="882">
        <f t="shared" si="78"/>
        <v>0</v>
      </c>
      <c r="CE196" s="882">
        <f t="shared" si="79"/>
        <v>0</v>
      </c>
      <c r="CG196" t="s">
        <v>2618</v>
      </c>
      <c r="CH196" t="s">
        <v>2678</v>
      </c>
    </row>
    <row r="197" spans="2:86" ht="44.25" customHeight="1" x14ac:dyDescent="0.25">
      <c r="B197" s="791" t="s">
        <v>2426</v>
      </c>
      <c r="C197" s="874" t="s">
        <v>53</v>
      </c>
      <c r="D197" s="875" t="s">
        <v>23</v>
      </c>
      <c r="E197" s="771" t="str">
        <f>Msl</f>
        <v>Media support de logiciel</v>
      </c>
      <c r="F197" s="773" t="str">
        <f>Crfx</f>
        <v>Création de faux</v>
      </c>
      <c r="G197" s="768" t="s">
        <v>2523</v>
      </c>
      <c r="H197" s="876" t="s">
        <v>2524</v>
      </c>
      <c r="I197" s="874" t="s">
        <v>1204</v>
      </c>
      <c r="J197" s="877" t="s">
        <v>2374</v>
      </c>
      <c r="K197" s="877" t="s">
        <v>1309</v>
      </c>
      <c r="L197" s="877"/>
      <c r="M197" s="823"/>
      <c r="N197" s="851"/>
      <c r="O197" s="851"/>
      <c r="P197" s="875"/>
      <c r="Q197" s="803"/>
      <c r="R197" s="803"/>
      <c r="S197" s="804"/>
      <c r="T197" s="875"/>
      <c r="U197" s="875"/>
      <c r="V197" s="805"/>
      <c r="W197" s="851"/>
      <c r="X197" s="851"/>
      <c r="Y197" s="875"/>
      <c r="Z197" s="875"/>
      <c r="AA197" s="875"/>
      <c r="AB197" s="805"/>
      <c r="AC197" s="806"/>
      <c r="AD197" s="806"/>
      <c r="AE197" s="806"/>
      <c r="AF197" s="806"/>
      <c r="AG197" s="806"/>
      <c r="AH197" s="805"/>
      <c r="AI197" s="807" t="str">
        <f t="shared" si="80"/>
        <v/>
      </c>
      <c r="AJ197" s="805"/>
      <c r="AK197" s="359"/>
      <c r="AM197" t="str">
        <f t="shared" si="63"/>
        <v/>
      </c>
      <c r="AN197">
        <f t="shared" si="64"/>
        <v>0</v>
      </c>
      <c r="AV197" s="882"/>
      <c r="AW197" s="882">
        <f t="shared" si="76"/>
        <v>0</v>
      </c>
      <c r="AX197" s="882">
        <f t="shared" si="81"/>
        <v>1</v>
      </c>
      <c r="AY197" s="882">
        <f t="shared" si="82"/>
        <v>1</v>
      </c>
      <c r="AZ197" s="927">
        <f t="shared" si="83"/>
        <v>1</v>
      </c>
      <c r="BA197" s="882">
        <v>0</v>
      </c>
      <c r="BB197" s="925">
        <f t="shared" si="65"/>
        <v>0</v>
      </c>
      <c r="BC197" s="882">
        <f t="shared" si="84"/>
        <v>1</v>
      </c>
      <c r="BD197" s="342" t="e">
        <f>IF(AND($BC197=0,C197=Tab_sel!$P$7,$D197=Tab_sel!$O$24,$E197=Tab_sel!$B$31),1,"")</f>
        <v>#N/A</v>
      </c>
      <c r="BE197" s="322" t="e">
        <f>IF(AND($BC197=0,C197=Tab_sel!$P$7,$D197=Tab_sel!$O$24,$E197=Tab_sel!$B$32),1,"")</f>
        <v>#N/A</v>
      </c>
      <c r="BF197" s="322" t="e">
        <f>IF(AND($BC197=0,C197=Tab_sel!$P$7,$D197=Tab_sel!$O$24,$E197=Tab_sel!$B$33),1,"")</f>
        <v>#N/A</v>
      </c>
      <c r="BG197" s="322" t="e">
        <f>IF(AND($BC197=0,C197=Tab_sel!$P$7,$D197=Tab_sel!$O$24,$E197=Tab_sel!$B$34),1,"")</f>
        <v>#N/A</v>
      </c>
      <c r="BH197" s="322" t="e">
        <f>IF(AND($BC197=0,C197=Tab_sel!$P$7,$D197=Tab_sel!$O$24,$E197=Tab_sel!$B$35),1,"")</f>
        <v>#N/A</v>
      </c>
      <c r="BI197" s="343" t="e">
        <f>IF(AND($BC197=0,C197=Tab_sel!$P$7,$D197=Tab_sel!$O$24,$E197=Tab_sel!$B$36),1,"")</f>
        <v>#N/A</v>
      </c>
      <c r="BJ197" s="342" t="e">
        <f>IF(AND($BC197=0,$C197=Tab_sel!$P$7,$D197=Tab_sel!$O$24,$E197=Tab_sel!$N$31,$F197=Tab_sel!$B$40),1,"")</f>
        <v>#N/A</v>
      </c>
      <c r="BK197" s="322" t="e">
        <f>IF(AND($BC197=0,$C197=Tab_sel!$P$7,$D197=Tab_sel!$O$24,$E197=Tab_sel!$N$31,$F197=Tab_sel!$B$41),1,"")</f>
        <v>#N/A</v>
      </c>
      <c r="BL197" s="322" t="e">
        <f>IF(AND($BC197=0,$C197=Tab_sel!$P$7,$D197=Tab_sel!$O$24,$E197=Tab_sel!$N$31,$F197=Tab_sel!$B$42),1,"")</f>
        <v>#N/A</v>
      </c>
      <c r="BM197" s="322" t="e">
        <f>IF(AND($BC197=0,$C197=Tab_sel!$P$7,$D197=Tab_sel!$O$24,$E197=Tab_sel!$N$31,$F197=Tab_sel!$B$43),1,"")</f>
        <v>#N/A</v>
      </c>
      <c r="BN197" s="322" t="e">
        <f>IF(AND($BC197=0,$C197=Tab_sel!$P$7,$D197=Tab_sel!$O$24,$E197=Tab_sel!$N$31,$F197=Tab_sel!$B$44),1,"")</f>
        <v>#N/A</v>
      </c>
      <c r="BO197" s="343" t="e">
        <f>IF(AND($BC197=0,$C197=Tab_sel!$P$7,$D197=Tab_sel!$O$24,$E197=Tab_sel!$N$31,$F197=Tab_sel!$B$45),1,"")</f>
        <v>#N/A</v>
      </c>
      <c r="BP197" s="354" t="e">
        <f>IF(AND($BC197=0,$C197=Tab_sel!$P$7,$D197=Tab_sel!$O$24,$E197=Tab_sel!$N$31,$F197=Tab_sel!$N$40,$I197=Tab_sel!$B$61),1,"")</f>
        <v>#N/A</v>
      </c>
      <c r="BQ197" s="355" t="e">
        <f>IF(AND($BC197=0,$C197=Tab_sel!$P$7,$D197=Tab_sel!$O$24,$E197=Tab_sel!$N$31,$F197=Tab_sel!$N$40,$I197=Tab_sel!$B$62),1,"")</f>
        <v>#N/A</v>
      </c>
      <c r="BR197" s="355" t="e">
        <f>IF(AND($BC197=0,$C197=Tab_sel!$P$7,$D197=Tab_sel!$O$24,$E197=Tab_sel!$N$31,$F197=Tab_sel!$N$40,$I197=Tab_sel!$B$63),1,"")</f>
        <v>#N/A</v>
      </c>
      <c r="BS197" s="355" t="e">
        <f>IF(AND($BC197=0,$C197=Tab_sel!$P$7,$D197=Tab_sel!$O$24,$E197=Tab_sel!$N$31,$F197=Tab_sel!$N$40,$I197=Tab_sel!$B$64),1,"")</f>
        <v>#N/A</v>
      </c>
      <c r="BT197" s="356" t="e">
        <f>IF(AND($BC197=0,$C197=Tab_sel!$P$7,$D197=Tab_sel!$O$24,$E197=Tab_sel!$N$31,$F197=Tab_sel!$N$40,$I197=Tab_sel!$B$65),1,"")</f>
        <v>#N/A</v>
      </c>
      <c r="BU197" s="856" t="e">
        <f>IF(AND($BC197=0,$C197=Tab_sel!$P$7,$D197=Tab_sel!$O$24,$E197=Tab_sel!$N$31,$F197=Tab_sel!$N$40,$I197=Tab_sel!$P$61,$H197=Tab_sel!$B$77),1,"")</f>
        <v>#N/A</v>
      </c>
      <c r="BV197" s="883" t="e">
        <f>IF(AND($BC197=0,$C197=Tab_sel!$P$7,$D197=Tab_sel!$O$24,$E197=Tab_sel!$N$31,$F197=Tab_sel!$N$40,$I197=Tab_sel!$P$61,$H197=Tab_sel!$B$78),1,"")</f>
        <v>#N/A</v>
      </c>
      <c r="BW197" s="883" t="e">
        <f>IF(AND($BC197=0,$C197=Tab_sel!$P$7,$D197=Tab_sel!$O$24,$E197=Tab_sel!$N$31,$F197=Tab_sel!$N$40,$I197=Tab_sel!$P$61,$H197=Tab_sel!$B$79),1,"")</f>
        <v>#N/A</v>
      </c>
      <c r="BX197" s="883" t="e">
        <f>IF(AND($BC197=0,$C197=Tab_sel!$P$7,$D197=Tab_sel!$O$24,$E197=Tab_sel!$N$31,$F197=Tab_sel!$N$40,$I197=Tab_sel!$P$61,$H197=Tab_sel!$B$80),1,"")</f>
        <v>#N/A</v>
      </c>
      <c r="BY197" s="883" t="e">
        <f>IF(AND($BC197=0,$C197=Tab_sel!$P$7,$D197=Tab_sel!$O$24,$E197=Tab_sel!$N$31,$F197=Tab_sel!$N$40,$I197=Tab_sel!$P$61,$H197=Tab_sel!$B$81),1,"")</f>
        <v>#N/A</v>
      </c>
      <c r="BZ197" s="857" t="e">
        <f>IF(AND($BC197=0,$C197=Tab_sel!$P$7,$D197=Tab_sel!$O$24,$E197=Tab_sel!$N$31,$F197=Tab_sel!$N$40,$I197=Tab_sel!$P$61,$H197=Tab_sel!$B$82),1,"")</f>
        <v>#N/A</v>
      </c>
      <c r="CA197" s="359"/>
      <c r="CC197">
        <f t="shared" si="77"/>
        <v>0</v>
      </c>
      <c r="CD197" s="882">
        <f t="shared" si="78"/>
        <v>0</v>
      </c>
      <c r="CE197" s="882">
        <f t="shared" si="79"/>
        <v>0</v>
      </c>
      <c r="CG197" t="s">
        <v>2618</v>
      </c>
      <c r="CH197" t="s">
        <v>2679</v>
      </c>
    </row>
    <row r="198" spans="2:86" ht="44.25" customHeight="1" x14ac:dyDescent="0.25">
      <c r="B198" s="791" t="s">
        <v>2427</v>
      </c>
      <c r="C198" s="874" t="s">
        <v>53</v>
      </c>
      <c r="D198" s="875" t="s">
        <v>23</v>
      </c>
      <c r="E198" s="771" t="str">
        <f>Msl</f>
        <v>Media support de logiciel</v>
      </c>
      <c r="F198" s="773" t="str">
        <f>Crfx</f>
        <v>Création de faux</v>
      </c>
      <c r="G198" s="768" t="s">
        <v>2523</v>
      </c>
      <c r="H198" s="876" t="s">
        <v>2288</v>
      </c>
      <c r="I198" s="874" t="s">
        <v>1204</v>
      </c>
      <c r="J198" s="877" t="s">
        <v>2374</v>
      </c>
      <c r="K198" s="877" t="s">
        <v>2453</v>
      </c>
      <c r="L198" s="877"/>
      <c r="M198" s="823"/>
      <c r="N198" s="851"/>
      <c r="O198" s="851"/>
      <c r="P198" s="875"/>
      <c r="Q198" s="803"/>
      <c r="R198" s="803"/>
      <c r="S198" s="804"/>
      <c r="T198" s="875"/>
      <c r="U198" s="875"/>
      <c r="V198" s="805"/>
      <c r="W198" s="851"/>
      <c r="X198" s="851"/>
      <c r="Y198" s="875"/>
      <c r="Z198" s="875"/>
      <c r="AA198" s="875"/>
      <c r="AB198" s="805"/>
      <c r="AC198" s="806"/>
      <c r="AD198" s="806"/>
      <c r="AE198" s="806"/>
      <c r="AF198" s="806"/>
      <c r="AG198" s="806"/>
      <c r="AH198" s="805"/>
      <c r="AI198" s="807" t="str">
        <f t="shared" si="80"/>
        <v/>
      </c>
      <c r="AJ198" s="805"/>
      <c r="AK198" s="359"/>
      <c r="AM198" t="str">
        <f t="shared" si="63"/>
        <v/>
      </c>
      <c r="AN198">
        <f t="shared" si="64"/>
        <v>0</v>
      </c>
      <c r="AV198" s="882"/>
      <c r="AW198" s="882">
        <f t="shared" si="76"/>
        <v>0</v>
      </c>
      <c r="AX198" s="882">
        <f t="shared" si="81"/>
        <v>1</v>
      </c>
      <c r="AY198" s="882">
        <f t="shared" si="82"/>
        <v>1</v>
      </c>
      <c r="AZ198" s="927">
        <f t="shared" si="83"/>
        <v>1</v>
      </c>
      <c r="BA198" s="882">
        <v>0</v>
      </c>
      <c r="BB198" s="925">
        <f t="shared" si="65"/>
        <v>0</v>
      </c>
      <c r="BC198" s="882">
        <f t="shared" si="84"/>
        <v>1</v>
      </c>
      <c r="BD198" s="342" t="e">
        <f>IF(AND($BC198=0,C198=Tab_sel!$P$7,$D198=Tab_sel!$O$24,$E198=Tab_sel!$B$31),1,"")</f>
        <v>#N/A</v>
      </c>
      <c r="BE198" s="322" t="e">
        <f>IF(AND($BC198=0,C198=Tab_sel!$P$7,$D198=Tab_sel!$O$24,$E198=Tab_sel!$B$32),1,"")</f>
        <v>#N/A</v>
      </c>
      <c r="BF198" s="322" t="e">
        <f>IF(AND($BC198=0,C198=Tab_sel!$P$7,$D198=Tab_sel!$O$24,$E198=Tab_sel!$B$33),1,"")</f>
        <v>#N/A</v>
      </c>
      <c r="BG198" s="322" t="e">
        <f>IF(AND($BC198=0,C198=Tab_sel!$P$7,$D198=Tab_sel!$O$24,$E198=Tab_sel!$B$34),1,"")</f>
        <v>#N/A</v>
      </c>
      <c r="BH198" s="322" t="e">
        <f>IF(AND($BC198=0,C198=Tab_sel!$P$7,$D198=Tab_sel!$O$24,$E198=Tab_sel!$B$35),1,"")</f>
        <v>#N/A</v>
      </c>
      <c r="BI198" s="343" t="e">
        <f>IF(AND($BC198=0,C198=Tab_sel!$P$7,$D198=Tab_sel!$O$24,$E198=Tab_sel!$B$36),1,"")</f>
        <v>#N/A</v>
      </c>
      <c r="BJ198" s="342" t="e">
        <f>IF(AND($BC198=0,$C198=Tab_sel!$P$7,$D198=Tab_sel!$O$24,$E198=Tab_sel!$N$31,$F198=Tab_sel!$B$40),1,"")</f>
        <v>#N/A</v>
      </c>
      <c r="BK198" s="322" t="e">
        <f>IF(AND($BC198=0,$C198=Tab_sel!$P$7,$D198=Tab_sel!$O$24,$E198=Tab_sel!$N$31,$F198=Tab_sel!$B$41),1,"")</f>
        <v>#N/A</v>
      </c>
      <c r="BL198" s="322" t="e">
        <f>IF(AND($BC198=0,$C198=Tab_sel!$P$7,$D198=Tab_sel!$O$24,$E198=Tab_sel!$N$31,$F198=Tab_sel!$B$42),1,"")</f>
        <v>#N/A</v>
      </c>
      <c r="BM198" s="322" t="e">
        <f>IF(AND($BC198=0,$C198=Tab_sel!$P$7,$D198=Tab_sel!$O$24,$E198=Tab_sel!$N$31,$F198=Tab_sel!$B$43),1,"")</f>
        <v>#N/A</v>
      </c>
      <c r="BN198" s="322" t="e">
        <f>IF(AND($BC198=0,$C198=Tab_sel!$P$7,$D198=Tab_sel!$O$24,$E198=Tab_sel!$N$31,$F198=Tab_sel!$B$44),1,"")</f>
        <v>#N/A</v>
      </c>
      <c r="BO198" s="343" t="e">
        <f>IF(AND($BC198=0,$C198=Tab_sel!$P$7,$D198=Tab_sel!$O$24,$E198=Tab_sel!$N$31,$F198=Tab_sel!$B$45),1,"")</f>
        <v>#N/A</v>
      </c>
      <c r="BP198" s="354" t="e">
        <f>IF(AND($BC198=0,$C198=Tab_sel!$P$7,$D198=Tab_sel!$O$24,$E198=Tab_sel!$N$31,$F198=Tab_sel!$N$40,$I198=Tab_sel!$B$61),1,"")</f>
        <v>#N/A</v>
      </c>
      <c r="BQ198" s="355" t="e">
        <f>IF(AND($BC198=0,$C198=Tab_sel!$P$7,$D198=Tab_sel!$O$24,$E198=Tab_sel!$N$31,$F198=Tab_sel!$N$40,$I198=Tab_sel!$B$62),1,"")</f>
        <v>#N/A</v>
      </c>
      <c r="BR198" s="355" t="e">
        <f>IF(AND($BC198=0,$C198=Tab_sel!$P$7,$D198=Tab_sel!$O$24,$E198=Tab_sel!$N$31,$F198=Tab_sel!$N$40,$I198=Tab_sel!$B$63),1,"")</f>
        <v>#N/A</v>
      </c>
      <c r="BS198" s="355" t="e">
        <f>IF(AND($BC198=0,$C198=Tab_sel!$P$7,$D198=Tab_sel!$O$24,$E198=Tab_sel!$N$31,$F198=Tab_sel!$N$40,$I198=Tab_sel!$B$64),1,"")</f>
        <v>#N/A</v>
      </c>
      <c r="BT198" s="356" t="e">
        <f>IF(AND($BC198=0,$C198=Tab_sel!$P$7,$D198=Tab_sel!$O$24,$E198=Tab_sel!$N$31,$F198=Tab_sel!$N$40,$I198=Tab_sel!$B$65),1,"")</f>
        <v>#N/A</v>
      </c>
      <c r="BU198" s="856" t="e">
        <f>IF(AND($BC198=0,$C198=Tab_sel!$P$7,$D198=Tab_sel!$O$24,$E198=Tab_sel!$N$31,$F198=Tab_sel!$N$40,$I198=Tab_sel!$P$61,$H198=Tab_sel!$B$77),1,"")</f>
        <v>#N/A</v>
      </c>
      <c r="BV198" s="883" t="e">
        <f>IF(AND($BC198=0,$C198=Tab_sel!$P$7,$D198=Tab_sel!$O$24,$E198=Tab_sel!$N$31,$F198=Tab_sel!$N$40,$I198=Tab_sel!$P$61,$H198=Tab_sel!$B$78),1,"")</f>
        <v>#N/A</v>
      </c>
      <c r="BW198" s="883" t="e">
        <f>IF(AND($BC198=0,$C198=Tab_sel!$P$7,$D198=Tab_sel!$O$24,$E198=Tab_sel!$N$31,$F198=Tab_sel!$N$40,$I198=Tab_sel!$P$61,$H198=Tab_sel!$B$79),1,"")</f>
        <v>#N/A</v>
      </c>
      <c r="BX198" s="883" t="e">
        <f>IF(AND($BC198=0,$C198=Tab_sel!$P$7,$D198=Tab_sel!$O$24,$E198=Tab_sel!$N$31,$F198=Tab_sel!$N$40,$I198=Tab_sel!$P$61,$H198=Tab_sel!$B$80),1,"")</f>
        <v>#N/A</v>
      </c>
      <c r="BY198" s="883" t="e">
        <f>IF(AND($BC198=0,$C198=Tab_sel!$P$7,$D198=Tab_sel!$O$24,$E198=Tab_sel!$N$31,$F198=Tab_sel!$N$40,$I198=Tab_sel!$P$61,$H198=Tab_sel!$B$81),1,"")</f>
        <v>#N/A</v>
      </c>
      <c r="BZ198" s="857" t="e">
        <f>IF(AND($BC198=0,$C198=Tab_sel!$P$7,$D198=Tab_sel!$O$24,$E198=Tab_sel!$N$31,$F198=Tab_sel!$N$40,$I198=Tab_sel!$P$61,$H198=Tab_sel!$B$82),1,"")</f>
        <v>#N/A</v>
      </c>
      <c r="CA198" s="359"/>
      <c r="CC198">
        <f t="shared" si="77"/>
        <v>0</v>
      </c>
      <c r="CD198" s="882">
        <f t="shared" si="78"/>
        <v>0</v>
      </c>
      <c r="CE198" s="882">
        <f t="shared" si="79"/>
        <v>0</v>
      </c>
      <c r="CG198" t="s">
        <v>2618</v>
      </c>
      <c r="CH198" t="s">
        <v>2678</v>
      </c>
    </row>
    <row r="199" spans="2:86" ht="46.5" customHeight="1" x14ac:dyDescent="0.25">
      <c r="B199" s="791" t="s">
        <v>1517</v>
      </c>
      <c r="C199" s="771" t="s">
        <v>53</v>
      </c>
      <c r="D199" s="772" t="s">
        <v>23</v>
      </c>
      <c r="E199" s="771" t="str">
        <f>Equ</f>
        <v>Equipement de l'Infrastructure informatique</v>
      </c>
      <c r="F199" s="768" t="str">
        <f t="shared" ref="F199:F206" si="85">Altf</f>
        <v>Altération (non détectée) de fonction</v>
      </c>
      <c r="G199" s="768" t="s">
        <v>1110</v>
      </c>
      <c r="H199" s="768"/>
      <c r="I199" s="771" t="s">
        <v>1203</v>
      </c>
      <c r="J199" s="877" t="s">
        <v>2374</v>
      </c>
      <c r="K199" s="769" t="s">
        <v>1292</v>
      </c>
      <c r="L199" s="769"/>
      <c r="M199" s="788"/>
      <c r="N199" s="767"/>
      <c r="O199" s="767"/>
      <c r="P199" s="772"/>
      <c r="Q199" s="803"/>
      <c r="R199" s="803"/>
      <c r="S199" s="804"/>
      <c r="T199" s="772"/>
      <c r="U199" s="772"/>
      <c r="V199" s="805"/>
      <c r="W199" s="767"/>
      <c r="X199" s="767"/>
      <c r="Y199" s="772"/>
      <c r="Z199" s="772"/>
      <c r="AA199" s="772"/>
      <c r="AB199" s="805"/>
      <c r="AC199" s="806"/>
      <c r="AD199" s="806"/>
      <c r="AE199" s="806"/>
      <c r="AF199" s="806"/>
      <c r="AG199" s="806"/>
      <c r="AH199" s="805"/>
      <c r="AI199" s="807" t="str">
        <f t="shared" si="80"/>
        <v/>
      </c>
      <c r="AJ199" s="805"/>
      <c r="AK199" s="359"/>
      <c r="AM199" t="str">
        <f t="shared" si="63"/>
        <v/>
      </c>
      <c r="AN199">
        <f t="shared" si="64"/>
        <v>0</v>
      </c>
      <c r="AW199" s="882">
        <f t="shared" si="76"/>
        <v>0</v>
      </c>
      <c r="AX199" s="882">
        <f t="shared" si="81"/>
        <v>1</v>
      </c>
      <c r="AY199" s="882">
        <f t="shared" si="82"/>
        <v>1</v>
      </c>
      <c r="AZ199" s="927">
        <f t="shared" si="83"/>
        <v>1</v>
      </c>
      <c r="BA199" s="882">
        <v>1</v>
      </c>
      <c r="BB199" s="925">
        <f t="shared" si="65"/>
        <v>0</v>
      </c>
      <c r="BC199" s="882">
        <f t="shared" si="84"/>
        <v>1</v>
      </c>
      <c r="BD199" s="342" t="e">
        <f>IF(AND($BC199=0,C199=Tab_sel!$P$7,$D199=Tab_sel!$O$24,$E199=Tab_sel!$B$31),1,"")</f>
        <v>#N/A</v>
      </c>
      <c r="BE199" s="322" t="e">
        <f>IF(AND($BC199=0,C199=Tab_sel!$P$7,$D199=Tab_sel!$O$24,$E199=Tab_sel!$B$32),1,"")</f>
        <v>#N/A</v>
      </c>
      <c r="BF199" s="322" t="e">
        <f>IF(AND($BC199=0,C199=Tab_sel!$P$7,$D199=Tab_sel!$O$24,$E199=Tab_sel!$B$33),1,"")</f>
        <v>#N/A</v>
      </c>
      <c r="BG199" s="322" t="e">
        <f>IF(AND($BC199=0,C199=Tab_sel!$P$7,$D199=Tab_sel!$O$24,$E199=Tab_sel!$B$34),1,"")</f>
        <v>#N/A</v>
      </c>
      <c r="BH199" s="322" t="e">
        <f>IF(AND($BC199=0,C199=Tab_sel!$P$7,$D199=Tab_sel!$O$24,$E199=Tab_sel!$B$35),1,"")</f>
        <v>#N/A</v>
      </c>
      <c r="BI199" s="343" t="e">
        <f>IF(AND($BC199=0,C199=Tab_sel!$P$7,$D199=Tab_sel!$O$24,$E199=Tab_sel!$B$36),1,"")</f>
        <v>#N/A</v>
      </c>
      <c r="BJ199" s="342" t="e">
        <f>IF(AND($BC199=0,$C199=Tab_sel!$P$7,$D199=Tab_sel!$O$24,$E199=Tab_sel!$N$31,$F199=Tab_sel!$B$40),1,"")</f>
        <v>#N/A</v>
      </c>
      <c r="BK199" s="322" t="e">
        <f>IF(AND($BC199=0,$C199=Tab_sel!$P$7,$D199=Tab_sel!$O$24,$E199=Tab_sel!$N$31,$F199=Tab_sel!$B$41),1,"")</f>
        <v>#N/A</v>
      </c>
      <c r="BL199" s="322" t="e">
        <f>IF(AND($BC199=0,$C199=Tab_sel!$P$7,$D199=Tab_sel!$O$24,$E199=Tab_sel!$N$31,$F199=Tab_sel!$B$42),1,"")</f>
        <v>#N/A</v>
      </c>
      <c r="BM199" s="322" t="e">
        <f>IF(AND($BC199=0,$C199=Tab_sel!$P$7,$D199=Tab_sel!$O$24,$E199=Tab_sel!$N$31,$F199=Tab_sel!$B$43),1,"")</f>
        <v>#N/A</v>
      </c>
      <c r="BN199" s="322" t="e">
        <f>IF(AND($BC199=0,$C199=Tab_sel!$P$7,$D199=Tab_sel!$O$24,$E199=Tab_sel!$N$31,$F199=Tab_sel!$B$44),1,"")</f>
        <v>#N/A</v>
      </c>
      <c r="BO199" s="343" t="e">
        <f>IF(AND($BC199=0,$C199=Tab_sel!$P$7,$D199=Tab_sel!$O$24,$E199=Tab_sel!$N$31,$F199=Tab_sel!$B$45),1,"")</f>
        <v>#N/A</v>
      </c>
      <c r="BP199" s="354" t="e">
        <f>IF(AND($BC199=0,$C199=Tab_sel!$P$7,$D199=Tab_sel!$O$24,$E199=Tab_sel!$N$31,$F199=Tab_sel!$N$40,$I199=Tab_sel!$B$61),1,"")</f>
        <v>#N/A</v>
      </c>
      <c r="BQ199" s="355" t="e">
        <f>IF(AND($BC199=0,$C199=Tab_sel!$P$7,$D199=Tab_sel!$O$24,$E199=Tab_sel!$N$31,$F199=Tab_sel!$N$40,$I199=Tab_sel!$B$62),1,"")</f>
        <v>#N/A</v>
      </c>
      <c r="BR199" s="355" t="e">
        <f>IF(AND($BC199=0,$C199=Tab_sel!$P$7,$D199=Tab_sel!$O$24,$E199=Tab_sel!$N$31,$F199=Tab_sel!$N$40,$I199=Tab_sel!$B$63),1,"")</f>
        <v>#N/A</v>
      </c>
      <c r="BS199" s="355" t="e">
        <f>IF(AND($BC199=0,$C199=Tab_sel!$P$7,$D199=Tab_sel!$O$24,$E199=Tab_sel!$N$31,$F199=Tab_sel!$N$40,$I199=Tab_sel!$B$64),1,"")</f>
        <v>#N/A</v>
      </c>
      <c r="BT199" s="356" t="e">
        <f>IF(AND($BC199=0,$C199=Tab_sel!$P$7,$D199=Tab_sel!$O$24,$E199=Tab_sel!$N$31,$F199=Tab_sel!$N$40,$I199=Tab_sel!$B$65),1,"")</f>
        <v>#N/A</v>
      </c>
      <c r="BU199" s="856" t="e">
        <f>IF(AND($BC199=0,$C199=Tab_sel!$P$7,$D199=Tab_sel!$O$24,$E199=Tab_sel!$N$31,$F199=Tab_sel!$N$40,$I199=Tab_sel!$P$61,$H199=Tab_sel!$B$77),1,"")</f>
        <v>#N/A</v>
      </c>
      <c r="BV199" s="883" t="e">
        <f>IF(AND($BC199=0,$C199=Tab_sel!$P$7,$D199=Tab_sel!$O$24,$E199=Tab_sel!$N$31,$F199=Tab_sel!$N$40,$I199=Tab_sel!$P$61,$H199=Tab_sel!$B$78),1,"")</f>
        <v>#N/A</v>
      </c>
      <c r="BW199" s="883" t="e">
        <f>IF(AND($BC199=0,$C199=Tab_sel!$P$7,$D199=Tab_sel!$O$24,$E199=Tab_sel!$N$31,$F199=Tab_sel!$N$40,$I199=Tab_sel!$P$61,$H199=Tab_sel!$B$79),1,"")</f>
        <v>#N/A</v>
      </c>
      <c r="BX199" s="883" t="e">
        <f>IF(AND($BC199=0,$C199=Tab_sel!$P$7,$D199=Tab_sel!$O$24,$E199=Tab_sel!$N$31,$F199=Tab_sel!$N$40,$I199=Tab_sel!$P$61,$H199=Tab_sel!$B$80),1,"")</f>
        <v>#N/A</v>
      </c>
      <c r="BY199" s="883" t="e">
        <f>IF(AND($BC199=0,$C199=Tab_sel!$P$7,$D199=Tab_sel!$O$24,$E199=Tab_sel!$N$31,$F199=Tab_sel!$N$40,$I199=Tab_sel!$P$61,$H199=Tab_sel!$B$81),1,"")</f>
        <v>#N/A</v>
      </c>
      <c r="BZ199" s="857" t="e">
        <f>IF(AND($BC199=0,$C199=Tab_sel!$P$7,$D199=Tab_sel!$O$24,$E199=Tab_sel!$N$31,$F199=Tab_sel!$N$40,$I199=Tab_sel!$P$61,$H199=Tab_sel!$B$82),1,"")</f>
        <v>#N/A</v>
      </c>
      <c r="CA199" s="359"/>
      <c r="CC199">
        <f t="shared" si="77"/>
        <v>0</v>
      </c>
      <c r="CD199" s="882">
        <f t="shared" si="78"/>
        <v>0</v>
      </c>
      <c r="CE199" s="882">
        <f t="shared" si="79"/>
        <v>0</v>
      </c>
      <c r="CG199" t="s">
        <v>2618</v>
      </c>
      <c r="CH199" t="s">
        <v>2619</v>
      </c>
    </row>
    <row r="200" spans="2:86" ht="46.5" customHeight="1" x14ac:dyDescent="0.25">
      <c r="B200" s="791" t="s">
        <v>2428</v>
      </c>
      <c r="C200" s="874" t="s">
        <v>53</v>
      </c>
      <c r="D200" s="875" t="s">
        <v>23</v>
      </c>
      <c r="E200" s="771" t="str">
        <f>Equ</f>
        <v>Equipement de l'Infrastructure informatique</v>
      </c>
      <c r="F200" s="768" t="str">
        <f t="shared" si="85"/>
        <v>Altération (non détectée) de fonction</v>
      </c>
      <c r="G200" s="876" t="s">
        <v>1110</v>
      </c>
      <c r="H200" s="876" t="s">
        <v>2521</v>
      </c>
      <c r="I200" s="874" t="s">
        <v>1203</v>
      </c>
      <c r="J200" s="877" t="s">
        <v>2374</v>
      </c>
      <c r="K200" s="877"/>
      <c r="L200" s="877"/>
      <c r="M200" s="788"/>
      <c r="N200" s="851"/>
      <c r="O200" s="851"/>
      <c r="P200" s="875"/>
      <c r="Q200" s="803"/>
      <c r="R200" s="803"/>
      <c r="S200" s="804"/>
      <c r="T200" s="875"/>
      <c r="U200" s="875"/>
      <c r="V200" s="805"/>
      <c r="W200" s="851"/>
      <c r="X200" s="851"/>
      <c r="Y200" s="875"/>
      <c r="Z200" s="875"/>
      <c r="AA200" s="875"/>
      <c r="AB200" s="805"/>
      <c r="AC200" s="806"/>
      <c r="AD200" s="806"/>
      <c r="AE200" s="806"/>
      <c r="AF200" s="806"/>
      <c r="AG200" s="806"/>
      <c r="AH200" s="805"/>
      <c r="AI200" s="807" t="str">
        <f t="shared" si="80"/>
        <v/>
      </c>
      <c r="AJ200" s="805"/>
      <c r="AK200" s="359"/>
      <c r="AM200" t="str">
        <f t="shared" ref="AM200:AM232" si="86">IF(AN200=1,IF(Ig=0,10*P200+N200,10*Y200+W200),"")</f>
        <v/>
      </c>
      <c r="AN200">
        <f t="shared" ref="AN200:AN232" si="87">IF(OR(AND(AB200="A",Ia=1),AND(AB200="E",Ie=1),AND(AB200="R",Ir=1),AND(AB200="T",It=1),AND(AB200="I",Ii=1),AND(OR(AB200="-",AB200="0"),Isd=1)),1,0)</f>
        <v>0</v>
      </c>
      <c r="AV200" s="882"/>
      <c r="AW200" s="882">
        <f t="shared" si="76"/>
        <v>0</v>
      </c>
      <c r="AX200" s="882">
        <f t="shared" si="81"/>
        <v>1</v>
      </c>
      <c r="AY200" s="882">
        <f t="shared" si="82"/>
        <v>1</v>
      </c>
      <c r="AZ200" s="927">
        <f t="shared" si="83"/>
        <v>1</v>
      </c>
      <c r="BA200" s="882">
        <v>0</v>
      </c>
      <c r="BB200" s="925">
        <f t="shared" ref="BB200:BB232" si="88">AW200*AX200*AY200*AZ200*BA200</f>
        <v>0</v>
      </c>
      <c r="BC200" s="882">
        <f t="shared" si="84"/>
        <v>1</v>
      </c>
      <c r="BD200" s="342" t="e">
        <f>IF(AND($BC200=0,C200=Tab_sel!$P$7,$D200=Tab_sel!$O$24,$E200=Tab_sel!$B$31),1,"")</f>
        <v>#N/A</v>
      </c>
      <c r="BE200" s="322" t="e">
        <f>IF(AND($BC200=0,C200=Tab_sel!$P$7,$D200=Tab_sel!$O$24,$E200=Tab_sel!$B$32),1,"")</f>
        <v>#N/A</v>
      </c>
      <c r="BF200" s="322" t="e">
        <f>IF(AND($BC200=0,C200=Tab_sel!$P$7,$D200=Tab_sel!$O$24,$E200=Tab_sel!$B$33),1,"")</f>
        <v>#N/A</v>
      </c>
      <c r="BG200" s="322" t="e">
        <f>IF(AND($BC200=0,C200=Tab_sel!$P$7,$D200=Tab_sel!$O$24,$E200=Tab_sel!$B$34),1,"")</f>
        <v>#N/A</v>
      </c>
      <c r="BH200" s="322" t="e">
        <f>IF(AND($BC200=0,C200=Tab_sel!$P$7,$D200=Tab_sel!$O$24,$E200=Tab_sel!$B$35),1,"")</f>
        <v>#N/A</v>
      </c>
      <c r="BI200" s="343" t="e">
        <f>IF(AND($BC200=0,C200=Tab_sel!$P$7,$D200=Tab_sel!$O$24,$E200=Tab_sel!$B$36),1,"")</f>
        <v>#N/A</v>
      </c>
      <c r="BJ200" s="342" t="e">
        <f>IF(AND($BC200=0,$C200=Tab_sel!$P$7,$D200=Tab_sel!$O$24,$E200=Tab_sel!$N$31,$F200=Tab_sel!$B$40),1,"")</f>
        <v>#N/A</v>
      </c>
      <c r="BK200" s="322" t="e">
        <f>IF(AND($BC200=0,$C200=Tab_sel!$P$7,$D200=Tab_sel!$O$24,$E200=Tab_sel!$N$31,$F200=Tab_sel!$B$41),1,"")</f>
        <v>#N/A</v>
      </c>
      <c r="BL200" s="322" t="e">
        <f>IF(AND($BC200=0,$C200=Tab_sel!$P$7,$D200=Tab_sel!$O$24,$E200=Tab_sel!$N$31,$F200=Tab_sel!$B$42),1,"")</f>
        <v>#N/A</v>
      </c>
      <c r="BM200" s="322" t="e">
        <f>IF(AND($BC200=0,$C200=Tab_sel!$P$7,$D200=Tab_sel!$O$24,$E200=Tab_sel!$N$31,$F200=Tab_sel!$B$43),1,"")</f>
        <v>#N/A</v>
      </c>
      <c r="BN200" s="322" t="e">
        <f>IF(AND($BC200=0,$C200=Tab_sel!$P$7,$D200=Tab_sel!$O$24,$E200=Tab_sel!$N$31,$F200=Tab_sel!$B$44),1,"")</f>
        <v>#N/A</v>
      </c>
      <c r="BO200" s="343" t="e">
        <f>IF(AND($BC200=0,$C200=Tab_sel!$P$7,$D200=Tab_sel!$O$24,$E200=Tab_sel!$N$31,$F200=Tab_sel!$B$45),1,"")</f>
        <v>#N/A</v>
      </c>
      <c r="BP200" s="354" t="e">
        <f>IF(AND($BC200=0,$C200=Tab_sel!$P$7,$D200=Tab_sel!$O$24,$E200=Tab_sel!$N$31,$F200=Tab_sel!$N$40,$I200=Tab_sel!$B$61),1,"")</f>
        <v>#N/A</v>
      </c>
      <c r="BQ200" s="355" t="e">
        <f>IF(AND($BC200=0,$C200=Tab_sel!$P$7,$D200=Tab_sel!$O$24,$E200=Tab_sel!$N$31,$F200=Tab_sel!$N$40,$I200=Tab_sel!$B$62),1,"")</f>
        <v>#N/A</v>
      </c>
      <c r="BR200" s="355" t="e">
        <f>IF(AND($BC200=0,$C200=Tab_sel!$P$7,$D200=Tab_sel!$O$24,$E200=Tab_sel!$N$31,$F200=Tab_sel!$N$40,$I200=Tab_sel!$B$63),1,"")</f>
        <v>#N/A</v>
      </c>
      <c r="BS200" s="355" t="e">
        <f>IF(AND($BC200=0,$C200=Tab_sel!$P$7,$D200=Tab_sel!$O$24,$E200=Tab_sel!$N$31,$F200=Tab_sel!$N$40,$I200=Tab_sel!$B$64),1,"")</f>
        <v>#N/A</v>
      </c>
      <c r="BT200" s="356" t="e">
        <f>IF(AND($BC200=0,$C200=Tab_sel!$P$7,$D200=Tab_sel!$O$24,$E200=Tab_sel!$N$31,$F200=Tab_sel!$N$40,$I200=Tab_sel!$B$65),1,"")</f>
        <v>#N/A</v>
      </c>
      <c r="BU200" s="856" t="e">
        <f>IF(AND($BC200=0,$C200=Tab_sel!$P$7,$D200=Tab_sel!$O$24,$E200=Tab_sel!$N$31,$F200=Tab_sel!$N$40,$I200=Tab_sel!$P$61,$H200=Tab_sel!$B$77),1,"")</f>
        <v>#N/A</v>
      </c>
      <c r="BV200" s="883" t="e">
        <f>IF(AND($BC200=0,$C200=Tab_sel!$P$7,$D200=Tab_sel!$O$24,$E200=Tab_sel!$N$31,$F200=Tab_sel!$N$40,$I200=Tab_sel!$P$61,$H200=Tab_sel!$B$78),1,"")</f>
        <v>#N/A</v>
      </c>
      <c r="BW200" s="883" t="e">
        <f>IF(AND($BC200=0,$C200=Tab_sel!$P$7,$D200=Tab_sel!$O$24,$E200=Tab_sel!$N$31,$F200=Tab_sel!$N$40,$I200=Tab_sel!$P$61,$H200=Tab_sel!$B$79),1,"")</f>
        <v>#N/A</v>
      </c>
      <c r="BX200" s="883" t="e">
        <f>IF(AND($BC200=0,$C200=Tab_sel!$P$7,$D200=Tab_sel!$O$24,$E200=Tab_sel!$N$31,$F200=Tab_sel!$N$40,$I200=Tab_sel!$P$61,$H200=Tab_sel!$B$80),1,"")</f>
        <v>#N/A</v>
      </c>
      <c r="BY200" s="883" t="e">
        <f>IF(AND($BC200=0,$C200=Tab_sel!$P$7,$D200=Tab_sel!$O$24,$E200=Tab_sel!$N$31,$F200=Tab_sel!$N$40,$I200=Tab_sel!$P$61,$H200=Tab_sel!$B$81),1,"")</f>
        <v>#N/A</v>
      </c>
      <c r="BZ200" s="857" t="e">
        <f>IF(AND($BC200=0,$C200=Tab_sel!$P$7,$D200=Tab_sel!$O$24,$E200=Tab_sel!$N$31,$F200=Tab_sel!$N$40,$I200=Tab_sel!$P$61,$H200=Tab_sel!$B$82),1,"")</f>
        <v>#N/A</v>
      </c>
      <c r="CA200" s="359"/>
      <c r="CC200">
        <f t="shared" si="77"/>
        <v>0</v>
      </c>
      <c r="CD200" s="882">
        <f t="shared" si="78"/>
        <v>0</v>
      </c>
      <c r="CE200" s="882">
        <f t="shared" si="79"/>
        <v>0</v>
      </c>
      <c r="CG200" t="s">
        <v>2618</v>
      </c>
    </row>
    <row r="201" spans="2:86" ht="46.5" customHeight="1" x14ac:dyDescent="0.25">
      <c r="B201" s="791" t="s">
        <v>2429</v>
      </c>
      <c r="C201" s="874" t="s">
        <v>53</v>
      </c>
      <c r="D201" s="875" t="s">
        <v>23</v>
      </c>
      <c r="E201" s="771" t="str">
        <f>Equ</f>
        <v>Equipement de l'Infrastructure informatique</v>
      </c>
      <c r="F201" s="768" t="str">
        <f t="shared" si="85"/>
        <v>Altération (non détectée) de fonction</v>
      </c>
      <c r="G201" s="876" t="s">
        <v>1110</v>
      </c>
      <c r="H201" s="876" t="s">
        <v>2288</v>
      </c>
      <c r="I201" s="874" t="s">
        <v>1203</v>
      </c>
      <c r="J201" s="877" t="s">
        <v>2374</v>
      </c>
      <c r="K201" s="877" t="s">
        <v>1292</v>
      </c>
      <c r="L201" s="877"/>
      <c r="M201" s="788"/>
      <c r="N201" s="851"/>
      <c r="O201" s="851"/>
      <c r="P201" s="875"/>
      <c r="Q201" s="803"/>
      <c r="R201" s="803"/>
      <c r="S201" s="804"/>
      <c r="T201" s="875"/>
      <c r="U201" s="875"/>
      <c r="V201" s="805"/>
      <c r="W201" s="851"/>
      <c r="X201" s="851"/>
      <c r="Y201" s="875"/>
      <c r="Z201" s="875"/>
      <c r="AA201" s="875"/>
      <c r="AB201" s="805"/>
      <c r="AC201" s="806"/>
      <c r="AD201" s="806"/>
      <c r="AE201" s="806"/>
      <c r="AF201" s="806"/>
      <c r="AG201" s="806"/>
      <c r="AH201" s="805"/>
      <c r="AI201" s="807" t="str">
        <f t="shared" si="80"/>
        <v/>
      </c>
      <c r="AJ201" s="805"/>
      <c r="AK201" s="359"/>
      <c r="AM201" t="str">
        <f t="shared" si="86"/>
        <v/>
      </c>
      <c r="AN201">
        <f t="shared" si="87"/>
        <v>0</v>
      </c>
      <c r="AV201" s="882"/>
      <c r="AW201" s="882">
        <f t="shared" si="76"/>
        <v>0</v>
      </c>
      <c r="AX201" s="882">
        <f t="shared" si="81"/>
        <v>1</v>
      </c>
      <c r="AY201" s="882">
        <f t="shared" si="82"/>
        <v>1</v>
      </c>
      <c r="AZ201" s="927">
        <f t="shared" si="83"/>
        <v>1</v>
      </c>
      <c r="BA201" s="882">
        <v>0</v>
      </c>
      <c r="BB201" s="925">
        <f t="shared" si="88"/>
        <v>0</v>
      </c>
      <c r="BC201" s="882">
        <f t="shared" si="84"/>
        <v>1</v>
      </c>
      <c r="BD201" s="342" t="e">
        <f>IF(AND($BC201=0,C201=Tab_sel!$P$7,$D201=Tab_sel!$O$24,$E201=Tab_sel!$B$31),1,"")</f>
        <v>#N/A</v>
      </c>
      <c r="BE201" s="322" t="e">
        <f>IF(AND($BC201=0,C201=Tab_sel!$P$7,$D201=Tab_sel!$O$24,$E201=Tab_sel!$B$32),1,"")</f>
        <v>#N/A</v>
      </c>
      <c r="BF201" s="322" t="e">
        <f>IF(AND($BC201=0,C201=Tab_sel!$P$7,$D201=Tab_sel!$O$24,$E201=Tab_sel!$B$33),1,"")</f>
        <v>#N/A</v>
      </c>
      <c r="BG201" s="322" t="e">
        <f>IF(AND($BC201=0,C201=Tab_sel!$P$7,$D201=Tab_sel!$O$24,$E201=Tab_sel!$B$34),1,"")</f>
        <v>#N/A</v>
      </c>
      <c r="BH201" s="322" t="e">
        <f>IF(AND($BC201=0,C201=Tab_sel!$P$7,$D201=Tab_sel!$O$24,$E201=Tab_sel!$B$35),1,"")</f>
        <v>#N/A</v>
      </c>
      <c r="BI201" s="343" t="e">
        <f>IF(AND($BC201=0,C201=Tab_sel!$P$7,$D201=Tab_sel!$O$24,$E201=Tab_sel!$B$36),1,"")</f>
        <v>#N/A</v>
      </c>
      <c r="BJ201" s="342" t="e">
        <f>IF(AND($BC201=0,$C201=Tab_sel!$P$7,$D201=Tab_sel!$O$24,$E201=Tab_sel!$N$31,$F201=Tab_sel!$B$40),1,"")</f>
        <v>#N/A</v>
      </c>
      <c r="BK201" s="322" t="e">
        <f>IF(AND($BC201=0,$C201=Tab_sel!$P$7,$D201=Tab_sel!$O$24,$E201=Tab_sel!$N$31,$F201=Tab_sel!$B$41),1,"")</f>
        <v>#N/A</v>
      </c>
      <c r="BL201" s="322" t="e">
        <f>IF(AND($BC201=0,$C201=Tab_sel!$P$7,$D201=Tab_sel!$O$24,$E201=Tab_sel!$N$31,$F201=Tab_sel!$B$42),1,"")</f>
        <v>#N/A</v>
      </c>
      <c r="BM201" s="322" t="e">
        <f>IF(AND($BC201=0,$C201=Tab_sel!$P$7,$D201=Tab_sel!$O$24,$E201=Tab_sel!$N$31,$F201=Tab_sel!$B$43),1,"")</f>
        <v>#N/A</v>
      </c>
      <c r="BN201" s="322" t="e">
        <f>IF(AND($BC201=0,$C201=Tab_sel!$P$7,$D201=Tab_sel!$O$24,$E201=Tab_sel!$N$31,$F201=Tab_sel!$B$44),1,"")</f>
        <v>#N/A</v>
      </c>
      <c r="BO201" s="343" t="e">
        <f>IF(AND($BC201=0,$C201=Tab_sel!$P$7,$D201=Tab_sel!$O$24,$E201=Tab_sel!$N$31,$F201=Tab_sel!$B$45),1,"")</f>
        <v>#N/A</v>
      </c>
      <c r="BP201" s="354" t="e">
        <f>IF(AND($BC201=0,$C201=Tab_sel!$P$7,$D201=Tab_sel!$O$24,$E201=Tab_sel!$N$31,$F201=Tab_sel!$N$40,$I201=Tab_sel!$B$61),1,"")</f>
        <v>#N/A</v>
      </c>
      <c r="BQ201" s="355" t="e">
        <f>IF(AND($BC201=0,$C201=Tab_sel!$P$7,$D201=Tab_sel!$O$24,$E201=Tab_sel!$N$31,$F201=Tab_sel!$N$40,$I201=Tab_sel!$B$62),1,"")</f>
        <v>#N/A</v>
      </c>
      <c r="BR201" s="355" t="e">
        <f>IF(AND($BC201=0,$C201=Tab_sel!$P$7,$D201=Tab_sel!$O$24,$E201=Tab_sel!$N$31,$F201=Tab_sel!$N$40,$I201=Tab_sel!$B$63),1,"")</f>
        <v>#N/A</v>
      </c>
      <c r="BS201" s="355" t="e">
        <f>IF(AND($BC201=0,$C201=Tab_sel!$P$7,$D201=Tab_sel!$O$24,$E201=Tab_sel!$N$31,$F201=Tab_sel!$N$40,$I201=Tab_sel!$B$64),1,"")</f>
        <v>#N/A</v>
      </c>
      <c r="BT201" s="356" t="e">
        <f>IF(AND($BC201=0,$C201=Tab_sel!$P$7,$D201=Tab_sel!$O$24,$E201=Tab_sel!$N$31,$F201=Tab_sel!$N$40,$I201=Tab_sel!$B$65),1,"")</f>
        <v>#N/A</v>
      </c>
      <c r="BU201" s="856" t="e">
        <f>IF(AND($BC201=0,$C201=Tab_sel!$P$7,$D201=Tab_sel!$O$24,$E201=Tab_sel!$N$31,$F201=Tab_sel!$N$40,$I201=Tab_sel!$P$61,$H201=Tab_sel!$B$77),1,"")</f>
        <v>#N/A</v>
      </c>
      <c r="BV201" s="883" t="e">
        <f>IF(AND($BC201=0,$C201=Tab_sel!$P$7,$D201=Tab_sel!$O$24,$E201=Tab_sel!$N$31,$F201=Tab_sel!$N$40,$I201=Tab_sel!$P$61,$H201=Tab_sel!$B$78),1,"")</f>
        <v>#N/A</v>
      </c>
      <c r="BW201" s="883" t="e">
        <f>IF(AND($BC201=0,$C201=Tab_sel!$P$7,$D201=Tab_sel!$O$24,$E201=Tab_sel!$N$31,$F201=Tab_sel!$N$40,$I201=Tab_sel!$P$61,$H201=Tab_sel!$B$79),1,"")</f>
        <v>#N/A</v>
      </c>
      <c r="BX201" s="883" t="e">
        <f>IF(AND($BC201=0,$C201=Tab_sel!$P$7,$D201=Tab_sel!$O$24,$E201=Tab_sel!$N$31,$F201=Tab_sel!$N$40,$I201=Tab_sel!$P$61,$H201=Tab_sel!$B$80),1,"")</f>
        <v>#N/A</v>
      </c>
      <c r="BY201" s="883" t="e">
        <f>IF(AND($BC201=0,$C201=Tab_sel!$P$7,$D201=Tab_sel!$O$24,$E201=Tab_sel!$N$31,$F201=Tab_sel!$N$40,$I201=Tab_sel!$P$61,$H201=Tab_sel!$B$81),1,"")</f>
        <v>#N/A</v>
      </c>
      <c r="BZ201" s="857" t="e">
        <f>IF(AND($BC201=0,$C201=Tab_sel!$P$7,$D201=Tab_sel!$O$24,$E201=Tab_sel!$N$31,$F201=Tab_sel!$N$40,$I201=Tab_sel!$P$61,$H201=Tab_sel!$B$82),1,"")</f>
        <v>#N/A</v>
      </c>
      <c r="CA201" s="359"/>
      <c r="CC201">
        <f t="shared" si="77"/>
        <v>0</v>
      </c>
      <c r="CD201" s="882">
        <f t="shared" si="78"/>
        <v>0</v>
      </c>
      <c r="CE201" s="882">
        <f t="shared" si="79"/>
        <v>0</v>
      </c>
      <c r="CG201" t="s">
        <v>2618</v>
      </c>
      <c r="CH201" t="s">
        <v>2619</v>
      </c>
    </row>
    <row r="202" spans="2:86" ht="55.5" customHeight="1" x14ac:dyDescent="0.25">
      <c r="B202" s="791" t="s">
        <v>2015</v>
      </c>
      <c r="C202" s="771" t="s">
        <v>53</v>
      </c>
      <c r="D202" s="772" t="s">
        <v>23</v>
      </c>
      <c r="E202" s="780" t="str">
        <f>Env</f>
        <v>Environnement de travail et équipement des utilisateurs</v>
      </c>
      <c r="F202" s="768" t="str">
        <f t="shared" si="85"/>
        <v>Altération (non détectée) de fonction</v>
      </c>
      <c r="G202" s="768" t="s">
        <v>1144</v>
      </c>
      <c r="H202" s="768"/>
      <c r="I202" s="771" t="s">
        <v>1203</v>
      </c>
      <c r="J202" s="769" t="s">
        <v>2471</v>
      </c>
      <c r="K202" s="769" t="s">
        <v>2457</v>
      </c>
      <c r="L202" s="769"/>
      <c r="M202" s="788"/>
      <c r="N202" s="767"/>
      <c r="O202" s="767"/>
      <c r="P202" s="772"/>
      <c r="Q202" s="803"/>
      <c r="R202" s="803"/>
      <c r="S202" s="804"/>
      <c r="T202" s="772"/>
      <c r="U202" s="772"/>
      <c r="V202" s="805"/>
      <c r="W202" s="767"/>
      <c r="X202" s="767"/>
      <c r="Y202" s="772"/>
      <c r="Z202" s="772"/>
      <c r="AA202" s="772"/>
      <c r="AB202" s="805"/>
      <c r="AC202" s="806"/>
      <c r="AD202" s="806"/>
      <c r="AE202" s="806"/>
      <c r="AF202" s="806"/>
      <c r="AG202" s="806"/>
      <c r="AH202" s="805"/>
      <c r="AI202" s="807" t="str">
        <f t="shared" si="80"/>
        <v/>
      </c>
      <c r="AJ202" s="805"/>
      <c r="AK202" s="359"/>
      <c r="AM202" t="str">
        <f t="shared" si="86"/>
        <v/>
      </c>
      <c r="AN202">
        <f t="shared" si="87"/>
        <v>0</v>
      </c>
      <c r="AW202" s="882">
        <f t="shared" si="76"/>
        <v>0</v>
      </c>
      <c r="AX202" s="882">
        <f t="shared" si="81"/>
        <v>1</v>
      </c>
      <c r="AY202" s="882">
        <f t="shared" si="82"/>
        <v>1</v>
      </c>
      <c r="AZ202" s="927">
        <f t="shared" si="83"/>
        <v>1</v>
      </c>
      <c r="BA202" s="882">
        <v>1</v>
      </c>
      <c r="BB202" s="925">
        <f t="shared" si="88"/>
        <v>0</v>
      </c>
      <c r="BC202" s="882">
        <f t="shared" si="84"/>
        <v>1</v>
      </c>
      <c r="BD202" s="342" t="e">
        <f>IF(AND($BC202=0,C202=Tab_sel!$P$7,$D202=Tab_sel!$O$24,$E202=Tab_sel!$B$31),1,"")</f>
        <v>#N/A</v>
      </c>
      <c r="BE202" s="322" t="e">
        <f>IF(AND($BC202=0,C202=Tab_sel!$P$7,$D202=Tab_sel!$O$24,$E202=Tab_sel!$B$32),1,"")</f>
        <v>#N/A</v>
      </c>
      <c r="BF202" s="322" t="e">
        <f>IF(AND($BC202=0,C202=Tab_sel!$P$7,$D202=Tab_sel!$O$24,$E202=Tab_sel!$B$33),1,"")</f>
        <v>#N/A</v>
      </c>
      <c r="BG202" s="322" t="e">
        <f>IF(AND($BC202=0,C202=Tab_sel!$P$7,$D202=Tab_sel!$O$24,$E202=Tab_sel!$B$34),1,"")</f>
        <v>#N/A</v>
      </c>
      <c r="BH202" s="322" t="e">
        <f>IF(AND($BC202=0,C202=Tab_sel!$P$7,$D202=Tab_sel!$O$24,$E202=Tab_sel!$B$35),1,"")</f>
        <v>#N/A</v>
      </c>
      <c r="BI202" s="343" t="e">
        <f>IF(AND($BC202=0,C202=Tab_sel!$P$7,$D202=Tab_sel!$O$24,$E202=Tab_sel!$B$36),1,"")</f>
        <v>#N/A</v>
      </c>
      <c r="BJ202" s="342" t="e">
        <f>IF(AND($BC202=0,$C202=Tab_sel!$P$7,$D202=Tab_sel!$O$24,$E202=Tab_sel!$N$31,$F202=Tab_sel!$B$40),1,"")</f>
        <v>#N/A</v>
      </c>
      <c r="BK202" s="322" t="e">
        <f>IF(AND($BC202=0,$C202=Tab_sel!$P$7,$D202=Tab_sel!$O$24,$E202=Tab_sel!$N$31,$F202=Tab_sel!$B$41),1,"")</f>
        <v>#N/A</v>
      </c>
      <c r="BL202" s="322" t="e">
        <f>IF(AND($BC202=0,$C202=Tab_sel!$P$7,$D202=Tab_sel!$O$24,$E202=Tab_sel!$N$31,$F202=Tab_sel!$B$42),1,"")</f>
        <v>#N/A</v>
      </c>
      <c r="BM202" s="322" t="e">
        <f>IF(AND($BC202=0,$C202=Tab_sel!$P$7,$D202=Tab_sel!$O$24,$E202=Tab_sel!$N$31,$F202=Tab_sel!$B$43),1,"")</f>
        <v>#N/A</v>
      </c>
      <c r="BN202" s="322" t="e">
        <f>IF(AND($BC202=0,$C202=Tab_sel!$P$7,$D202=Tab_sel!$O$24,$E202=Tab_sel!$N$31,$F202=Tab_sel!$B$44),1,"")</f>
        <v>#N/A</v>
      </c>
      <c r="BO202" s="343" t="e">
        <f>IF(AND($BC202=0,$C202=Tab_sel!$P$7,$D202=Tab_sel!$O$24,$E202=Tab_sel!$N$31,$F202=Tab_sel!$B$45),1,"")</f>
        <v>#N/A</v>
      </c>
      <c r="BP202" s="354" t="e">
        <f>IF(AND($BC202=0,$C202=Tab_sel!$P$7,$D202=Tab_sel!$O$24,$E202=Tab_sel!$N$31,$F202=Tab_sel!$N$40,$I202=Tab_sel!$B$61),1,"")</f>
        <v>#N/A</v>
      </c>
      <c r="BQ202" s="355" t="e">
        <f>IF(AND($BC202=0,$C202=Tab_sel!$P$7,$D202=Tab_sel!$O$24,$E202=Tab_sel!$N$31,$F202=Tab_sel!$N$40,$I202=Tab_sel!$B$62),1,"")</f>
        <v>#N/A</v>
      </c>
      <c r="BR202" s="355" t="e">
        <f>IF(AND($BC202=0,$C202=Tab_sel!$P$7,$D202=Tab_sel!$O$24,$E202=Tab_sel!$N$31,$F202=Tab_sel!$N$40,$I202=Tab_sel!$B$63),1,"")</f>
        <v>#N/A</v>
      </c>
      <c r="BS202" s="355" t="e">
        <f>IF(AND($BC202=0,$C202=Tab_sel!$P$7,$D202=Tab_sel!$O$24,$E202=Tab_sel!$N$31,$F202=Tab_sel!$N$40,$I202=Tab_sel!$B$64),1,"")</f>
        <v>#N/A</v>
      </c>
      <c r="BT202" s="356" t="e">
        <f>IF(AND($BC202=0,$C202=Tab_sel!$P$7,$D202=Tab_sel!$O$24,$E202=Tab_sel!$N$31,$F202=Tab_sel!$N$40,$I202=Tab_sel!$B$65),1,"")</f>
        <v>#N/A</v>
      </c>
      <c r="BU202" s="856" t="e">
        <f>IF(AND($BC202=0,$C202=Tab_sel!$P$7,$D202=Tab_sel!$O$24,$E202=Tab_sel!$N$31,$F202=Tab_sel!$N$40,$I202=Tab_sel!$P$61,$H202=Tab_sel!$B$77),1,"")</f>
        <v>#N/A</v>
      </c>
      <c r="BV202" s="883" t="e">
        <f>IF(AND($BC202=0,$C202=Tab_sel!$P$7,$D202=Tab_sel!$O$24,$E202=Tab_sel!$N$31,$F202=Tab_sel!$N$40,$I202=Tab_sel!$P$61,$H202=Tab_sel!$B$78),1,"")</f>
        <v>#N/A</v>
      </c>
      <c r="BW202" s="883" t="e">
        <f>IF(AND($BC202=0,$C202=Tab_sel!$P$7,$D202=Tab_sel!$O$24,$E202=Tab_sel!$N$31,$F202=Tab_sel!$N$40,$I202=Tab_sel!$P$61,$H202=Tab_sel!$B$79),1,"")</f>
        <v>#N/A</v>
      </c>
      <c r="BX202" s="883" t="e">
        <f>IF(AND($BC202=0,$C202=Tab_sel!$P$7,$D202=Tab_sel!$O$24,$E202=Tab_sel!$N$31,$F202=Tab_sel!$N$40,$I202=Tab_sel!$P$61,$H202=Tab_sel!$B$80),1,"")</f>
        <v>#N/A</v>
      </c>
      <c r="BY202" s="883" t="e">
        <f>IF(AND($BC202=0,$C202=Tab_sel!$P$7,$D202=Tab_sel!$O$24,$E202=Tab_sel!$N$31,$F202=Tab_sel!$N$40,$I202=Tab_sel!$P$61,$H202=Tab_sel!$B$81),1,"")</f>
        <v>#N/A</v>
      </c>
      <c r="BZ202" s="857" t="e">
        <f>IF(AND($BC202=0,$C202=Tab_sel!$P$7,$D202=Tab_sel!$O$24,$E202=Tab_sel!$N$31,$F202=Tab_sel!$N$40,$I202=Tab_sel!$P$61,$H202=Tab_sel!$B$82),1,"")</f>
        <v>#N/A</v>
      </c>
      <c r="CA202" s="359"/>
      <c r="CC202">
        <f t="shared" si="77"/>
        <v>0</v>
      </c>
      <c r="CD202" s="882">
        <f t="shared" si="78"/>
        <v>0</v>
      </c>
      <c r="CE202" s="882">
        <f t="shared" si="79"/>
        <v>0</v>
      </c>
      <c r="CG202" t="s">
        <v>2680</v>
      </c>
      <c r="CH202" t="s">
        <v>2651</v>
      </c>
    </row>
    <row r="203" spans="2:86" ht="55.5" customHeight="1" x14ac:dyDescent="0.25">
      <c r="B203" s="791" t="s">
        <v>2430</v>
      </c>
      <c r="C203" s="874" t="s">
        <v>53</v>
      </c>
      <c r="D203" s="875" t="s">
        <v>23</v>
      </c>
      <c r="E203" s="780" t="str">
        <f>Env</f>
        <v>Environnement de travail et équipement des utilisateurs</v>
      </c>
      <c r="F203" s="768" t="str">
        <f t="shared" si="85"/>
        <v>Altération (non détectée) de fonction</v>
      </c>
      <c r="G203" s="876" t="s">
        <v>1144</v>
      </c>
      <c r="H203" s="876" t="s">
        <v>2525</v>
      </c>
      <c r="I203" s="874" t="s">
        <v>1203</v>
      </c>
      <c r="J203" s="877" t="s">
        <v>2373</v>
      </c>
      <c r="K203" s="877" t="s">
        <v>1303</v>
      </c>
      <c r="L203" s="877"/>
      <c r="M203" s="788"/>
      <c r="N203" s="851"/>
      <c r="O203" s="851"/>
      <c r="P203" s="875"/>
      <c r="Q203" s="803"/>
      <c r="R203" s="803"/>
      <c r="S203" s="804"/>
      <c r="T203" s="875"/>
      <c r="U203" s="875"/>
      <c r="V203" s="805"/>
      <c r="W203" s="851"/>
      <c r="X203" s="851"/>
      <c r="Y203" s="875"/>
      <c r="Z203" s="875"/>
      <c r="AA203" s="875"/>
      <c r="AB203" s="805"/>
      <c r="AC203" s="806"/>
      <c r="AD203" s="806"/>
      <c r="AE203" s="806"/>
      <c r="AF203" s="806"/>
      <c r="AG203" s="806"/>
      <c r="AH203" s="805"/>
      <c r="AI203" s="807" t="str">
        <f t="shared" si="80"/>
        <v/>
      </c>
      <c r="AJ203" s="805"/>
      <c r="AK203" s="359"/>
      <c r="AM203" t="str">
        <f t="shared" si="86"/>
        <v/>
      </c>
      <c r="AN203">
        <f t="shared" si="87"/>
        <v>0</v>
      </c>
      <c r="AV203" s="882"/>
      <c r="AW203" s="882">
        <f t="shared" si="76"/>
        <v>0</v>
      </c>
      <c r="AX203" s="882">
        <f t="shared" si="81"/>
        <v>1</v>
      </c>
      <c r="AY203" s="882">
        <f t="shared" si="82"/>
        <v>1</v>
      </c>
      <c r="AZ203" s="927">
        <f t="shared" si="83"/>
        <v>1</v>
      </c>
      <c r="BA203" s="882">
        <v>0</v>
      </c>
      <c r="BB203" s="925">
        <f t="shared" si="88"/>
        <v>0</v>
      </c>
      <c r="BC203" s="882">
        <f t="shared" si="84"/>
        <v>1</v>
      </c>
      <c r="BD203" s="342" t="e">
        <f>IF(AND($BC203=0,C203=Tab_sel!$P$7,$D203=Tab_sel!$O$24,$E203=Tab_sel!$B$31),1,"")</f>
        <v>#N/A</v>
      </c>
      <c r="BE203" s="322" t="e">
        <f>IF(AND($BC203=0,C203=Tab_sel!$P$7,$D203=Tab_sel!$O$24,$E203=Tab_sel!$B$32),1,"")</f>
        <v>#N/A</v>
      </c>
      <c r="BF203" s="322" t="e">
        <f>IF(AND($BC203=0,C203=Tab_sel!$P$7,$D203=Tab_sel!$O$24,$E203=Tab_sel!$B$33),1,"")</f>
        <v>#N/A</v>
      </c>
      <c r="BG203" s="322" t="e">
        <f>IF(AND($BC203=0,C203=Tab_sel!$P$7,$D203=Tab_sel!$O$24,$E203=Tab_sel!$B$34),1,"")</f>
        <v>#N/A</v>
      </c>
      <c r="BH203" s="322" t="e">
        <f>IF(AND($BC203=0,C203=Tab_sel!$P$7,$D203=Tab_sel!$O$24,$E203=Tab_sel!$B$35),1,"")</f>
        <v>#N/A</v>
      </c>
      <c r="BI203" s="343" t="e">
        <f>IF(AND($BC203=0,C203=Tab_sel!$P$7,$D203=Tab_sel!$O$24,$E203=Tab_sel!$B$36),1,"")</f>
        <v>#N/A</v>
      </c>
      <c r="BJ203" s="342" t="e">
        <f>IF(AND($BC203=0,$C203=Tab_sel!$P$7,$D203=Tab_sel!$O$24,$E203=Tab_sel!$N$31,$F203=Tab_sel!$B$40),1,"")</f>
        <v>#N/A</v>
      </c>
      <c r="BK203" s="322" t="e">
        <f>IF(AND($BC203=0,$C203=Tab_sel!$P$7,$D203=Tab_sel!$O$24,$E203=Tab_sel!$N$31,$F203=Tab_sel!$B$41),1,"")</f>
        <v>#N/A</v>
      </c>
      <c r="BL203" s="322" t="e">
        <f>IF(AND($BC203=0,$C203=Tab_sel!$P$7,$D203=Tab_sel!$O$24,$E203=Tab_sel!$N$31,$F203=Tab_sel!$B$42),1,"")</f>
        <v>#N/A</v>
      </c>
      <c r="BM203" s="322" t="e">
        <f>IF(AND($BC203=0,$C203=Tab_sel!$P$7,$D203=Tab_sel!$O$24,$E203=Tab_sel!$N$31,$F203=Tab_sel!$B$43),1,"")</f>
        <v>#N/A</v>
      </c>
      <c r="BN203" s="322" t="e">
        <f>IF(AND($BC203=0,$C203=Tab_sel!$P$7,$D203=Tab_sel!$O$24,$E203=Tab_sel!$N$31,$F203=Tab_sel!$B$44),1,"")</f>
        <v>#N/A</v>
      </c>
      <c r="BO203" s="343" t="e">
        <f>IF(AND($BC203=0,$C203=Tab_sel!$P$7,$D203=Tab_sel!$O$24,$E203=Tab_sel!$N$31,$F203=Tab_sel!$B$45),1,"")</f>
        <v>#N/A</v>
      </c>
      <c r="BP203" s="354" t="e">
        <f>IF(AND($BC203=0,$C203=Tab_sel!$P$7,$D203=Tab_sel!$O$24,$E203=Tab_sel!$N$31,$F203=Tab_sel!$N$40,$I203=Tab_sel!$B$61),1,"")</f>
        <v>#N/A</v>
      </c>
      <c r="BQ203" s="355" t="e">
        <f>IF(AND($BC203=0,$C203=Tab_sel!$P$7,$D203=Tab_sel!$O$24,$E203=Tab_sel!$N$31,$F203=Tab_sel!$N$40,$I203=Tab_sel!$B$62),1,"")</f>
        <v>#N/A</v>
      </c>
      <c r="BR203" s="355" t="e">
        <f>IF(AND($BC203=0,$C203=Tab_sel!$P$7,$D203=Tab_sel!$O$24,$E203=Tab_sel!$N$31,$F203=Tab_sel!$N$40,$I203=Tab_sel!$B$63),1,"")</f>
        <v>#N/A</v>
      </c>
      <c r="BS203" s="355" t="e">
        <f>IF(AND($BC203=0,$C203=Tab_sel!$P$7,$D203=Tab_sel!$O$24,$E203=Tab_sel!$N$31,$F203=Tab_sel!$N$40,$I203=Tab_sel!$B$64),1,"")</f>
        <v>#N/A</v>
      </c>
      <c r="BT203" s="356" t="e">
        <f>IF(AND($BC203=0,$C203=Tab_sel!$P$7,$D203=Tab_sel!$O$24,$E203=Tab_sel!$N$31,$F203=Tab_sel!$N$40,$I203=Tab_sel!$B$65),1,"")</f>
        <v>#N/A</v>
      </c>
      <c r="BU203" s="856" t="e">
        <f>IF(AND($BC203=0,$C203=Tab_sel!$P$7,$D203=Tab_sel!$O$24,$E203=Tab_sel!$N$31,$F203=Tab_sel!$N$40,$I203=Tab_sel!$P$61,$H203=Tab_sel!$B$77),1,"")</f>
        <v>#N/A</v>
      </c>
      <c r="BV203" s="883" t="e">
        <f>IF(AND($BC203=0,$C203=Tab_sel!$P$7,$D203=Tab_sel!$O$24,$E203=Tab_sel!$N$31,$F203=Tab_sel!$N$40,$I203=Tab_sel!$P$61,$H203=Tab_sel!$B$78),1,"")</f>
        <v>#N/A</v>
      </c>
      <c r="BW203" s="883" t="e">
        <f>IF(AND($BC203=0,$C203=Tab_sel!$P$7,$D203=Tab_sel!$O$24,$E203=Tab_sel!$N$31,$F203=Tab_sel!$N$40,$I203=Tab_sel!$P$61,$H203=Tab_sel!$B$79),1,"")</f>
        <v>#N/A</v>
      </c>
      <c r="BX203" s="883" t="e">
        <f>IF(AND($BC203=0,$C203=Tab_sel!$P$7,$D203=Tab_sel!$O$24,$E203=Tab_sel!$N$31,$F203=Tab_sel!$N$40,$I203=Tab_sel!$P$61,$H203=Tab_sel!$B$80),1,"")</f>
        <v>#N/A</v>
      </c>
      <c r="BY203" s="883" t="e">
        <f>IF(AND($BC203=0,$C203=Tab_sel!$P$7,$D203=Tab_sel!$O$24,$E203=Tab_sel!$N$31,$F203=Tab_sel!$N$40,$I203=Tab_sel!$P$61,$H203=Tab_sel!$B$81),1,"")</f>
        <v>#N/A</v>
      </c>
      <c r="BZ203" s="857" t="e">
        <f>IF(AND($BC203=0,$C203=Tab_sel!$P$7,$D203=Tab_sel!$O$24,$E203=Tab_sel!$N$31,$F203=Tab_sel!$N$40,$I203=Tab_sel!$P$61,$H203=Tab_sel!$B$82),1,"")</f>
        <v>#N/A</v>
      </c>
      <c r="CA203" s="359"/>
      <c r="CC203">
        <f t="shared" si="77"/>
        <v>0</v>
      </c>
      <c r="CD203" s="882">
        <f t="shared" si="78"/>
        <v>0</v>
      </c>
      <c r="CE203" s="882">
        <f t="shared" si="79"/>
        <v>0</v>
      </c>
      <c r="CG203" t="s">
        <v>2634</v>
      </c>
      <c r="CH203" t="s">
        <v>2635</v>
      </c>
    </row>
    <row r="204" spans="2:86" ht="55.5" customHeight="1" x14ac:dyDescent="0.25">
      <c r="B204" s="791" t="s">
        <v>2431</v>
      </c>
      <c r="C204" s="874" t="s">
        <v>53</v>
      </c>
      <c r="D204" s="875" t="s">
        <v>23</v>
      </c>
      <c r="E204" s="780" t="str">
        <f>Env</f>
        <v>Environnement de travail et équipement des utilisateurs</v>
      </c>
      <c r="F204" s="768" t="str">
        <f t="shared" si="85"/>
        <v>Altération (non détectée) de fonction</v>
      </c>
      <c r="G204" s="876" t="s">
        <v>1144</v>
      </c>
      <c r="H204" s="876" t="s">
        <v>2432</v>
      </c>
      <c r="I204" s="874" t="s">
        <v>1203</v>
      </c>
      <c r="J204" s="877" t="s">
        <v>2373</v>
      </c>
      <c r="K204" s="877" t="s">
        <v>2457</v>
      </c>
      <c r="L204" s="877"/>
      <c r="M204" s="788"/>
      <c r="N204" s="851"/>
      <c r="O204" s="851"/>
      <c r="P204" s="875"/>
      <c r="Q204" s="803"/>
      <c r="R204" s="803"/>
      <c r="S204" s="804"/>
      <c r="T204" s="875"/>
      <c r="U204" s="875"/>
      <c r="V204" s="805"/>
      <c r="W204" s="851"/>
      <c r="X204" s="851"/>
      <c r="Y204" s="875"/>
      <c r="Z204" s="875"/>
      <c r="AA204" s="875"/>
      <c r="AB204" s="805"/>
      <c r="AC204" s="806"/>
      <c r="AD204" s="806"/>
      <c r="AE204" s="806"/>
      <c r="AF204" s="806"/>
      <c r="AG204" s="806"/>
      <c r="AH204" s="805"/>
      <c r="AI204" s="807" t="str">
        <f t="shared" si="80"/>
        <v/>
      </c>
      <c r="AJ204" s="805"/>
      <c r="AK204" s="359"/>
      <c r="AM204" t="str">
        <f t="shared" si="86"/>
        <v/>
      </c>
      <c r="AN204">
        <f t="shared" si="87"/>
        <v>0</v>
      </c>
      <c r="AV204" s="882"/>
      <c r="AW204" s="882">
        <f t="shared" si="76"/>
        <v>0</v>
      </c>
      <c r="AX204" s="882">
        <f t="shared" si="81"/>
        <v>1</v>
      </c>
      <c r="AY204" s="882">
        <f t="shared" si="82"/>
        <v>1</v>
      </c>
      <c r="AZ204" s="927">
        <f t="shared" si="83"/>
        <v>1</v>
      </c>
      <c r="BA204" s="882">
        <v>0</v>
      </c>
      <c r="BB204" s="925">
        <f t="shared" si="88"/>
        <v>0</v>
      </c>
      <c r="BC204" s="882">
        <f t="shared" si="84"/>
        <v>1</v>
      </c>
      <c r="BD204" s="342" t="e">
        <f>IF(AND($BC204=0,C204=Tab_sel!$P$7,$D204=Tab_sel!$O$24,$E204=Tab_sel!$B$31),1,"")</f>
        <v>#N/A</v>
      </c>
      <c r="BE204" s="322" t="e">
        <f>IF(AND($BC204=0,C204=Tab_sel!$P$7,$D204=Tab_sel!$O$24,$E204=Tab_sel!$B$32),1,"")</f>
        <v>#N/A</v>
      </c>
      <c r="BF204" s="322" t="e">
        <f>IF(AND($BC204=0,C204=Tab_sel!$P$7,$D204=Tab_sel!$O$24,$E204=Tab_sel!$B$33),1,"")</f>
        <v>#N/A</v>
      </c>
      <c r="BG204" s="322" t="e">
        <f>IF(AND($BC204=0,C204=Tab_sel!$P$7,$D204=Tab_sel!$O$24,$E204=Tab_sel!$B$34),1,"")</f>
        <v>#N/A</v>
      </c>
      <c r="BH204" s="322" t="e">
        <f>IF(AND($BC204=0,C204=Tab_sel!$P$7,$D204=Tab_sel!$O$24,$E204=Tab_sel!$B$35),1,"")</f>
        <v>#N/A</v>
      </c>
      <c r="BI204" s="343" t="e">
        <f>IF(AND($BC204=0,C204=Tab_sel!$P$7,$D204=Tab_sel!$O$24,$E204=Tab_sel!$B$36),1,"")</f>
        <v>#N/A</v>
      </c>
      <c r="BJ204" s="342" t="e">
        <f>IF(AND($BC204=0,$C204=Tab_sel!$P$7,$D204=Tab_sel!$O$24,$E204=Tab_sel!$N$31,$F204=Tab_sel!$B$40),1,"")</f>
        <v>#N/A</v>
      </c>
      <c r="BK204" s="322" t="e">
        <f>IF(AND($BC204=0,$C204=Tab_sel!$P$7,$D204=Tab_sel!$O$24,$E204=Tab_sel!$N$31,$F204=Tab_sel!$B$41),1,"")</f>
        <v>#N/A</v>
      </c>
      <c r="BL204" s="322" t="e">
        <f>IF(AND($BC204=0,$C204=Tab_sel!$P$7,$D204=Tab_sel!$O$24,$E204=Tab_sel!$N$31,$F204=Tab_sel!$B$42),1,"")</f>
        <v>#N/A</v>
      </c>
      <c r="BM204" s="322" t="e">
        <f>IF(AND($BC204=0,$C204=Tab_sel!$P$7,$D204=Tab_sel!$O$24,$E204=Tab_sel!$N$31,$F204=Tab_sel!$B$43),1,"")</f>
        <v>#N/A</v>
      </c>
      <c r="BN204" s="322" t="e">
        <f>IF(AND($BC204=0,$C204=Tab_sel!$P$7,$D204=Tab_sel!$O$24,$E204=Tab_sel!$N$31,$F204=Tab_sel!$B$44),1,"")</f>
        <v>#N/A</v>
      </c>
      <c r="BO204" s="343" t="e">
        <f>IF(AND($BC204=0,$C204=Tab_sel!$P$7,$D204=Tab_sel!$O$24,$E204=Tab_sel!$N$31,$F204=Tab_sel!$B$45),1,"")</f>
        <v>#N/A</v>
      </c>
      <c r="BP204" s="354" t="e">
        <f>IF(AND($BC204=0,$C204=Tab_sel!$P$7,$D204=Tab_sel!$O$24,$E204=Tab_sel!$N$31,$F204=Tab_sel!$N$40,$I204=Tab_sel!$B$61),1,"")</f>
        <v>#N/A</v>
      </c>
      <c r="BQ204" s="355" t="e">
        <f>IF(AND($BC204=0,$C204=Tab_sel!$P$7,$D204=Tab_sel!$O$24,$E204=Tab_sel!$N$31,$F204=Tab_sel!$N$40,$I204=Tab_sel!$B$62),1,"")</f>
        <v>#N/A</v>
      </c>
      <c r="BR204" s="355" t="e">
        <f>IF(AND($BC204=0,$C204=Tab_sel!$P$7,$D204=Tab_sel!$O$24,$E204=Tab_sel!$N$31,$F204=Tab_sel!$N$40,$I204=Tab_sel!$B$63),1,"")</f>
        <v>#N/A</v>
      </c>
      <c r="BS204" s="355" t="e">
        <f>IF(AND($BC204=0,$C204=Tab_sel!$P$7,$D204=Tab_sel!$O$24,$E204=Tab_sel!$N$31,$F204=Tab_sel!$N$40,$I204=Tab_sel!$B$64),1,"")</f>
        <v>#N/A</v>
      </c>
      <c r="BT204" s="356" t="e">
        <f>IF(AND($BC204=0,$C204=Tab_sel!$P$7,$D204=Tab_sel!$O$24,$E204=Tab_sel!$N$31,$F204=Tab_sel!$N$40,$I204=Tab_sel!$B$65),1,"")</f>
        <v>#N/A</v>
      </c>
      <c r="BU204" s="856" t="e">
        <f>IF(AND($BC204=0,$C204=Tab_sel!$P$7,$D204=Tab_sel!$O$24,$E204=Tab_sel!$N$31,$F204=Tab_sel!$N$40,$I204=Tab_sel!$P$61,$H204=Tab_sel!$B$77),1,"")</f>
        <v>#N/A</v>
      </c>
      <c r="BV204" s="883" t="e">
        <f>IF(AND($BC204=0,$C204=Tab_sel!$P$7,$D204=Tab_sel!$O$24,$E204=Tab_sel!$N$31,$F204=Tab_sel!$N$40,$I204=Tab_sel!$P$61,$H204=Tab_sel!$B$78),1,"")</f>
        <v>#N/A</v>
      </c>
      <c r="BW204" s="883" t="e">
        <f>IF(AND($BC204=0,$C204=Tab_sel!$P$7,$D204=Tab_sel!$O$24,$E204=Tab_sel!$N$31,$F204=Tab_sel!$N$40,$I204=Tab_sel!$P$61,$H204=Tab_sel!$B$79),1,"")</f>
        <v>#N/A</v>
      </c>
      <c r="BX204" s="883" t="e">
        <f>IF(AND($BC204=0,$C204=Tab_sel!$P$7,$D204=Tab_sel!$O$24,$E204=Tab_sel!$N$31,$F204=Tab_sel!$N$40,$I204=Tab_sel!$P$61,$H204=Tab_sel!$B$80),1,"")</f>
        <v>#N/A</v>
      </c>
      <c r="BY204" s="883" t="e">
        <f>IF(AND($BC204=0,$C204=Tab_sel!$P$7,$D204=Tab_sel!$O$24,$E204=Tab_sel!$N$31,$F204=Tab_sel!$N$40,$I204=Tab_sel!$P$61,$H204=Tab_sel!$B$81),1,"")</f>
        <v>#N/A</v>
      </c>
      <c r="BZ204" s="857" t="e">
        <f>IF(AND($BC204=0,$C204=Tab_sel!$P$7,$D204=Tab_sel!$O$24,$E204=Tab_sel!$N$31,$F204=Tab_sel!$N$40,$I204=Tab_sel!$P$61,$H204=Tab_sel!$B$82),1,"")</f>
        <v>#N/A</v>
      </c>
      <c r="CA204" s="359"/>
      <c r="CC204">
        <f t="shared" si="77"/>
        <v>0</v>
      </c>
      <c r="CD204" s="882">
        <f t="shared" si="78"/>
        <v>0</v>
      </c>
      <c r="CE204" s="882">
        <f t="shared" si="79"/>
        <v>0</v>
      </c>
      <c r="CG204" t="s">
        <v>2634</v>
      </c>
      <c r="CH204" t="s">
        <v>2651</v>
      </c>
    </row>
    <row r="205" spans="2:86" ht="69.75" customHeight="1" x14ac:dyDescent="0.25">
      <c r="B205" s="791" t="s">
        <v>2433</v>
      </c>
      <c r="C205" s="874" t="s">
        <v>53</v>
      </c>
      <c r="D205" s="875" t="s">
        <v>23</v>
      </c>
      <c r="E205" s="780" t="str">
        <f>Env</f>
        <v>Environnement de travail et équipement des utilisateurs</v>
      </c>
      <c r="F205" s="768" t="str">
        <f t="shared" si="85"/>
        <v>Altération (non détectée) de fonction</v>
      </c>
      <c r="G205" s="876" t="s">
        <v>1144</v>
      </c>
      <c r="H205" s="876" t="s">
        <v>2434</v>
      </c>
      <c r="I205" s="874" t="s">
        <v>1203</v>
      </c>
      <c r="J205" s="877" t="s">
        <v>2370</v>
      </c>
      <c r="K205" s="877"/>
      <c r="L205" s="877"/>
      <c r="M205" s="788"/>
      <c r="N205" s="851"/>
      <c r="O205" s="851"/>
      <c r="P205" s="875"/>
      <c r="Q205" s="803"/>
      <c r="R205" s="803"/>
      <c r="S205" s="804"/>
      <c r="T205" s="875"/>
      <c r="U205" s="875"/>
      <c r="V205" s="805"/>
      <c r="W205" s="851"/>
      <c r="X205" s="851"/>
      <c r="Y205" s="875"/>
      <c r="Z205" s="875"/>
      <c r="AA205" s="875"/>
      <c r="AB205" s="805"/>
      <c r="AC205" s="806"/>
      <c r="AD205" s="806"/>
      <c r="AE205" s="806"/>
      <c r="AF205" s="806"/>
      <c r="AG205" s="806"/>
      <c r="AH205" s="805"/>
      <c r="AI205" s="807" t="str">
        <f t="shared" si="80"/>
        <v/>
      </c>
      <c r="AJ205" s="805"/>
      <c r="AK205" s="359"/>
      <c r="AM205" t="str">
        <f t="shared" si="86"/>
        <v/>
      </c>
      <c r="AN205">
        <f t="shared" si="87"/>
        <v>0</v>
      </c>
      <c r="AV205" s="882"/>
      <c r="AW205" s="882">
        <f t="shared" si="76"/>
        <v>0</v>
      </c>
      <c r="AX205" s="882">
        <f t="shared" si="81"/>
        <v>1</v>
      </c>
      <c r="AY205" s="882">
        <f t="shared" si="82"/>
        <v>1</v>
      </c>
      <c r="AZ205" s="927">
        <f t="shared" si="83"/>
        <v>1</v>
      </c>
      <c r="BA205" s="882">
        <v>0</v>
      </c>
      <c r="BB205" s="925">
        <f t="shared" si="88"/>
        <v>0</v>
      </c>
      <c r="BC205" s="882">
        <f t="shared" si="84"/>
        <v>1</v>
      </c>
      <c r="BD205" s="342" t="e">
        <f>IF(AND($BC205=0,C205=Tab_sel!$P$7,$D205=Tab_sel!$O$24,$E205=Tab_sel!$B$31),1,"")</f>
        <v>#N/A</v>
      </c>
      <c r="BE205" s="322" t="e">
        <f>IF(AND($BC205=0,C205=Tab_sel!$P$7,$D205=Tab_sel!$O$24,$E205=Tab_sel!$B$32),1,"")</f>
        <v>#N/A</v>
      </c>
      <c r="BF205" s="322" t="e">
        <f>IF(AND($BC205=0,C205=Tab_sel!$P$7,$D205=Tab_sel!$O$24,$E205=Tab_sel!$B$33),1,"")</f>
        <v>#N/A</v>
      </c>
      <c r="BG205" s="322" t="e">
        <f>IF(AND($BC205=0,C205=Tab_sel!$P$7,$D205=Tab_sel!$O$24,$E205=Tab_sel!$B$34),1,"")</f>
        <v>#N/A</v>
      </c>
      <c r="BH205" s="322" t="e">
        <f>IF(AND($BC205=0,C205=Tab_sel!$P$7,$D205=Tab_sel!$O$24,$E205=Tab_sel!$B$35),1,"")</f>
        <v>#N/A</v>
      </c>
      <c r="BI205" s="343" t="e">
        <f>IF(AND($BC205=0,C205=Tab_sel!$P$7,$D205=Tab_sel!$O$24,$E205=Tab_sel!$B$36),1,"")</f>
        <v>#N/A</v>
      </c>
      <c r="BJ205" s="342" t="e">
        <f>IF(AND($BC205=0,$C205=Tab_sel!$P$7,$D205=Tab_sel!$O$24,$E205=Tab_sel!$N$31,$F205=Tab_sel!$B$40),1,"")</f>
        <v>#N/A</v>
      </c>
      <c r="BK205" s="322" t="e">
        <f>IF(AND($BC205=0,$C205=Tab_sel!$P$7,$D205=Tab_sel!$O$24,$E205=Tab_sel!$N$31,$F205=Tab_sel!$B$41),1,"")</f>
        <v>#N/A</v>
      </c>
      <c r="BL205" s="322" t="e">
        <f>IF(AND($BC205=0,$C205=Tab_sel!$P$7,$D205=Tab_sel!$O$24,$E205=Tab_sel!$N$31,$F205=Tab_sel!$B$42),1,"")</f>
        <v>#N/A</v>
      </c>
      <c r="BM205" s="322" t="e">
        <f>IF(AND($BC205=0,$C205=Tab_sel!$P$7,$D205=Tab_sel!$O$24,$E205=Tab_sel!$N$31,$F205=Tab_sel!$B$43),1,"")</f>
        <v>#N/A</v>
      </c>
      <c r="BN205" s="322" t="e">
        <f>IF(AND($BC205=0,$C205=Tab_sel!$P$7,$D205=Tab_sel!$O$24,$E205=Tab_sel!$N$31,$F205=Tab_sel!$B$44),1,"")</f>
        <v>#N/A</v>
      </c>
      <c r="BO205" s="343" t="e">
        <f>IF(AND($BC205=0,$C205=Tab_sel!$P$7,$D205=Tab_sel!$O$24,$E205=Tab_sel!$N$31,$F205=Tab_sel!$B$45),1,"")</f>
        <v>#N/A</v>
      </c>
      <c r="BP205" s="354" t="e">
        <f>IF(AND($BC205=0,$C205=Tab_sel!$P$7,$D205=Tab_sel!$O$24,$E205=Tab_sel!$N$31,$F205=Tab_sel!$N$40,$I205=Tab_sel!$B$61),1,"")</f>
        <v>#N/A</v>
      </c>
      <c r="BQ205" s="355" t="e">
        <f>IF(AND($BC205=0,$C205=Tab_sel!$P$7,$D205=Tab_sel!$O$24,$E205=Tab_sel!$N$31,$F205=Tab_sel!$N$40,$I205=Tab_sel!$B$62),1,"")</f>
        <v>#N/A</v>
      </c>
      <c r="BR205" s="355" t="e">
        <f>IF(AND($BC205=0,$C205=Tab_sel!$P$7,$D205=Tab_sel!$O$24,$E205=Tab_sel!$N$31,$F205=Tab_sel!$N$40,$I205=Tab_sel!$B$63),1,"")</f>
        <v>#N/A</v>
      </c>
      <c r="BS205" s="355" t="e">
        <f>IF(AND($BC205=0,$C205=Tab_sel!$P$7,$D205=Tab_sel!$O$24,$E205=Tab_sel!$N$31,$F205=Tab_sel!$N$40,$I205=Tab_sel!$B$64),1,"")</f>
        <v>#N/A</v>
      </c>
      <c r="BT205" s="356" t="e">
        <f>IF(AND($BC205=0,$C205=Tab_sel!$P$7,$D205=Tab_sel!$O$24,$E205=Tab_sel!$N$31,$F205=Tab_sel!$N$40,$I205=Tab_sel!$B$65),1,"")</f>
        <v>#N/A</v>
      </c>
      <c r="BU205" s="856" t="e">
        <f>IF(AND($BC205=0,$C205=Tab_sel!$P$7,$D205=Tab_sel!$O$24,$E205=Tab_sel!$N$31,$F205=Tab_sel!$N$40,$I205=Tab_sel!$P$61,$H205=Tab_sel!$B$77),1,"")</f>
        <v>#N/A</v>
      </c>
      <c r="BV205" s="883" t="e">
        <f>IF(AND($BC205=0,$C205=Tab_sel!$P$7,$D205=Tab_sel!$O$24,$E205=Tab_sel!$N$31,$F205=Tab_sel!$N$40,$I205=Tab_sel!$P$61,$H205=Tab_sel!$B$78),1,"")</f>
        <v>#N/A</v>
      </c>
      <c r="BW205" s="883" t="e">
        <f>IF(AND($BC205=0,$C205=Tab_sel!$P$7,$D205=Tab_sel!$O$24,$E205=Tab_sel!$N$31,$F205=Tab_sel!$N$40,$I205=Tab_sel!$P$61,$H205=Tab_sel!$B$79),1,"")</f>
        <v>#N/A</v>
      </c>
      <c r="BX205" s="883" t="e">
        <f>IF(AND($BC205=0,$C205=Tab_sel!$P$7,$D205=Tab_sel!$O$24,$E205=Tab_sel!$N$31,$F205=Tab_sel!$N$40,$I205=Tab_sel!$P$61,$H205=Tab_sel!$B$80),1,"")</f>
        <v>#N/A</v>
      </c>
      <c r="BY205" s="883" t="e">
        <f>IF(AND($BC205=0,$C205=Tab_sel!$P$7,$D205=Tab_sel!$O$24,$E205=Tab_sel!$N$31,$F205=Tab_sel!$N$40,$I205=Tab_sel!$P$61,$H205=Tab_sel!$B$81),1,"")</f>
        <v>#N/A</v>
      </c>
      <c r="BZ205" s="857" t="e">
        <f>IF(AND($BC205=0,$C205=Tab_sel!$P$7,$D205=Tab_sel!$O$24,$E205=Tab_sel!$N$31,$F205=Tab_sel!$N$40,$I205=Tab_sel!$P$61,$H205=Tab_sel!$B$82),1,"")</f>
        <v>#N/A</v>
      </c>
      <c r="CA205" s="359"/>
      <c r="CC205">
        <f t="shared" si="77"/>
        <v>0</v>
      </c>
      <c r="CD205" s="882">
        <f t="shared" si="78"/>
        <v>0</v>
      </c>
      <c r="CE205" s="882">
        <f t="shared" si="79"/>
        <v>0</v>
      </c>
      <c r="CG205" t="s">
        <v>2614</v>
      </c>
    </row>
    <row r="206" spans="2:86" ht="69.75" customHeight="1" x14ac:dyDescent="0.25">
      <c r="B206" s="791" t="s">
        <v>2435</v>
      </c>
      <c r="C206" s="874" t="s">
        <v>53</v>
      </c>
      <c r="D206" s="875" t="s">
        <v>23</v>
      </c>
      <c r="E206" s="780" t="str">
        <f>Env</f>
        <v>Environnement de travail et équipement des utilisateurs</v>
      </c>
      <c r="F206" s="768" t="str">
        <f t="shared" si="85"/>
        <v>Altération (non détectée) de fonction</v>
      </c>
      <c r="G206" s="876" t="s">
        <v>1144</v>
      </c>
      <c r="H206" s="876" t="s">
        <v>2436</v>
      </c>
      <c r="I206" s="874" t="s">
        <v>1203</v>
      </c>
      <c r="J206" s="877"/>
      <c r="K206" s="877" t="s">
        <v>1303</v>
      </c>
      <c r="L206" s="877"/>
      <c r="M206" s="788"/>
      <c r="N206" s="851"/>
      <c r="O206" s="851"/>
      <c r="P206" s="875"/>
      <c r="Q206" s="803"/>
      <c r="R206" s="803"/>
      <c r="S206" s="804"/>
      <c r="T206" s="875"/>
      <c r="U206" s="875"/>
      <c r="V206" s="805"/>
      <c r="W206" s="851"/>
      <c r="X206" s="851"/>
      <c r="Y206" s="875"/>
      <c r="Z206" s="875"/>
      <c r="AA206" s="875"/>
      <c r="AB206" s="805"/>
      <c r="AC206" s="806"/>
      <c r="AD206" s="806"/>
      <c r="AE206" s="806"/>
      <c r="AF206" s="806"/>
      <c r="AG206" s="806"/>
      <c r="AH206" s="805"/>
      <c r="AI206" s="807" t="str">
        <f t="shared" si="80"/>
        <v/>
      </c>
      <c r="AJ206" s="805"/>
      <c r="AK206" s="359"/>
      <c r="AM206" t="str">
        <f t="shared" si="86"/>
        <v/>
      </c>
      <c r="AN206">
        <f t="shared" si="87"/>
        <v>0</v>
      </c>
      <c r="AV206" s="882"/>
      <c r="AW206" s="882">
        <f t="shared" si="76"/>
        <v>0</v>
      </c>
      <c r="AX206" s="882">
        <f t="shared" si="81"/>
        <v>1</v>
      </c>
      <c r="AY206" s="882">
        <f t="shared" si="82"/>
        <v>1</v>
      </c>
      <c r="AZ206" s="927">
        <f t="shared" si="83"/>
        <v>1</v>
      </c>
      <c r="BA206" s="882">
        <v>0</v>
      </c>
      <c r="BB206" s="925">
        <f t="shared" si="88"/>
        <v>0</v>
      </c>
      <c r="BC206" s="882">
        <f t="shared" si="84"/>
        <v>1</v>
      </c>
      <c r="BD206" s="342" t="e">
        <f>IF(AND($BC206=0,C206=Tab_sel!$P$7,$D206=Tab_sel!$O$24,$E206=Tab_sel!$B$31),1,"")</f>
        <v>#N/A</v>
      </c>
      <c r="BE206" s="322" t="e">
        <f>IF(AND($BC206=0,C206=Tab_sel!$P$7,$D206=Tab_sel!$O$24,$E206=Tab_sel!$B$32),1,"")</f>
        <v>#N/A</v>
      </c>
      <c r="BF206" s="322" t="e">
        <f>IF(AND($BC206=0,C206=Tab_sel!$P$7,$D206=Tab_sel!$O$24,$E206=Tab_sel!$B$33),1,"")</f>
        <v>#N/A</v>
      </c>
      <c r="BG206" s="322" t="e">
        <f>IF(AND($BC206=0,C206=Tab_sel!$P$7,$D206=Tab_sel!$O$24,$E206=Tab_sel!$B$34),1,"")</f>
        <v>#N/A</v>
      </c>
      <c r="BH206" s="322" t="e">
        <f>IF(AND($BC206=0,C206=Tab_sel!$P$7,$D206=Tab_sel!$O$24,$E206=Tab_sel!$B$35),1,"")</f>
        <v>#N/A</v>
      </c>
      <c r="BI206" s="343" t="e">
        <f>IF(AND($BC206=0,C206=Tab_sel!$P$7,$D206=Tab_sel!$O$24,$E206=Tab_sel!$B$36),1,"")</f>
        <v>#N/A</v>
      </c>
      <c r="BJ206" s="342" t="e">
        <f>IF(AND($BC206=0,$C206=Tab_sel!$P$7,$D206=Tab_sel!$O$24,$E206=Tab_sel!$N$31,$F206=Tab_sel!$B$40),1,"")</f>
        <v>#N/A</v>
      </c>
      <c r="BK206" s="322" t="e">
        <f>IF(AND($BC206=0,$C206=Tab_sel!$P$7,$D206=Tab_sel!$O$24,$E206=Tab_sel!$N$31,$F206=Tab_sel!$B$41),1,"")</f>
        <v>#N/A</v>
      </c>
      <c r="BL206" s="322" t="e">
        <f>IF(AND($BC206=0,$C206=Tab_sel!$P$7,$D206=Tab_sel!$O$24,$E206=Tab_sel!$N$31,$F206=Tab_sel!$B$42),1,"")</f>
        <v>#N/A</v>
      </c>
      <c r="BM206" s="322" t="e">
        <f>IF(AND($BC206=0,$C206=Tab_sel!$P$7,$D206=Tab_sel!$O$24,$E206=Tab_sel!$N$31,$F206=Tab_sel!$B$43),1,"")</f>
        <v>#N/A</v>
      </c>
      <c r="BN206" s="322" t="e">
        <f>IF(AND($BC206=0,$C206=Tab_sel!$P$7,$D206=Tab_sel!$O$24,$E206=Tab_sel!$N$31,$F206=Tab_sel!$B$44),1,"")</f>
        <v>#N/A</v>
      </c>
      <c r="BO206" s="343" t="e">
        <f>IF(AND($BC206=0,$C206=Tab_sel!$P$7,$D206=Tab_sel!$O$24,$E206=Tab_sel!$N$31,$F206=Tab_sel!$B$45),1,"")</f>
        <v>#N/A</v>
      </c>
      <c r="BP206" s="354" t="e">
        <f>IF(AND($BC206=0,$C206=Tab_sel!$P$7,$D206=Tab_sel!$O$24,$E206=Tab_sel!$N$31,$F206=Tab_sel!$N$40,$I206=Tab_sel!$B$61),1,"")</f>
        <v>#N/A</v>
      </c>
      <c r="BQ206" s="355" t="e">
        <f>IF(AND($BC206=0,$C206=Tab_sel!$P$7,$D206=Tab_sel!$O$24,$E206=Tab_sel!$N$31,$F206=Tab_sel!$N$40,$I206=Tab_sel!$B$62),1,"")</f>
        <v>#N/A</v>
      </c>
      <c r="BR206" s="355" t="e">
        <f>IF(AND($BC206=0,$C206=Tab_sel!$P$7,$D206=Tab_sel!$O$24,$E206=Tab_sel!$N$31,$F206=Tab_sel!$N$40,$I206=Tab_sel!$B$63),1,"")</f>
        <v>#N/A</v>
      </c>
      <c r="BS206" s="355" t="e">
        <f>IF(AND($BC206=0,$C206=Tab_sel!$P$7,$D206=Tab_sel!$O$24,$E206=Tab_sel!$N$31,$F206=Tab_sel!$N$40,$I206=Tab_sel!$B$64),1,"")</f>
        <v>#N/A</v>
      </c>
      <c r="BT206" s="356" t="e">
        <f>IF(AND($BC206=0,$C206=Tab_sel!$P$7,$D206=Tab_sel!$O$24,$E206=Tab_sel!$N$31,$F206=Tab_sel!$N$40,$I206=Tab_sel!$B$65),1,"")</f>
        <v>#N/A</v>
      </c>
      <c r="BU206" s="856" t="e">
        <f>IF(AND($BC206=0,$C206=Tab_sel!$P$7,$D206=Tab_sel!$O$24,$E206=Tab_sel!$N$31,$F206=Tab_sel!$N$40,$I206=Tab_sel!$P$61,$H206=Tab_sel!$B$77),1,"")</f>
        <v>#N/A</v>
      </c>
      <c r="BV206" s="883" t="e">
        <f>IF(AND($BC206=0,$C206=Tab_sel!$P$7,$D206=Tab_sel!$O$24,$E206=Tab_sel!$N$31,$F206=Tab_sel!$N$40,$I206=Tab_sel!$P$61,$H206=Tab_sel!$B$78),1,"")</f>
        <v>#N/A</v>
      </c>
      <c r="BW206" s="883" t="e">
        <f>IF(AND($BC206=0,$C206=Tab_sel!$P$7,$D206=Tab_sel!$O$24,$E206=Tab_sel!$N$31,$F206=Tab_sel!$N$40,$I206=Tab_sel!$P$61,$H206=Tab_sel!$B$79),1,"")</f>
        <v>#N/A</v>
      </c>
      <c r="BX206" s="883" t="e">
        <f>IF(AND($BC206=0,$C206=Tab_sel!$P$7,$D206=Tab_sel!$O$24,$E206=Tab_sel!$N$31,$F206=Tab_sel!$N$40,$I206=Tab_sel!$P$61,$H206=Tab_sel!$B$80),1,"")</f>
        <v>#N/A</v>
      </c>
      <c r="BY206" s="883" t="e">
        <f>IF(AND($BC206=0,$C206=Tab_sel!$P$7,$D206=Tab_sel!$O$24,$E206=Tab_sel!$N$31,$F206=Tab_sel!$N$40,$I206=Tab_sel!$P$61,$H206=Tab_sel!$B$81),1,"")</f>
        <v>#N/A</v>
      </c>
      <c r="BZ206" s="857" t="e">
        <f>IF(AND($BC206=0,$C206=Tab_sel!$P$7,$D206=Tab_sel!$O$24,$E206=Tab_sel!$N$31,$F206=Tab_sel!$N$40,$I206=Tab_sel!$P$61,$H206=Tab_sel!$B$82),1,"")</f>
        <v>#N/A</v>
      </c>
      <c r="CA206" s="359"/>
      <c r="CC206">
        <f t="shared" si="77"/>
        <v>0</v>
      </c>
      <c r="CD206" s="882">
        <f t="shared" si="78"/>
        <v>0</v>
      </c>
      <c r="CE206" s="882">
        <f t="shared" si="79"/>
        <v>0</v>
      </c>
      <c r="CH206" t="s">
        <v>2635</v>
      </c>
    </row>
    <row r="207" spans="2:86" ht="45" customHeight="1" x14ac:dyDescent="0.25">
      <c r="B207" s="791" t="s">
        <v>1488</v>
      </c>
      <c r="C207" s="771" t="s">
        <v>53</v>
      </c>
      <c r="D207" s="772" t="s">
        <v>34</v>
      </c>
      <c r="E207" s="771" t="str">
        <f>Cfg</f>
        <v>Configuration systèmes et applications</v>
      </c>
      <c r="F207" s="768" t="str">
        <f t="shared" ref="F207:F214" si="89">Dive</f>
        <v>Divulgation de données</v>
      </c>
      <c r="G207" s="768" t="s">
        <v>1489</v>
      </c>
      <c r="H207" s="768"/>
      <c r="I207" s="771" t="s">
        <v>1202</v>
      </c>
      <c r="J207" s="769" t="s">
        <v>2689</v>
      </c>
      <c r="K207" s="769" t="s">
        <v>1300</v>
      </c>
      <c r="L207" s="779"/>
      <c r="M207" s="796"/>
      <c r="N207" s="767"/>
      <c r="O207" s="767"/>
      <c r="P207" s="772"/>
      <c r="Q207" s="803"/>
      <c r="R207" s="803"/>
      <c r="S207" s="804"/>
      <c r="T207" s="772"/>
      <c r="U207" s="772"/>
      <c r="V207" s="805"/>
      <c r="W207" s="767"/>
      <c r="X207" s="767"/>
      <c r="Y207" s="772"/>
      <c r="Z207" s="772"/>
      <c r="AA207" s="772"/>
      <c r="AB207" s="805"/>
      <c r="AC207" s="806"/>
      <c r="AD207" s="806"/>
      <c r="AE207" s="806"/>
      <c r="AF207" s="806"/>
      <c r="AG207" s="806"/>
      <c r="AH207" s="805"/>
      <c r="AI207" s="807" t="str">
        <f t="shared" si="80"/>
        <v/>
      </c>
      <c r="AJ207" s="805"/>
      <c r="AK207" s="359"/>
      <c r="AM207" t="str">
        <f t="shared" si="86"/>
        <v/>
      </c>
      <c r="AN207">
        <f t="shared" si="87"/>
        <v>0</v>
      </c>
      <c r="AW207" s="882">
        <f t="shared" si="76"/>
        <v>0</v>
      </c>
      <c r="AX207" s="882">
        <f t="shared" si="81"/>
        <v>1</v>
      </c>
      <c r="AY207" s="882">
        <f t="shared" si="82"/>
        <v>1</v>
      </c>
      <c r="AZ207" s="927">
        <f t="shared" si="83"/>
        <v>1</v>
      </c>
      <c r="BA207" s="882">
        <v>1</v>
      </c>
      <c r="BB207" s="925">
        <f t="shared" si="88"/>
        <v>0</v>
      </c>
      <c r="BC207" s="882">
        <f t="shared" si="84"/>
        <v>1</v>
      </c>
      <c r="BD207" s="342" t="e">
        <f>IF(AND($BC207=0,C207=Tab_sel!$P$7,$D207=Tab_sel!$O$24,$E207=Tab_sel!$B$31),1,"")</f>
        <v>#N/A</v>
      </c>
      <c r="BE207" s="322" t="e">
        <f>IF(AND($BC207=0,C207=Tab_sel!$P$7,$D207=Tab_sel!$O$24,$E207=Tab_sel!$B$32),1,"")</f>
        <v>#N/A</v>
      </c>
      <c r="BF207" s="322" t="e">
        <f>IF(AND($BC207=0,C207=Tab_sel!$P$7,$D207=Tab_sel!$O$24,$E207=Tab_sel!$B$33),1,"")</f>
        <v>#N/A</v>
      </c>
      <c r="BG207" s="322" t="e">
        <f>IF(AND($BC207=0,C207=Tab_sel!$P$7,$D207=Tab_sel!$O$24,$E207=Tab_sel!$B$34),1,"")</f>
        <v>#N/A</v>
      </c>
      <c r="BH207" s="322" t="e">
        <f>IF(AND($BC207=0,C207=Tab_sel!$P$7,$D207=Tab_sel!$O$24,$E207=Tab_sel!$B$35),1,"")</f>
        <v>#N/A</v>
      </c>
      <c r="BI207" s="343" t="e">
        <f>IF(AND($BC207=0,C207=Tab_sel!$P$7,$D207=Tab_sel!$O$24,$E207=Tab_sel!$B$36),1,"")</f>
        <v>#N/A</v>
      </c>
      <c r="BJ207" s="342" t="e">
        <f>IF(AND($BC207=0,$C207=Tab_sel!$P$7,$D207=Tab_sel!$O$24,$E207=Tab_sel!$N$31,$F207=Tab_sel!$B$40),1,"")</f>
        <v>#N/A</v>
      </c>
      <c r="BK207" s="322" t="e">
        <f>IF(AND($BC207=0,$C207=Tab_sel!$P$7,$D207=Tab_sel!$O$24,$E207=Tab_sel!$N$31,$F207=Tab_sel!$B$41),1,"")</f>
        <v>#N/A</v>
      </c>
      <c r="BL207" s="322" t="e">
        <f>IF(AND($BC207=0,$C207=Tab_sel!$P$7,$D207=Tab_sel!$O$24,$E207=Tab_sel!$N$31,$F207=Tab_sel!$B$42),1,"")</f>
        <v>#N/A</v>
      </c>
      <c r="BM207" s="322" t="e">
        <f>IF(AND($BC207=0,$C207=Tab_sel!$P$7,$D207=Tab_sel!$O$24,$E207=Tab_sel!$N$31,$F207=Tab_sel!$B$43),1,"")</f>
        <v>#N/A</v>
      </c>
      <c r="BN207" s="322" t="e">
        <f>IF(AND($BC207=0,$C207=Tab_sel!$P$7,$D207=Tab_sel!$O$24,$E207=Tab_sel!$N$31,$F207=Tab_sel!$B$44),1,"")</f>
        <v>#N/A</v>
      </c>
      <c r="BO207" s="343" t="e">
        <f>IF(AND($BC207=0,$C207=Tab_sel!$P$7,$D207=Tab_sel!$O$24,$E207=Tab_sel!$N$31,$F207=Tab_sel!$B$45),1,"")</f>
        <v>#N/A</v>
      </c>
      <c r="BP207" s="354" t="e">
        <f>IF(AND($BC207=0,$C207=Tab_sel!$P$7,$D207=Tab_sel!$O$24,$E207=Tab_sel!$N$31,$F207=Tab_sel!$N$40,$I207=Tab_sel!$B$61),1,"")</f>
        <v>#N/A</v>
      </c>
      <c r="BQ207" s="355" t="e">
        <f>IF(AND($BC207=0,$C207=Tab_sel!$P$7,$D207=Tab_sel!$O$24,$E207=Tab_sel!$N$31,$F207=Tab_sel!$N$40,$I207=Tab_sel!$B$62),1,"")</f>
        <v>#N/A</v>
      </c>
      <c r="BR207" s="355" t="e">
        <f>IF(AND($BC207=0,$C207=Tab_sel!$P$7,$D207=Tab_sel!$O$24,$E207=Tab_sel!$N$31,$F207=Tab_sel!$N$40,$I207=Tab_sel!$B$63),1,"")</f>
        <v>#N/A</v>
      </c>
      <c r="BS207" s="355" t="e">
        <f>IF(AND($BC207=0,$C207=Tab_sel!$P$7,$D207=Tab_sel!$O$24,$E207=Tab_sel!$N$31,$F207=Tab_sel!$N$40,$I207=Tab_sel!$B$64),1,"")</f>
        <v>#N/A</v>
      </c>
      <c r="BT207" s="356" t="e">
        <f>IF(AND($BC207=0,$C207=Tab_sel!$P$7,$D207=Tab_sel!$O$24,$E207=Tab_sel!$N$31,$F207=Tab_sel!$N$40,$I207=Tab_sel!$B$65),1,"")</f>
        <v>#N/A</v>
      </c>
      <c r="BU207" s="856" t="e">
        <f>IF(AND($BC207=0,$C207=Tab_sel!$P$7,$D207=Tab_sel!$O$24,$E207=Tab_sel!$N$31,$F207=Tab_sel!$N$40,$I207=Tab_sel!$P$61,$H207=Tab_sel!$B$77),1,"")</f>
        <v>#N/A</v>
      </c>
      <c r="BV207" s="883" t="e">
        <f>IF(AND($BC207=0,$C207=Tab_sel!$P$7,$D207=Tab_sel!$O$24,$E207=Tab_sel!$N$31,$F207=Tab_sel!$N$40,$I207=Tab_sel!$P$61,$H207=Tab_sel!$B$78),1,"")</f>
        <v>#N/A</v>
      </c>
      <c r="BW207" s="883" t="e">
        <f>IF(AND($BC207=0,$C207=Tab_sel!$P$7,$D207=Tab_sel!$O$24,$E207=Tab_sel!$N$31,$F207=Tab_sel!$N$40,$I207=Tab_sel!$P$61,$H207=Tab_sel!$B$79),1,"")</f>
        <v>#N/A</v>
      </c>
      <c r="BX207" s="883" t="e">
        <f>IF(AND($BC207=0,$C207=Tab_sel!$P$7,$D207=Tab_sel!$O$24,$E207=Tab_sel!$N$31,$F207=Tab_sel!$N$40,$I207=Tab_sel!$P$61,$H207=Tab_sel!$B$80),1,"")</f>
        <v>#N/A</v>
      </c>
      <c r="BY207" s="883" t="e">
        <f>IF(AND($BC207=0,$C207=Tab_sel!$P$7,$D207=Tab_sel!$O$24,$E207=Tab_sel!$N$31,$F207=Tab_sel!$N$40,$I207=Tab_sel!$P$61,$H207=Tab_sel!$B$81),1,"")</f>
        <v>#N/A</v>
      </c>
      <c r="BZ207" s="857" t="e">
        <f>IF(AND($BC207=0,$C207=Tab_sel!$P$7,$D207=Tab_sel!$O$24,$E207=Tab_sel!$N$31,$F207=Tab_sel!$N$40,$I207=Tab_sel!$P$61,$H207=Tab_sel!$B$82),1,"")</f>
        <v>#N/A</v>
      </c>
      <c r="CA207" s="359"/>
      <c r="CC207">
        <f t="shared" si="77"/>
        <v>0</v>
      </c>
      <c r="CD207" s="882">
        <f t="shared" si="78"/>
        <v>0</v>
      </c>
      <c r="CE207" s="882">
        <f t="shared" si="79"/>
        <v>0</v>
      </c>
      <c r="CG207" t="s">
        <v>2704</v>
      </c>
      <c r="CH207" t="s">
        <v>2610</v>
      </c>
    </row>
    <row r="208" spans="2:86" ht="45" customHeight="1" x14ac:dyDescent="0.25">
      <c r="B208" s="791" t="s">
        <v>2437</v>
      </c>
      <c r="C208" s="874" t="s">
        <v>53</v>
      </c>
      <c r="D208" s="875" t="s">
        <v>34</v>
      </c>
      <c r="E208" s="771" t="str">
        <f>Cfg</f>
        <v>Configuration systèmes et applications</v>
      </c>
      <c r="F208" s="768" t="str">
        <f t="shared" si="89"/>
        <v>Divulgation de données</v>
      </c>
      <c r="G208" s="876" t="s">
        <v>1489</v>
      </c>
      <c r="H208" s="876" t="s">
        <v>2344</v>
      </c>
      <c r="I208" s="874" t="s">
        <v>1202</v>
      </c>
      <c r="J208" s="877"/>
      <c r="K208" s="877" t="s">
        <v>1300</v>
      </c>
      <c r="L208" s="885"/>
      <c r="M208" s="796"/>
      <c r="N208" s="851"/>
      <c r="O208" s="851"/>
      <c r="P208" s="875"/>
      <c r="Q208" s="803"/>
      <c r="R208" s="803"/>
      <c r="S208" s="804"/>
      <c r="T208" s="875"/>
      <c r="U208" s="875"/>
      <c r="V208" s="805"/>
      <c r="W208" s="851"/>
      <c r="X208" s="851"/>
      <c r="Y208" s="875"/>
      <c r="Z208" s="875"/>
      <c r="AA208" s="875"/>
      <c r="AB208" s="805"/>
      <c r="AC208" s="806"/>
      <c r="AD208" s="806"/>
      <c r="AE208" s="806"/>
      <c r="AF208" s="806"/>
      <c r="AG208" s="806"/>
      <c r="AH208" s="805"/>
      <c r="AI208" s="807" t="str">
        <f t="shared" si="80"/>
        <v/>
      </c>
      <c r="AJ208" s="805"/>
      <c r="AK208" s="359"/>
      <c r="AM208" t="str">
        <f t="shared" si="86"/>
        <v/>
      </c>
      <c r="AN208">
        <f t="shared" si="87"/>
        <v>0</v>
      </c>
      <c r="AV208" s="882"/>
      <c r="AW208" s="882">
        <f t="shared" si="76"/>
        <v>0</v>
      </c>
      <c r="AX208" s="882">
        <f t="shared" si="81"/>
        <v>1</v>
      </c>
      <c r="AY208" s="882">
        <f t="shared" si="82"/>
        <v>1</v>
      </c>
      <c r="AZ208" s="927">
        <f t="shared" si="83"/>
        <v>1</v>
      </c>
      <c r="BA208" s="882">
        <v>0</v>
      </c>
      <c r="BB208" s="925">
        <f t="shared" si="88"/>
        <v>0</v>
      </c>
      <c r="BC208" s="882">
        <f t="shared" si="84"/>
        <v>1</v>
      </c>
      <c r="BD208" s="342" t="e">
        <f>IF(AND($BC208=0,C208=Tab_sel!$P$7,$D208=Tab_sel!$O$24,$E208=Tab_sel!$B$31),1,"")</f>
        <v>#N/A</v>
      </c>
      <c r="BE208" s="322" t="e">
        <f>IF(AND($BC208=0,C208=Tab_sel!$P$7,$D208=Tab_sel!$O$24,$E208=Tab_sel!$B$32),1,"")</f>
        <v>#N/A</v>
      </c>
      <c r="BF208" s="322" t="e">
        <f>IF(AND($BC208=0,C208=Tab_sel!$P$7,$D208=Tab_sel!$O$24,$E208=Tab_sel!$B$33),1,"")</f>
        <v>#N/A</v>
      </c>
      <c r="BG208" s="322" t="e">
        <f>IF(AND($BC208=0,C208=Tab_sel!$P$7,$D208=Tab_sel!$O$24,$E208=Tab_sel!$B$34),1,"")</f>
        <v>#N/A</v>
      </c>
      <c r="BH208" s="322" t="e">
        <f>IF(AND($BC208=0,C208=Tab_sel!$P$7,$D208=Tab_sel!$O$24,$E208=Tab_sel!$B$35),1,"")</f>
        <v>#N/A</v>
      </c>
      <c r="BI208" s="343" t="e">
        <f>IF(AND($BC208=0,C208=Tab_sel!$P$7,$D208=Tab_sel!$O$24,$E208=Tab_sel!$B$36),1,"")</f>
        <v>#N/A</v>
      </c>
      <c r="BJ208" s="342" t="e">
        <f>IF(AND($BC208=0,$C208=Tab_sel!$P$7,$D208=Tab_sel!$O$24,$E208=Tab_sel!$N$31,$F208=Tab_sel!$B$40),1,"")</f>
        <v>#N/A</v>
      </c>
      <c r="BK208" s="322" t="e">
        <f>IF(AND($BC208=0,$C208=Tab_sel!$P$7,$D208=Tab_sel!$O$24,$E208=Tab_sel!$N$31,$F208=Tab_sel!$B$41),1,"")</f>
        <v>#N/A</v>
      </c>
      <c r="BL208" s="322" t="e">
        <f>IF(AND($BC208=0,$C208=Tab_sel!$P$7,$D208=Tab_sel!$O$24,$E208=Tab_sel!$N$31,$F208=Tab_sel!$B$42),1,"")</f>
        <v>#N/A</v>
      </c>
      <c r="BM208" s="322" t="e">
        <f>IF(AND($BC208=0,$C208=Tab_sel!$P$7,$D208=Tab_sel!$O$24,$E208=Tab_sel!$N$31,$F208=Tab_sel!$B$43),1,"")</f>
        <v>#N/A</v>
      </c>
      <c r="BN208" s="322" t="e">
        <f>IF(AND($BC208=0,$C208=Tab_sel!$P$7,$D208=Tab_sel!$O$24,$E208=Tab_sel!$N$31,$F208=Tab_sel!$B$44),1,"")</f>
        <v>#N/A</v>
      </c>
      <c r="BO208" s="343" t="e">
        <f>IF(AND($BC208=0,$C208=Tab_sel!$P$7,$D208=Tab_sel!$O$24,$E208=Tab_sel!$N$31,$F208=Tab_sel!$B$45),1,"")</f>
        <v>#N/A</v>
      </c>
      <c r="BP208" s="354" t="e">
        <f>IF(AND($BC208=0,$C208=Tab_sel!$P$7,$D208=Tab_sel!$O$24,$E208=Tab_sel!$N$31,$F208=Tab_sel!$N$40,$I208=Tab_sel!$B$61),1,"")</f>
        <v>#N/A</v>
      </c>
      <c r="BQ208" s="355" t="e">
        <f>IF(AND($BC208=0,$C208=Tab_sel!$P$7,$D208=Tab_sel!$O$24,$E208=Tab_sel!$N$31,$F208=Tab_sel!$N$40,$I208=Tab_sel!$B$62),1,"")</f>
        <v>#N/A</v>
      </c>
      <c r="BR208" s="355" t="e">
        <f>IF(AND($BC208=0,$C208=Tab_sel!$P$7,$D208=Tab_sel!$O$24,$E208=Tab_sel!$N$31,$F208=Tab_sel!$N$40,$I208=Tab_sel!$B$63),1,"")</f>
        <v>#N/A</v>
      </c>
      <c r="BS208" s="355" t="e">
        <f>IF(AND($BC208=0,$C208=Tab_sel!$P$7,$D208=Tab_sel!$O$24,$E208=Tab_sel!$N$31,$F208=Tab_sel!$N$40,$I208=Tab_sel!$B$64),1,"")</f>
        <v>#N/A</v>
      </c>
      <c r="BT208" s="356" t="e">
        <f>IF(AND($BC208=0,$C208=Tab_sel!$P$7,$D208=Tab_sel!$O$24,$E208=Tab_sel!$N$31,$F208=Tab_sel!$N$40,$I208=Tab_sel!$B$65),1,"")</f>
        <v>#N/A</v>
      </c>
      <c r="BU208" s="856" t="e">
        <f>IF(AND($BC208=0,$C208=Tab_sel!$P$7,$D208=Tab_sel!$O$24,$E208=Tab_sel!$N$31,$F208=Tab_sel!$N$40,$I208=Tab_sel!$P$61,$H208=Tab_sel!$B$77),1,"")</f>
        <v>#N/A</v>
      </c>
      <c r="BV208" s="883" t="e">
        <f>IF(AND($BC208=0,$C208=Tab_sel!$P$7,$D208=Tab_sel!$O$24,$E208=Tab_sel!$N$31,$F208=Tab_sel!$N$40,$I208=Tab_sel!$P$61,$H208=Tab_sel!$B$78),1,"")</f>
        <v>#N/A</v>
      </c>
      <c r="BW208" s="883" t="e">
        <f>IF(AND($BC208=0,$C208=Tab_sel!$P$7,$D208=Tab_sel!$O$24,$E208=Tab_sel!$N$31,$F208=Tab_sel!$N$40,$I208=Tab_sel!$P$61,$H208=Tab_sel!$B$79),1,"")</f>
        <v>#N/A</v>
      </c>
      <c r="BX208" s="883" t="e">
        <f>IF(AND($BC208=0,$C208=Tab_sel!$P$7,$D208=Tab_sel!$O$24,$E208=Tab_sel!$N$31,$F208=Tab_sel!$N$40,$I208=Tab_sel!$P$61,$H208=Tab_sel!$B$80),1,"")</f>
        <v>#N/A</v>
      </c>
      <c r="BY208" s="883" t="e">
        <f>IF(AND($BC208=0,$C208=Tab_sel!$P$7,$D208=Tab_sel!$O$24,$E208=Tab_sel!$N$31,$F208=Tab_sel!$N$40,$I208=Tab_sel!$P$61,$H208=Tab_sel!$B$81),1,"")</f>
        <v>#N/A</v>
      </c>
      <c r="BZ208" s="857" t="e">
        <f>IF(AND($BC208=0,$C208=Tab_sel!$P$7,$D208=Tab_sel!$O$24,$E208=Tab_sel!$N$31,$F208=Tab_sel!$N$40,$I208=Tab_sel!$P$61,$H208=Tab_sel!$B$82),1,"")</f>
        <v>#N/A</v>
      </c>
      <c r="CA208" s="359"/>
      <c r="CC208">
        <f t="shared" si="77"/>
        <v>0</v>
      </c>
      <c r="CD208" s="882">
        <f t="shared" si="78"/>
        <v>0</v>
      </c>
      <c r="CE208" s="882">
        <f t="shared" si="79"/>
        <v>0</v>
      </c>
      <c r="CH208" t="s">
        <v>2610</v>
      </c>
    </row>
    <row r="209" spans="2:88" ht="45" customHeight="1" x14ac:dyDescent="0.25">
      <c r="B209" s="791" t="s">
        <v>2438</v>
      </c>
      <c r="C209" s="874" t="s">
        <v>53</v>
      </c>
      <c r="D209" s="875" t="s">
        <v>34</v>
      </c>
      <c r="E209" s="771" t="str">
        <f>Cfg</f>
        <v>Configuration systèmes et applications</v>
      </c>
      <c r="F209" s="768" t="str">
        <f t="shared" si="89"/>
        <v>Divulgation de données</v>
      </c>
      <c r="G209" s="876" t="s">
        <v>1489</v>
      </c>
      <c r="H209" s="876" t="s">
        <v>2345</v>
      </c>
      <c r="I209" s="874" t="s">
        <v>1202</v>
      </c>
      <c r="J209" s="877" t="s">
        <v>2537</v>
      </c>
      <c r="K209" s="877"/>
      <c r="L209" s="885"/>
      <c r="M209" s="796"/>
      <c r="N209" s="851"/>
      <c r="O209" s="851"/>
      <c r="P209" s="875"/>
      <c r="Q209" s="803"/>
      <c r="R209" s="803"/>
      <c r="S209" s="804"/>
      <c r="T209" s="875"/>
      <c r="U209" s="875"/>
      <c r="V209" s="805"/>
      <c r="W209" s="851"/>
      <c r="X209" s="851"/>
      <c r="Y209" s="875"/>
      <c r="Z209" s="875"/>
      <c r="AA209" s="875"/>
      <c r="AB209" s="805"/>
      <c r="AC209" s="806"/>
      <c r="AD209" s="806"/>
      <c r="AE209" s="806"/>
      <c r="AF209" s="806"/>
      <c r="AG209" s="806"/>
      <c r="AH209" s="805"/>
      <c r="AI209" s="807" t="str">
        <f t="shared" si="80"/>
        <v/>
      </c>
      <c r="AJ209" s="805"/>
      <c r="AK209" s="359"/>
      <c r="AM209" t="str">
        <f t="shared" si="86"/>
        <v/>
      </c>
      <c r="AN209">
        <f t="shared" si="87"/>
        <v>0</v>
      </c>
      <c r="AV209" s="882"/>
      <c r="AW209" s="882">
        <f t="shared" si="76"/>
        <v>0</v>
      </c>
      <c r="AX209" s="882">
        <f t="shared" si="81"/>
        <v>1</v>
      </c>
      <c r="AY209" s="882">
        <f t="shared" si="82"/>
        <v>1</v>
      </c>
      <c r="AZ209" s="927">
        <f t="shared" si="83"/>
        <v>1</v>
      </c>
      <c r="BA209" s="882">
        <v>0</v>
      </c>
      <c r="BB209" s="925">
        <f t="shared" si="88"/>
        <v>0</v>
      </c>
      <c r="BC209" s="882">
        <f t="shared" si="84"/>
        <v>1</v>
      </c>
      <c r="BD209" s="342" t="e">
        <f>IF(AND($BC209=0,C209=Tab_sel!$P$7,$D209=Tab_sel!$O$24,$E209=Tab_sel!$B$31),1,"")</f>
        <v>#N/A</v>
      </c>
      <c r="BE209" s="322" t="e">
        <f>IF(AND($BC209=0,C209=Tab_sel!$P$7,$D209=Tab_sel!$O$24,$E209=Tab_sel!$B$32),1,"")</f>
        <v>#N/A</v>
      </c>
      <c r="BF209" s="322" t="e">
        <f>IF(AND($BC209=0,C209=Tab_sel!$P$7,$D209=Tab_sel!$O$24,$E209=Tab_sel!$B$33),1,"")</f>
        <v>#N/A</v>
      </c>
      <c r="BG209" s="322" t="e">
        <f>IF(AND($BC209=0,C209=Tab_sel!$P$7,$D209=Tab_sel!$O$24,$E209=Tab_sel!$B$34),1,"")</f>
        <v>#N/A</v>
      </c>
      <c r="BH209" s="322" t="e">
        <f>IF(AND($BC209=0,C209=Tab_sel!$P$7,$D209=Tab_sel!$O$24,$E209=Tab_sel!$B$35),1,"")</f>
        <v>#N/A</v>
      </c>
      <c r="BI209" s="343" t="e">
        <f>IF(AND($BC209=0,C209=Tab_sel!$P$7,$D209=Tab_sel!$O$24,$E209=Tab_sel!$B$36),1,"")</f>
        <v>#N/A</v>
      </c>
      <c r="BJ209" s="342" t="e">
        <f>IF(AND($BC209=0,$C209=Tab_sel!$P$7,$D209=Tab_sel!$O$24,$E209=Tab_sel!$N$31,$F209=Tab_sel!$B$40),1,"")</f>
        <v>#N/A</v>
      </c>
      <c r="BK209" s="322" t="e">
        <f>IF(AND($BC209=0,$C209=Tab_sel!$P$7,$D209=Tab_sel!$O$24,$E209=Tab_sel!$N$31,$F209=Tab_sel!$B$41),1,"")</f>
        <v>#N/A</v>
      </c>
      <c r="BL209" s="322" t="e">
        <f>IF(AND($BC209=0,$C209=Tab_sel!$P$7,$D209=Tab_sel!$O$24,$E209=Tab_sel!$N$31,$F209=Tab_sel!$B$42),1,"")</f>
        <v>#N/A</v>
      </c>
      <c r="BM209" s="322" t="e">
        <f>IF(AND($BC209=0,$C209=Tab_sel!$P$7,$D209=Tab_sel!$O$24,$E209=Tab_sel!$N$31,$F209=Tab_sel!$B$43),1,"")</f>
        <v>#N/A</v>
      </c>
      <c r="BN209" s="322" t="e">
        <f>IF(AND($BC209=0,$C209=Tab_sel!$P$7,$D209=Tab_sel!$O$24,$E209=Tab_sel!$N$31,$F209=Tab_sel!$B$44),1,"")</f>
        <v>#N/A</v>
      </c>
      <c r="BO209" s="343" t="e">
        <f>IF(AND($BC209=0,$C209=Tab_sel!$P$7,$D209=Tab_sel!$O$24,$E209=Tab_sel!$N$31,$F209=Tab_sel!$B$45),1,"")</f>
        <v>#N/A</v>
      </c>
      <c r="BP209" s="354" t="e">
        <f>IF(AND($BC209=0,$C209=Tab_sel!$P$7,$D209=Tab_sel!$O$24,$E209=Tab_sel!$N$31,$F209=Tab_sel!$N$40,$I209=Tab_sel!$B$61),1,"")</f>
        <v>#N/A</v>
      </c>
      <c r="BQ209" s="355" t="e">
        <f>IF(AND($BC209=0,$C209=Tab_sel!$P$7,$D209=Tab_sel!$O$24,$E209=Tab_sel!$N$31,$F209=Tab_sel!$N$40,$I209=Tab_sel!$B$62),1,"")</f>
        <v>#N/A</v>
      </c>
      <c r="BR209" s="355" t="e">
        <f>IF(AND($BC209=0,$C209=Tab_sel!$P$7,$D209=Tab_sel!$O$24,$E209=Tab_sel!$N$31,$F209=Tab_sel!$N$40,$I209=Tab_sel!$B$63),1,"")</f>
        <v>#N/A</v>
      </c>
      <c r="BS209" s="355" t="e">
        <f>IF(AND($BC209=0,$C209=Tab_sel!$P$7,$D209=Tab_sel!$O$24,$E209=Tab_sel!$N$31,$F209=Tab_sel!$N$40,$I209=Tab_sel!$B$64),1,"")</f>
        <v>#N/A</v>
      </c>
      <c r="BT209" s="356" t="e">
        <f>IF(AND($BC209=0,$C209=Tab_sel!$P$7,$D209=Tab_sel!$O$24,$E209=Tab_sel!$N$31,$F209=Tab_sel!$N$40,$I209=Tab_sel!$B$65),1,"")</f>
        <v>#N/A</v>
      </c>
      <c r="BU209" s="856" t="e">
        <f>IF(AND($BC209=0,$C209=Tab_sel!$P$7,$D209=Tab_sel!$O$24,$E209=Tab_sel!$N$31,$F209=Tab_sel!$N$40,$I209=Tab_sel!$P$61,$H209=Tab_sel!$B$77),1,"")</f>
        <v>#N/A</v>
      </c>
      <c r="BV209" s="883" t="e">
        <f>IF(AND($BC209=0,$C209=Tab_sel!$P$7,$D209=Tab_sel!$O$24,$E209=Tab_sel!$N$31,$F209=Tab_sel!$N$40,$I209=Tab_sel!$P$61,$H209=Tab_sel!$B$78),1,"")</f>
        <v>#N/A</v>
      </c>
      <c r="BW209" s="883" t="e">
        <f>IF(AND($BC209=0,$C209=Tab_sel!$P$7,$D209=Tab_sel!$O$24,$E209=Tab_sel!$N$31,$F209=Tab_sel!$N$40,$I209=Tab_sel!$P$61,$H209=Tab_sel!$B$79),1,"")</f>
        <v>#N/A</v>
      </c>
      <c r="BX209" s="883" t="e">
        <f>IF(AND($BC209=0,$C209=Tab_sel!$P$7,$D209=Tab_sel!$O$24,$E209=Tab_sel!$N$31,$F209=Tab_sel!$N$40,$I209=Tab_sel!$P$61,$H209=Tab_sel!$B$80),1,"")</f>
        <v>#N/A</v>
      </c>
      <c r="BY209" s="883" t="e">
        <f>IF(AND($BC209=0,$C209=Tab_sel!$P$7,$D209=Tab_sel!$O$24,$E209=Tab_sel!$N$31,$F209=Tab_sel!$N$40,$I209=Tab_sel!$P$61,$H209=Tab_sel!$B$81),1,"")</f>
        <v>#N/A</v>
      </c>
      <c r="BZ209" s="857" t="e">
        <f>IF(AND($BC209=0,$C209=Tab_sel!$P$7,$D209=Tab_sel!$O$24,$E209=Tab_sel!$N$31,$F209=Tab_sel!$N$40,$I209=Tab_sel!$P$61,$H209=Tab_sel!$B$82),1,"")</f>
        <v>#N/A</v>
      </c>
      <c r="CA209" s="359"/>
      <c r="CC209">
        <f t="shared" si="77"/>
        <v>0</v>
      </c>
      <c r="CD209" s="882">
        <f t="shared" si="78"/>
        <v>0</v>
      </c>
      <c r="CE209" s="882">
        <f t="shared" si="79"/>
        <v>0</v>
      </c>
      <c r="CG209" t="s">
        <v>2609</v>
      </c>
    </row>
    <row r="210" spans="2:88" ht="45" customHeight="1" x14ac:dyDescent="0.25">
      <c r="B210" s="791" t="s">
        <v>2439</v>
      </c>
      <c r="C210" s="874" t="s">
        <v>53</v>
      </c>
      <c r="D210" s="875" t="s">
        <v>34</v>
      </c>
      <c r="E210" s="771" t="str">
        <f>Cfg</f>
        <v>Configuration systèmes et applications</v>
      </c>
      <c r="F210" s="768" t="str">
        <f t="shared" si="89"/>
        <v>Divulgation de données</v>
      </c>
      <c r="G210" s="876" t="s">
        <v>1489</v>
      </c>
      <c r="H210" s="876" t="s">
        <v>2346</v>
      </c>
      <c r="I210" s="874" t="s">
        <v>1202</v>
      </c>
      <c r="J210" s="877" t="s">
        <v>2688</v>
      </c>
      <c r="K210" s="877"/>
      <c r="L210" s="885"/>
      <c r="M210" s="796"/>
      <c r="N210" s="851"/>
      <c r="O210" s="851"/>
      <c r="P210" s="875"/>
      <c r="Q210" s="803"/>
      <c r="R210" s="803"/>
      <c r="S210" s="804"/>
      <c r="T210" s="875"/>
      <c r="U210" s="875"/>
      <c r="V210" s="805"/>
      <c r="W210" s="851"/>
      <c r="X210" s="851"/>
      <c r="Y210" s="875"/>
      <c r="Z210" s="875"/>
      <c r="AA210" s="875"/>
      <c r="AB210" s="805"/>
      <c r="AC210" s="806"/>
      <c r="AD210" s="806"/>
      <c r="AE210" s="806"/>
      <c r="AF210" s="806"/>
      <c r="AG210" s="806"/>
      <c r="AH210" s="805"/>
      <c r="AI210" s="807" t="str">
        <f t="shared" si="80"/>
        <v/>
      </c>
      <c r="AJ210" s="805"/>
      <c r="AK210" s="359"/>
      <c r="AM210" t="str">
        <f t="shared" si="86"/>
        <v/>
      </c>
      <c r="AN210">
        <f t="shared" si="87"/>
        <v>0</v>
      </c>
      <c r="AV210" s="882"/>
      <c r="AW210" s="882">
        <f t="shared" si="76"/>
        <v>0</v>
      </c>
      <c r="AX210" s="882">
        <f t="shared" si="81"/>
        <v>1</v>
      </c>
      <c r="AY210" s="882">
        <f t="shared" si="82"/>
        <v>1</v>
      </c>
      <c r="AZ210" s="927">
        <f t="shared" si="83"/>
        <v>1</v>
      </c>
      <c r="BA210" s="882">
        <v>0</v>
      </c>
      <c r="BB210" s="925">
        <f t="shared" si="88"/>
        <v>0</v>
      </c>
      <c r="BC210" s="882">
        <f t="shared" si="84"/>
        <v>1</v>
      </c>
      <c r="BD210" s="342" t="e">
        <f>IF(AND($BC210=0,C210=Tab_sel!$P$7,$D210=Tab_sel!$O$24,$E210=Tab_sel!$B$31),1,"")</f>
        <v>#N/A</v>
      </c>
      <c r="BE210" s="322" t="e">
        <f>IF(AND($BC210=0,C210=Tab_sel!$P$7,$D210=Tab_sel!$O$24,$E210=Tab_sel!$B$32),1,"")</f>
        <v>#N/A</v>
      </c>
      <c r="BF210" s="322" t="e">
        <f>IF(AND($BC210=0,C210=Tab_sel!$P$7,$D210=Tab_sel!$O$24,$E210=Tab_sel!$B$33),1,"")</f>
        <v>#N/A</v>
      </c>
      <c r="BG210" s="322" t="e">
        <f>IF(AND($BC210=0,C210=Tab_sel!$P$7,$D210=Tab_sel!$O$24,$E210=Tab_sel!$B$34),1,"")</f>
        <v>#N/A</v>
      </c>
      <c r="BH210" s="322" t="e">
        <f>IF(AND($BC210=0,C210=Tab_sel!$P$7,$D210=Tab_sel!$O$24,$E210=Tab_sel!$B$35),1,"")</f>
        <v>#N/A</v>
      </c>
      <c r="BI210" s="343" t="e">
        <f>IF(AND($BC210=0,C210=Tab_sel!$P$7,$D210=Tab_sel!$O$24,$E210=Tab_sel!$B$36),1,"")</f>
        <v>#N/A</v>
      </c>
      <c r="BJ210" s="342" t="e">
        <f>IF(AND($BC210=0,$C210=Tab_sel!$P$7,$D210=Tab_sel!$O$24,$E210=Tab_sel!$N$31,$F210=Tab_sel!$B$40),1,"")</f>
        <v>#N/A</v>
      </c>
      <c r="BK210" s="322" t="e">
        <f>IF(AND($BC210=0,$C210=Tab_sel!$P$7,$D210=Tab_sel!$O$24,$E210=Tab_sel!$N$31,$F210=Tab_sel!$B$41),1,"")</f>
        <v>#N/A</v>
      </c>
      <c r="BL210" s="322" t="e">
        <f>IF(AND($BC210=0,$C210=Tab_sel!$P$7,$D210=Tab_sel!$O$24,$E210=Tab_sel!$N$31,$F210=Tab_sel!$B$42),1,"")</f>
        <v>#N/A</v>
      </c>
      <c r="BM210" s="322" t="e">
        <f>IF(AND($BC210=0,$C210=Tab_sel!$P$7,$D210=Tab_sel!$O$24,$E210=Tab_sel!$N$31,$F210=Tab_sel!$B$43),1,"")</f>
        <v>#N/A</v>
      </c>
      <c r="BN210" s="322" t="e">
        <f>IF(AND($BC210=0,$C210=Tab_sel!$P$7,$D210=Tab_sel!$O$24,$E210=Tab_sel!$N$31,$F210=Tab_sel!$B$44),1,"")</f>
        <v>#N/A</v>
      </c>
      <c r="BO210" s="343" t="e">
        <f>IF(AND($BC210=0,$C210=Tab_sel!$P$7,$D210=Tab_sel!$O$24,$E210=Tab_sel!$N$31,$F210=Tab_sel!$B$45),1,"")</f>
        <v>#N/A</v>
      </c>
      <c r="BP210" s="354" t="e">
        <f>IF(AND($BC210=0,$C210=Tab_sel!$P$7,$D210=Tab_sel!$O$24,$E210=Tab_sel!$N$31,$F210=Tab_sel!$N$40,$I210=Tab_sel!$B$61),1,"")</f>
        <v>#N/A</v>
      </c>
      <c r="BQ210" s="355" t="e">
        <f>IF(AND($BC210=0,$C210=Tab_sel!$P$7,$D210=Tab_sel!$O$24,$E210=Tab_sel!$N$31,$F210=Tab_sel!$N$40,$I210=Tab_sel!$B$62),1,"")</f>
        <v>#N/A</v>
      </c>
      <c r="BR210" s="355" t="e">
        <f>IF(AND($BC210=0,$C210=Tab_sel!$P$7,$D210=Tab_sel!$O$24,$E210=Tab_sel!$N$31,$F210=Tab_sel!$N$40,$I210=Tab_sel!$B$63),1,"")</f>
        <v>#N/A</v>
      </c>
      <c r="BS210" s="355" t="e">
        <f>IF(AND($BC210=0,$C210=Tab_sel!$P$7,$D210=Tab_sel!$O$24,$E210=Tab_sel!$N$31,$F210=Tab_sel!$N$40,$I210=Tab_sel!$B$64),1,"")</f>
        <v>#N/A</v>
      </c>
      <c r="BT210" s="356" t="e">
        <f>IF(AND($BC210=0,$C210=Tab_sel!$P$7,$D210=Tab_sel!$O$24,$E210=Tab_sel!$N$31,$F210=Tab_sel!$N$40,$I210=Tab_sel!$B$65),1,"")</f>
        <v>#N/A</v>
      </c>
      <c r="BU210" s="856" t="e">
        <f>IF(AND($BC210=0,$C210=Tab_sel!$P$7,$D210=Tab_sel!$O$24,$E210=Tab_sel!$N$31,$F210=Tab_sel!$N$40,$I210=Tab_sel!$P$61,$H210=Tab_sel!$B$77),1,"")</f>
        <v>#N/A</v>
      </c>
      <c r="BV210" s="883" t="e">
        <f>IF(AND($BC210=0,$C210=Tab_sel!$P$7,$D210=Tab_sel!$O$24,$E210=Tab_sel!$N$31,$F210=Tab_sel!$N$40,$I210=Tab_sel!$P$61,$H210=Tab_sel!$B$78),1,"")</f>
        <v>#N/A</v>
      </c>
      <c r="BW210" s="883" t="e">
        <f>IF(AND($BC210=0,$C210=Tab_sel!$P$7,$D210=Tab_sel!$O$24,$E210=Tab_sel!$N$31,$F210=Tab_sel!$N$40,$I210=Tab_sel!$P$61,$H210=Tab_sel!$B$79),1,"")</f>
        <v>#N/A</v>
      </c>
      <c r="BX210" s="883" t="e">
        <f>IF(AND($BC210=0,$C210=Tab_sel!$P$7,$D210=Tab_sel!$O$24,$E210=Tab_sel!$N$31,$F210=Tab_sel!$N$40,$I210=Tab_sel!$P$61,$H210=Tab_sel!$B$80),1,"")</f>
        <v>#N/A</v>
      </c>
      <c r="BY210" s="883" t="e">
        <f>IF(AND($BC210=0,$C210=Tab_sel!$P$7,$D210=Tab_sel!$O$24,$E210=Tab_sel!$N$31,$F210=Tab_sel!$N$40,$I210=Tab_sel!$P$61,$H210=Tab_sel!$B$81),1,"")</f>
        <v>#N/A</v>
      </c>
      <c r="BZ210" s="857" t="e">
        <f>IF(AND($BC210=0,$C210=Tab_sel!$P$7,$D210=Tab_sel!$O$24,$E210=Tab_sel!$N$31,$F210=Tab_sel!$N$40,$I210=Tab_sel!$P$61,$H210=Tab_sel!$B$82),1,"")</f>
        <v>#N/A</v>
      </c>
      <c r="CA210" s="359"/>
      <c r="CC210">
        <f t="shared" si="77"/>
        <v>0</v>
      </c>
      <c r="CD210" s="882">
        <f t="shared" si="78"/>
        <v>0</v>
      </c>
      <c r="CE210" s="882">
        <f t="shared" si="79"/>
        <v>0</v>
      </c>
      <c r="CG210" t="s">
        <v>2705</v>
      </c>
    </row>
    <row r="211" spans="2:88" ht="31.5" customHeight="1" x14ac:dyDescent="0.25">
      <c r="B211" s="791" t="s">
        <v>2016</v>
      </c>
      <c r="C211" s="771" t="s">
        <v>53</v>
      </c>
      <c r="D211" s="772" t="s">
        <v>34</v>
      </c>
      <c r="E211" s="771" t="str">
        <f>Msl</f>
        <v>Media support de logiciel</v>
      </c>
      <c r="F211" s="768" t="str">
        <f t="shared" si="89"/>
        <v>Divulgation de données</v>
      </c>
      <c r="G211" s="768" t="s">
        <v>2530</v>
      </c>
      <c r="H211" s="768"/>
      <c r="I211" s="909" t="s">
        <v>1204</v>
      </c>
      <c r="J211" s="769" t="s">
        <v>2374</v>
      </c>
      <c r="K211" s="877" t="s">
        <v>2577</v>
      </c>
      <c r="L211" s="779"/>
      <c r="M211" s="796"/>
      <c r="N211" s="767"/>
      <c r="O211" s="767"/>
      <c r="P211" s="772"/>
      <c r="Q211" s="803"/>
      <c r="R211" s="803"/>
      <c r="S211" s="804"/>
      <c r="T211" s="772"/>
      <c r="U211" s="772"/>
      <c r="V211" s="805"/>
      <c r="W211" s="767"/>
      <c r="X211" s="767"/>
      <c r="Y211" s="772"/>
      <c r="Z211" s="772"/>
      <c r="AA211" s="772"/>
      <c r="AB211" s="805"/>
      <c r="AC211" s="806"/>
      <c r="AD211" s="806"/>
      <c r="AE211" s="806"/>
      <c r="AF211" s="806"/>
      <c r="AG211" s="806"/>
      <c r="AH211" s="805"/>
      <c r="AI211" s="807" t="str">
        <f t="shared" si="80"/>
        <v/>
      </c>
      <c r="AJ211" s="805"/>
      <c r="AK211" s="359"/>
      <c r="AM211" t="str">
        <f t="shared" si="86"/>
        <v/>
      </c>
      <c r="AN211">
        <f t="shared" si="87"/>
        <v>0</v>
      </c>
      <c r="AW211" s="882">
        <f t="shared" si="76"/>
        <v>0</v>
      </c>
      <c r="AX211" s="882">
        <f t="shared" si="81"/>
        <v>1</v>
      </c>
      <c r="AY211" s="882">
        <f t="shared" si="82"/>
        <v>1</v>
      </c>
      <c r="AZ211" s="927">
        <f t="shared" si="83"/>
        <v>1</v>
      </c>
      <c r="BA211" s="882">
        <v>1</v>
      </c>
      <c r="BB211" s="925">
        <f t="shared" si="88"/>
        <v>0</v>
      </c>
      <c r="BC211" s="882">
        <f t="shared" si="84"/>
        <v>1</v>
      </c>
      <c r="BD211" s="342" t="e">
        <f>IF(AND($BC211=0,C211=Tab_sel!$P$7,$D211=Tab_sel!$O$24,$E211=Tab_sel!$B$31),1,"")</f>
        <v>#N/A</v>
      </c>
      <c r="BE211" s="322" t="e">
        <f>IF(AND($BC211=0,C211=Tab_sel!$P$7,$D211=Tab_sel!$O$24,$E211=Tab_sel!$B$32),1,"")</f>
        <v>#N/A</v>
      </c>
      <c r="BF211" s="322" t="e">
        <f>IF(AND($BC211=0,C211=Tab_sel!$P$7,$D211=Tab_sel!$O$24,$E211=Tab_sel!$B$33),1,"")</f>
        <v>#N/A</v>
      </c>
      <c r="BG211" s="322" t="e">
        <f>IF(AND($BC211=0,C211=Tab_sel!$P$7,$D211=Tab_sel!$O$24,$E211=Tab_sel!$B$34),1,"")</f>
        <v>#N/A</v>
      </c>
      <c r="BH211" s="322" t="e">
        <f>IF(AND($BC211=0,C211=Tab_sel!$P$7,$D211=Tab_sel!$O$24,$E211=Tab_sel!$B$35),1,"")</f>
        <v>#N/A</v>
      </c>
      <c r="BI211" s="343" t="e">
        <f>IF(AND($BC211=0,C211=Tab_sel!$P$7,$D211=Tab_sel!$O$24,$E211=Tab_sel!$B$36),1,"")</f>
        <v>#N/A</v>
      </c>
      <c r="BJ211" s="342" t="e">
        <f>IF(AND($BC211=0,$C211=Tab_sel!$P$7,$D211=Tab_sel!$O$24,$E211=Tab_sel!$N$31,$F211=Tab_sel!$B$40),1,"")</f>
        <v>#N/A</v>
      </c>
      <c r="BK211" s="322" t="e">
        <f>IF(AND($BC211=0,$C211=Tab_sel!$P$7,$D211=Tab_sel!$O$24,$E211=Tab_sel!$N$31,$F211=Tab_sel!$B$41),1,"")</f>
        <v>#N/A</v>
      </c>
      <c r="BL211" s="322" t="e">
        <f>IF(AND($BC211=0,$C211=Tab_sel!$P$7,$D211=Tab_sel!$O$24,$E211=Tab_sel!$N$31,$F211=Tab_sel!$B$42),1,"")</f>
        <v>#N/A</v>
      </c>
      <c r="BM211" s="322" t="e">
        <f>IF(AND($BC211=0,$C211=Tab_sel!$P$7,$D211=Tab_sel!$O$24,$E211=Tab_sel!$N$31,$F211=Tab_sel!$B$43),1,"")</f>
        <v>#N/A</v>
      </c>
      <c r="BN211" s="322" t="e">
        <f>IF(AND($BC211=0,$C211=Tab_sel!$P$7,$D211=Tab_sel!$O$24,$E211=Tab_sel!$N$31,$F211=Tab_sel!$B$44),1,"")</f>
        <v>#N/A</v>
      </c>
      <c r="BO211" s="343" t="e">
        <f>IF(AND($BC211=0,$C211=Tab_sel!$P$7,$D211=Tab_sel!$O$24,$E211=Tab_sel!$N$31,$F211=Tab_sel!$B$45),1,"")</f>
        <v>#N/A</v>
      </c>
      <c r="BP211" s="354" t="e">
        <f>IF(AND($BC211=0,$C211=Tab_sel!$P$7,$D211=Tab_sel!$O$24,$E211=Tab_sel!$N$31,$F211=Tab_sel!$N$40,$I211=Tab_sel!$B$61),1,"")</f>
        <v>#N/A</v>
      </c>
      <c r="BQ211" s="355" t="e">
        <f>IF(AND($BC211=0,$C211=Tab_sel!$P$7,$D211=Tab_sel!$O$24,$E211=Tab_sel!$N$31,$F211=Tab_sel!$N$40,$I211=Tab_sel!$B$62),1,"")</f>
        <v>#N/A</v>
      </c>
      <c r="BR211" s="355" t="e">
        <f>IF(AND($BC211=0,$C211=Tab_sel!$P$7,$D211=Tab_sel!$O$24,$E211=Tab_sel!$N$31,$F211=Tab_sel!$N$40,$I211=Tab_sel!$B$63),1,"")</f>
        <v>#N/A</v>
      </c>
      <c r="BS211" s="355" t="e">
        <f>IF(AND($BC211=0,$C211=Tab_sel!$P$7,$D211=Tab_sel!$O$24,$E211=Tab_sel!$N$31,$F211=Tab_sel!$N$40,$I211=Tab_sel!$B$64),1,"")</f>
        <v>#N/A</v>
      </c>
      <c r="BT211" s="356" t="e">
        <f>IF(AND($BC211=0,$C211=Tab_sel!$P$7,$D211=Tab_sel!$O$24,$E211=Tab_sel!$N$31,$F211=Tab_sel!$N$40,$I211=Tab_sel!$B$65),1,"")</f>
        <v>#N/A</v>
      </c>
      <c r="BU211" s="856" t="e">
        <f>IF(AND($BC211=0,$C211=Tab_sel!$P$7,$D211=Tab_sel!$O$24,$E211=Tab_sel!$N$31,$F211=Tab_sel!$N$40,$I211=Tab_sel!$P$61,$H211=Tab_sel!$B$77),1,"")</f>
        <v>#N/A</v>
      </c>
      <c r="BV211" s="883" t="e">
        <f>IF(AND($BC211=0,$C211=Tab_sel!$P$7,$D211=Tab_sel!$O$24,$E211=Tab_sel!$N$31,$F211=Tab_sel!$N$40,$I211=Tab_sel!$P$61,$H211=Tab_sel!$B$78),1,"")</f>
        <v>#N/A</v>
      </c>
      <c r="BW211" s="883" t="e">
        <f>IF(AND($BC211=0,$C211=Tab_sel!$P$7,$D211=Tab_sel!$O$24,$E211=Tab_sel!$N$31,$F211=Tab_sel!$N$40,$I211=Tab_sel!$P$61,$H211=Tab_sel!$B$79),1,"")</f>
        <v>#N/A</v>
      </c>
      <c r="BX211" s="883" t="e">
        <f>IF(AND($BC211=0,$C211=Tab_sel!$P$7,$D211=Tab_sel!$O$24,$E211=Tab_sel!$N$31,$F211=Tab_sel!$N$40,$I211=Tab_sel!$P$61,$H211=Tab_sel!$B$80),1,"")</f>
        <v>#N/A</v>
      </c>
      <c r="BY211" s="883" t="e">
        <f>IF(AND($BC211=0,$C211=Tab_sel!$P$7,$D211=Tab_sel!$O$24,$E211=Tab_sel!$N$31,$F211=Tab_sel!$N$40,$I211=Tab_sel!$P$61,$H211=Tab_sel!$B$81),1,"")</f>
        <v>#N/A</v>
      </c>
      <c r="BZ211" s="857" t="e">
        <f>IF(AND($BC211=0,$C211=Tab_sel!$P$7,$D211=Tab_sel!$O$24,$E211=Tab_sel!$N$31,$F211=Tab_sel!$N$40,$I211=Tab_sel!$P$61,$H211=Tab_sel!$B$82),1,"")</f>
        <v>#N/A</v>
      </c>
      <c r="CA211" s="359"/>
      <c r="CC211">
        <f t="shared" si="77"/>
        <v>0</v>
      </c>
      <c r="CD211" s="882">
        <f t="shared" si="78"/>
        <v>0</v>
      </c>
      <c r="CE211" s="882">
        <f t="shared" si="79"/>
        <v>0</v>
      </c>
      <c r="CG211" t="s">
        <v>2618</v>
      </c>
      <c r="CH211" t="s">
        <v>2800</v>
      </c>
    </row>
    <row r="212" spans="2:88" ht="37.5" customHeight="1" x14ac:dyDescent="0.25">
      <c r="B212" s="791" t="s">
        <v>2440</v>
      </c>
      <c r="C212" s="874" t="s">
        <v>53</v>
      </c>
      <c r="D212" s="875" t="s">
        <v>34</v>
      </c>
      <c r="E212" s="771" t="str">
        <f>Msl</f>
        <v>Media support de logiciel</v>
      </c>
      <c r="F212" s="768" t="str">
        <f t="shared" si="89"/>
        <v>Divulgation de données</v>
      </c>
      <c r="G212" s="768" t="s">
        <v>2530</v>
      </c>
      <c r="H212" s="876" t="s">
        <v>2602</v>
      </c>
      <c r="I212" s="909" t="s">
        <v>1204</v>
      </c>
      <c r="J212" s="769" t="s">
        <v>2374</v>
      </c>
      <c r="K212" s="877"/>
      <c r="L212" s="885"/>
      <c r="M212" s="796"/>
      <c r="N212" s="851"/>
      <c r="O212" s="851"/>
      <c r="P212" s="875"/>
      <c r="Q212" s="803"/>
      <c r="R212" s="803"/>
      <c r="S212" s="804"/>
      <c r="T212" s="875"/>
      <c r="U212" s="875"/>
      <c r="V212" s="805"/>
      <c r="W212" s="851"/>
      <c r="X212" s="851"/>
      <c r="Y212" s="875"/>
      <c r="Z212" s="875"/>
      <c r="AA212" s="875"/>
      <c r="AB212" s="805"/>
      <c r="AC212" s="806"/>
      <c r="AD212" s="806"/>
      <c r="AE212" s="806"/>
      <c r="AF212" s="806"/>
      <c r="AG212" s="806"/>
      <c r="AH212" s="805"/>
      <c r="AI212" s="807" t="str">
        <f t="shared" si="80"/>
        <v/>
      </c>
      <c r="AJ212" s="805"/>
      <c r="AK212" s="359"/>
      <c r="AM212" t="str">
        <f t="shared" si="86"/>
        <v/>
      </c>
      <c r="AN212">
        <f t="shared" si="87"/>
        <v>0</v>
      </c>
      <c r="AV212" s="882"/>
      <c r="AW212" s="882">
        <f t="shared" si="76"/>
        <v>0</v>
      </c>
      <c r="AX212" s="882">
        <f t="shared" si="81"/>
        <v>1</v>
      </c>
      <c r="AY212" s="882">
        <f t="shared" si="82"/>
        <v>1</v>
      </c>
      <c r="AZ212" s="927">
        <f t="shared" si="83"/>
        <v>1</v>
      </c>
      <c r="BA212" s="882">
        <v>0</v>
      </c>
      <c r="BB212" s="925">
        <f t="shared" si="88"/>
        <v>0</v>
      </c>
      <c r="BC212" s="882">
        <f t="shared" si="84"/>
        <v>1</v>
      </c>
      <c r="BD212" s="342" t="e">
        <f>IF(AND($BC212=0,C212=Tab_sel!$P$7,$D212=Tab_sel!$O$24,$E212=Tab_sel!$B$31),1,"")</f>
        <v>#N/A</v>
      </c>
      <c r="BE212" s="322" t="e">
        <f>IF(AND($BC212=0,C212=Tab_sel!$P$7,$D212=Tab_sel!$O$24,$E212=Tab_sel!$B$32),1,"")</f>
        <v>#N/A</v>
      </c>
      <c r="BF212" s="322" t="e">
        <f>IF(AND($BC212=0,C212=Tab_sel!$P$7,$D212=Tab_sel!$O$24,$E212=Tab_sel!$B$33),1,"")</f>
        <v>#N/A</v>
      </c>
      <c r="BG212" s="322" t="e">
        <f>IF(AND($BC212=0,C212=Tab_sel!$P$7,$D212=Tab_sel!$O$24,$E212=Tab_sel!$B$34),1,"")</f>
        <v>#N/A</v>
      </c>
      <c r="BH212" s="322" t="e">
        <f>IF(AND($BC212=0,C212=Tab_sel!$P$7,$D212=Tab_sel!$O$24,$E212=Tab_sel!$B$35),1,"")</f>
        <v>#N/A</v>
      </c>
      <c r="BI212" s="343" t="e">
        <f>IF(AND($BC212=0,C212=Tab_sel!$P$7,$D212=Tab_sel!$O$24,$E212=Tab_sel!$B$36),1,"")</f>
        <v>#N/A</v>
      </c>
      <c r="BJ212" s="342" t="e">
        <f>IF(AND($BC212=0,$C212=Tab_sel!$P$7,$D212=Tab_sel!$O$24,$E212=Tab_sel!$N$31,$F212=Tab_sel!$B$40),1,"")</f>
        <v>#N/A</v>
      </c>
      <c r="BK212" s="322" t="e">
        <f>IF(AND($BC212=0,$C212=Tab_sel!$P$7,$D212=Tab_sel!$O$24,$E212=Tab_sel!$N$31,$F212=Tab_sel!$B$41),1,"")</f>
        <v>#N/A</v>
      </c>
      <c r="BL212" s="322" t="e">
        <f>IF(AND($BC212=0,$C212=Tab_sel!$P$7,$D212=Tab_sel!$O$24,$E212=Tab_sel!$N$31,$F212=Tab_sel!$B$42),1,"")</f>
        <v>#N/A</v>
      </c>
      <c r="BM212" s="322" t="e">
        <f>IF(AND($BC212=0,$C212=Tab_sel!$P$7,$D212=Tab_sel!$O$24,$E212=Tab_sel!$N$31,$F212=Tab_sel!$B$43),1,"")</f>
        <v>#N/A</v>
      </c>
      <c r="BN212" s="322" t="e">
        <f>IF(AND($BC212=0,$C212=Tab_sel!$P$7,$D212=Tab_sel!$O$24,$E212=Tab_sel!$N$31,$F212=Tab_sel!$B$44),1,"")</f>
        <v>#N/A</v>
      </c>
      <c r="BO212" s="343" t="e">
        <f>IF(AND($BC212=0,$C212=Tab_sel!$P$7,$D212=Tab_sel!$O$24,$E212=Tab_sel!$N$31,$F212=Tab_sel!$B$45),1,"")</f>
        <v>#N/A</v>
      </c>
      <c r="BP212" s="354" t="e">
        <f>IF(AND($BC212=0,$C212=Tab_sel!$P$7,$D212=Tab_sel!$O$24,$E212=Tab_sel!$N$31,$F212=Tab_sel!$N$40,$I212=Tab_sel!$B$61),1,"")</f>
        <v>#N/A</v>
      </c>
      <c r="BQ212" s="355" t="e">
        <f>IF(AND($BC212=0,$C212=Tab_sel!$P$7,$D212=Tab_sel!$O$24,$E212=Tab_sel!$N$31,$F212=Tab_sel!$N$40,$I212=Tab_sel!$B$62),1,"")</f>
        <v>#N/A</v>
      </c>
      <c r="BR212" s="355" t="e">
        <f>IF(AND($BC212=0,$C212=Tab_sel!$P$7,$D212=Tab_sel!$O$24,$E212=Tab_sel!$N$31,$F212=Tab_sel!$N$40,$I212=Tab_sel!$B$63),1,"")</f>
        <v>#N/A</v>
      </c>
      <c r="BS212" s="355" t="e">
        <f>IF(AND($BC212=0,$C212=Tab_sel!$P$7,$D212=Tab_sel!$O$24,$E212=Tab_sel!$N$31,$F212=Tab_sel!$N$40,$I212=Tab_sel!$B$64),1,"")</f>
        <v>#N/A</v>
      </c>
      <c r="BT212" s="356" t="e">
        <f>IF(AND($BC212=0,$C212=Tab_sel!$P$7,$D212=Tab_sel!$O$24,$E212=Tab_sel!$N$31,$F212=Tab_sel!$N$40,$I212=Tab_sel!$B$65),1,"")</f>
        <v>#N/A</v>
      </c>
      <c r="BU212" s="856" t="e">
        <f>IF(AND($BC212=0,$C212=Tab_sel!$P$7,$D212=Tab_sel!$O$24,$E212=Tab_sel!$N$31,$F212=Tab_sel!$N$40,$I212=Tab_sel!$P$61,$H212=Tab_sel!$B$77),1,"")</f>
        <v>#N/A</v>
      </c>
      <c r="BV212" s="883" t="e">
        <f>IF(AND($BC212=0,$C212=Tab_sel!$P$7,$D212=Tab_sel!$O$24,$E212=Tab_sel!$N$31,$F212=Tab_sel!$N$40,$I212=Tab_sel!$P$61,$H212=Tab_sel!$B$78),1,"")</f>
        <v>#N/A</v>
      </c>
      <c r="BW212" s="883" t="e">
        <f>IF(AND($BC212=0,$C212=Tab_sel!$P$7,$D212=Tab_sel!$O$24,$E212=Tab_sel!$N$31,$F212=Tab_sel!$N$40,$I212=Tab_sel!$P$61,$H212=Tab_sel!$B$79),1,"")</f>
        <v>#N/A</v>
      </c>
      <c r="BX212" s="883" t="e">
        <f>IF(AND($BC212=0,$C212=Tab_sel!$P$7,$D212=Tab_sel!$O$24,$E212=Tab_sel!$N$31,$F212=Tab_sel!$N$40,$I212=Tab_sel!$P$61,$H212=Tab_sel!$B$80),1,"")</f>
        <v>#N/A</v>
      </c>
      <c r="BY212" s="883" t="e">
        <f>IF(AND($BC212=0,$C212=Tab_sel!$P$7,$D212=Tab_sel!$O$24,$E212=Tab_sel!$N$31,$F212=Tab_sel!$N$40,$I212=Tab_sel!$P$61,$H212=Tab_sel!$B$81),1,"")</f>
        <v>#N/A</v>
      </c>
      <c r="BZ212" s="857" t="e">
        <f>IF(AND($BC212=0,$C212=Tab_sel!$P$7,$D212=Tab_sel!$O$24,$E212=Tab_sel!$N$31,$F212=Tab_sel!$N$40,$I212=Tab_sel!$P$61,$H212=Tab_sel!$B$82),1,"")</f>
        <v>#N/A</v>
      </c>
      <c r="CA212" s="359"/>
      <c r="CC212">
        <f t="shared" si="77"/>
        <v>0</v>
      </c>
      <c r="CD212" s="882">
        <f t="shared" si="78"/>
        <v>0</v>
      </c>
      <c r="CE212" s="882">
        <f t="shared" si="79"/>
        <v>0</v>
      </c>
      <c r="CG212" t="s">
        <v>2618</v>
      </c>
    </row>
    <row r="213" spans="2:88" ht="31.5" customHeight="1" x14ac:dyDescent="0.25">
      <c r="B213" s="791" t="s">
        <v>2441</v>
      </c>
      <c r="C213" s="874" t="s">
        <v>53</v>
      </c>
      <c r="D213" s="875" t="s">
        <v>34</v>
      </c>
      <c r="E213" s="771" t="str">
        <f>Msl</f>
        <v>Media support de logiciel</v>
      </c>
      <c r="F213" s="768" t="str">
        <f t="shared" si="89"/>
        <v>Divulgation de données</v>
      </c>
      <c r="G213" s="768" t="s">
        <v>2530</v>
      </c>
      <c r="H213" s="876" t="s">
        <v>2349</v>
      </c>
      <c r="I213" s="909" t="s">
        <v>1204</v>
      </c>
      <c r="J213" s="769" t="s">
        <v>2374</v>
      </c>
      <c r="K213" s="877" t="s">
        <v>2454</v>
      </c>
      <c r="L213" s="885"/>
      <c r="M213" s="796"/>
      <c r="N213" s="851"/>
      <c r="O213" s="851"/>
      <c r="P213" s="875"/>
      <c r="Q213" s="803"/>
      <c r="R213" s="803"/>
      <c r="S213" s="804"/>
      <c r="T213" s="875"/>
      <c r="U213" s="875"/>
      <c r="V213" s="805"/>
      <c r="W213" s="851"/>
      <c r="X213" s="851"/>
      <c r="Y213" s="875"/>
      <c r="Z213" s="875"/>
      <c r="AA213" s="875"/>
      <c r="AB213" s="805"/>
      <c r="AC213" s="806"/>
      <c r="AD213" s="806"/>
      <c r="AE213" s="806"/>
      <c r="AF213" s="806"/>
      <c r="AG213" s="806"/>
      <c r="AH213" s="805"/>
      <c r="AI213" s="807" t="str">
        <f t="shared" si="80"/>
        <v/>
      </c>
      <c r="AJ213" s="805"/>
      <c r="AK213" s="359"/>
      <c r="AM213" t="str">
        <f t="shared" si="86"/>
        <v/>
      </c>
      <c r="AN213">
        <f t="shared" si="87"/>
        <v>0</v>
      </c>
      <c r="AV213" s="882"/>
      <c r="AW213" s="882">
        <f t="shared" si="76"/>
        <v>0</v>
      </c>
      <c r="AX213" s="882">
        <f t="shared" si="81"/>
        <v>1</v>
      </c>
      <c r="AY213" s="882">
        <f t="shared" si="82"/>
        <v>1</v>
      </c>
      <c r="AZ213" s="927">
        <f t="shared" si="83"/>
        <v>1</v>
      </c>
      <c r="BA213" s="882">
        <v>0</v>
      </c>
      <c r="BB213" s="925">
        <f t="shared" si="88"/>
        <v>0</v>
      </c>
      <c r="BC213" s="882">
        <f t="shared" si="84"/>
        <v>1</v>
      </c>
      <c r="BD213" s="342" t="e">
        <f>IF(AND($BC213=0,C213=Tab_sel!$P$7,$D213=Tab_sel!$O$24,$E213=Tab_sel!$B$31),1,"")</f>
        <v>#N/A</v>
      </c>
      <c r="BE213" s="322" t="e">
        <f>IF(AND($BC213=0,C213=Tab_sel!$P$7,$D213=Tab_sel!$O$24,$E213=Tab_sel!$B$32),1,"")</f>
        <v>#N/A</v>
      </c>
      <c r="BF213" s="322" t="e">
        <f>IF(AND($BC213=0,C213=Tab_sel!$P$7,$D213=Tab_sel!$O$24,$E213=Tab_sel!$B$33),1,"")</f>
        <v>#N/A</v>
      </c>
      <c r="BG213" s="322" t="e">
        <f>IF(AND($BC213=0,C213=Tab_sel!$P$7,$D213=Tab_sel!$O$24,$E213=Tab_sel!$B$34),1,"")</f>
        <v>#N/A</v>
      </c>
      <c r="BH213" s="322" t="e">
        <f>IF(AND($BC213=0,C213=Tab_sel!$P$7,$D213=Tab_sel!$O$24,$E213=Tab_sel!$B$35),1,"")</f>
        <v>#N/A</v>
      </c>
      <c r="BI213" s="343" t="e">
        <f>IF(AND($BC213=0,C213=Tab_sel!$P$7,$D213=Tab_sel!$O$24,$E213=Tab_sel!$B$36),1,"")</f>
        <v>#N/A</v>
      </c>
      <c r="BJ213" s="342" t="e">
        <f>IF(AND($BC213=0,$C213=Tab_sel!$P$7,$D213=Tab_sel!$O$24,$E213=Tab_sel!$N$31,$F213=Tab_sel!$B$40),1,"")</f>
        <v>#N/A</v>
      </c>
      <c r="BK213" s="322" t="e">
        <f>IF(AND($BC213=0,$C213=Tab_sel!$P$7,$D213=Tab_sel!$O$24,$E213=Tab_sel!$N$31,$F213=Tab_sel!$B$41),1,"")</f>
        <v>#N/A</v>
      </c>
      <c r="BL213" s="322" t="e">
        <f>IF(AND($BC213=0,$C213=Tab_sel!$P$7,$D213=Tab_sel!$O$24,$E213=Tab_sel!$N$31,$F213=Tab_sel!$B$42),1,"")</f>
        <v>#N/A</v>
      </c>
      <c r="BM213" s="322" t="e">
        <f>IF(AND($BC213=0,$C213=Tab_sel!$P$7,$D213=Tab_sel!$O$24,$E213=Tab_sel!$N$31,$F213=Tab_sel!$B$43),1,"")</f>
        <v>#N/A</v>
      </c>
      <c r="BN213" s="322" t="e">
        <f>IF(AND($BC213=0,$C213=Tab_sel!$P$7,$D213=Tab_sel!$O$24,$E213=Tab_sel!$N$31,$F213=Tab_sel!$B$44),1,"")</f>
        <v>#N/A</v>
      </c>
      <c r="BO213" s="343" t="e">
        <f>IF(AND($BC213=0,$C213=Tab_sel!$P$7,$D213=Tab_sel!$O$24,$E213=Tab_sel!$N$31,$F213=Tab_sel!$B$45),1,"")</f>
        <v>#N/A</v>
      </c>
      <c r="BP213" s="354" t="e">
        <f>IF(AND($BC213=0,$C213=Tab_sel!$P$7,$D213=Tab_sel!$O$24,$E213=Tab_sel!$N$31,$F213=Tab_sel!$N$40,$I213=Tab_sel!$B$61),1,"")</f>
        <v>#N/A</v>
      </c>
      <c r="BQ213" s="355" t="e">
        <f>IF(AND($BC213=0,$C213=Tab_sel!$P$7,$D213=Tab_sel!$O$24,$E213=Tab_sel!$N$31,$F213=Tab_sel!$N$40,$I213=Tab_sel!$B$62),1,"")</f>
        <v>#N/A</v>
      </c>
      <c r="BR213" s="355" t="e">
        <f>IF(AND($BC213=0,$C213=Tab_sel!$P$7,$D213=Tab_sel!$O$24,$E213=Tab_sel!$N$31,$F213=Tab_sel!$N$40,$I213=Tab_sel!$B$63),1,"")</f>
        <v>#N/A</v>
      </c>
      <c r="BS213" s="355" t="e">
        <f>IF(AND($BC213=0,$C213=Tab_sel!$P$7,$D213=Tab_sel!$O$24,$E213=Tab_sel!$N$31,$F213=Tab_sel!$N$40,$I213=Tab_sel!$B$64),1,"")</f>
        <v>#N/A</v>
      </c>
      <c r="BT213" s="356" t="e">
        <f>IF(AND($BC213=0,$C213=Tab_sel!$P$7,$D213=Tab_sel!$O$24,$E213=Tab_sel!$N$31,$F213=Tab_sel!$N$40,$I213=Tab_sel!$B$65),1,"")</f>
        <v>#N/A</v>
      </c>
      <c r="BU213" s="856" t="e">
        <f>IF(AND($BC213=0,$C213=Tab_sel!$P$7,$D213=Tab_sel!$O$24,$E213=Tab_sel!$N$31,$F213=Tab_sel!$N$40,$I213=Tab_sel!$P$61,$H213=Tab_sel!$B$77),1,"")</f>
        <v>#N/A</v>
      </c>
      <c r="BV213" s="883" t="e">
        <f>IF(AND($BC213=0,$C213=Tab_sel!$P$7,$D213=Tab_sel!$O$24,$E213=Tab_sel!$N$31,$F213=Tab_sel!$N$40,$I213=Tab_sel!$P$61,$H213=Tab_sel!$B$78),1,"")</f>
        <v>#N/A</v>
      </c>
      <c r="BW213" s="883" t="e">
        <f>IF(AND($BC213=0,$C213=Tab_sel!$P$7,$D213=Tab_sel!$O$24,$E213=Tab_sel!$N$31,$F213=Tab_sel!$N$40,$I213=Tab_sel!$P$61,$H213=Tab_sel!$B$79),1,"")</f>
        <v>#N/A</v>
      </c>
      <c r="BX213" s="883" t="e">
        <f>IF(AND($BC213=0,$C213=Tab_sel!$P$7,$D213=Tab_sel!$O$24,$E213=Tab_sel!$N$31,$F213=Tab_sel!$N$40,$I213=Tab_sel!$P$61,$H213=Tab_sel!$B$80),1,"")</f>
        <v>#N/A</v>
      </c>
      <c r="BY213" s="883" t="e">
        <f>IF(AND($BC213=0,$C213=Tab_sel!$P$7,$D213=Tab_sel!$O$24,$E213=Tab_sel!$N$31,$F213=Tab_sel!$N$40,$I213=Tab_sel!$P$61,$H213=Tab_sel!$B$81),1,"")</f>
        <v>#N/A</v>
      </c>
      <c r="BZ213" s="857" t="e">
        <f>IF(AND($BC213=0,$C213=Tab_sel!$P$7,$D213=Tab_sel!$O$24,$E213=Tab_sel!$N$31,$F213=Tab_sel!$N$40,$I213=Tab_sel!$P$61,$H213=Tab_sel!$B$82),1,"")</f>
        <v>#N/A</v>
      </c>
      <c r="CA213" s="359"/>
      <c r="CC213">
        <f t="shared" si="77"/>
        <v>0</v>
      </c>
      <c r="CD213" s="882">
        <f t="shared" si="78"/>
        <v>0</v>
      </c>
      <c r="CE213" s="882">
        <f t="shared" si="79"/>
        <v>0</v>
      </c>
      <c r="CG213" t="s">
        <v>2618</v>
      </c>
      <c r="CH213" t="s">
        <v>2630</v>
      </c>
    </row>
    <row r="214" spans="2:88" ht="31.5" customHeight="1" x14ac:dyDescent="0.25">
      <c r="B214" s="791" t="s">
        <v>2532</v>
      </c>
      <c r="C214" s="874" t="s">
        <v>53</v>
      </c>
      <c r="D214" s="875" t="s">
        <v>34</v>
      </c>
      <c r="E214" s="771" t="str">
        <f>Msl</f>
        <v>Media support de logiciel</v>
      </c>
      <c r="F214" s="768" t="str">
        <f t="shared" si="89"/>
        <v>Divulgation de données</v>
      </c>
      <c r="G214" s="768" t="s">
        <v>2530</v>
      </c>
      <c r="H214" s="876" t="s">
        <v>2398</v>
      </c>
      <c r="I214" s="909" t="s">
        <v>1204</v>
      </c>
      <c r="J214" s="877"/>
      <c r="K214" s="877" t="s">
        <v>2526</v>
      </c>
      <c r="L214" s="885"/>
      <c r="M214" s="796"/>
      <c r="N214" s="851"/>
      <c r="O214" s="851"/>
      <c r="P214" s="875"/>
      <c r="Q214" s="803"/>
      <c r="R214" s="803"/>
      <c r="S214" s="804"/>
      <c r="T214" s="875"/>
      <c r="U214" s="875"/>
      <c r="V214" s="805"/>
      <c r="W214" s="851"/>
      <c r="X214" s="851"/>
      <c r="Y214" s="875"/>
      <c r="Z214" s="875"/>
      <c r="AA214" s="875"/>
      <c r="AB214" s="805"/>
      <c r="AC214" s="806"/>
      <c r="AD214" s="806"/>
      <c r="AE214" s="806"/>
      <c r="AF214" s="806"/>
      <c r="AG214" s="806"/>
      <c r="AH214" s="805"/>
      <c r="AI214" s="807" t="str">
        <f t="shared" si="80"/>
        <v/>
      </c>
      <c r="AJ214" s="805"/>
      <c r="AK214" s="359"/>
      <c r="AM214" t="str">
        <f t="shared" si="86"/>
        <v/>
      </c>
      <c r="AN214">
        <f t="shared" si="87"/>
        <v>0</v>
      </c>
      <c r="AV214" s="882"/>
      <c r="AW214" s="882">
        <f t="shared" si="76"/>
        <v>0</v>
      </c>
      <c r="AX214" s="882">
        <f t="shared" si="81"/>
        <v>1</v>
      </c>
      <c r="AY214" s="882">
        <f t="shared" si="82"/>
        <v>1</v>
      </c>
      <c r="AZ214" s="927">
        <f t="shared" si="83"/>
        <v>1</v>
      </c>
      <c r="BA214" s="882">
        <v>0</v>
      </c>
      <c r="BB214" s="925">
        <f t="shared" si="88"/>
        <v>0</v>
      </c>
      <c r="BC214" s="882">
        <f t="shared" si="84"/>
        <v>1</v>
      </c>
      <c r="BD214" s="342" t="e">
        <f>IF(AND($BC214=0,C214=Tab_sel!$P$7,$D214=Tab_sel!$O$24,$E214=Tab_sel!$B$31),1,"")</f>
        <v>#N/A</v>
      </c>
      <c r="BE214" s="322" t="e">
        <f>IF(AND($BC214=0,C214=Tab_sel!$P$7,$D214=Tab_sel!$O$24,$E214=Tab_sel!$B$32),1,"")</f>
        <v>#N/A</v>
      </c>
      <c r="BF214" s="322" t="e">
        <f>IF(AND($BC214=0,C214=Tab_sel!$P$7,$D214=Tab_sel!$O$24,$E214=Tab_sel!$B$33),1,"")</f>
        <v>#N/A</v>
      </c>
      <c r="BG214" s="322" t="e">
        <f>IF(AND($BC214=0,C214=Tab_sel!$P$7,$D214=Tab_sel!$O$24,$E214=Tab_sel!$B$34),1,"")</f>
        <v>#N/A</v>
      </c>
      <c r="BH214" s="322" t="e">
        <f>IF(AND($BC214=0,C214=Tab_sel!$P$7,$D214=Tab_sel!$O$24,$E214=Tab_sel!$B$35),1,"")</f>
        <v>#N/A</v>
      </c>
      <c r="BI214" s="343" t="e">
        <f>IF(AND($BC214=0,C214=Tab_sel!$P$7,$D214=Tab_sel!$O$24,$E214=Tab_sel!$B$36),1,"")</f>
        <v>#N/A</v>
      </c>
      <c r="BJ214" s="342" t="e">
        <f>IF(AND($BC214=0,$C214=Tab_sel!$P$7,$D214=Tab_sel!$O$24,$E214=Tab_sel!$N$31,$F214=Tab_sel!$B$40),1,"")</f>
        <v>#N/A</v>
      </c>
      <c r="BK214" s="322" t="e">
        <f>IF(AND($BC214=0,$C214=Tab_sel!$P$7,$D214=Tab_sel!$O$24,$E214=Tab_sel!$N$31,$F214=Tab_sel!$B$41),1,"")</f>
        <v>#N/A</v>
      </c>
      <c r="BL214" s="322" t="e">
        <f>IF(AND($BC214=0,$C214=Tab_sel!$P$7,$D214=Tab_sel!$O$24,$E214=Tab_sel!$N$31,$F214=Tab_sel!$B$42),1,"")</f>
        <v>#N/A</v>
      </c>
      <c r="BM214" s="322" t="e">
        <f>IF(AND($BC214=0,$C214=Tab_sel!$P$7,$D214=Tab_sel!$O$24,$E214=Tab_sel!$N$31,$F214=Tab_sel!$B$43),1,"")</f>
        <v>#N/A</v>
      </c>
      <c r="BN214" s="322" t="e">
        <f>IF(AND($BC214=0,$C214=Tab_sel!$P$7,$D214=Tab_sel!$O$24,$E214=Tab_sel!$N$31,$F214=Tab_sel!$B$44),1,"")</f>
        <v>#N/A</v>
      </c>
      <c r="BO214" s="343" t="e">
        <f>IF(AND($BC214=0,$C214=Tab_sel!$P$7,$D214=Tab_sel!$O$24,$E214=Tab_sel!$N$31,$F214=Tab_sel!$B$45),1,"")</f>
        <v>#N/A</v>
      </c>
      <c r="BP214" s="354" t="e">
        <f>IF(AND($BC214=0,$C214=Tab_sel!$P$7,$D214=Tab_sel!$O$24,$E214=Tab_sel!$N$31,$F214=Tab_sel!$N$40,$I214=Tab_sel!$B$61),1,"")</f>
        <v>#N/A</v>
      </c>
      <c r="BQ214" s="355" t="e">
        <f>IF(AND($BC214=0,$C214=Tab_sel!$P$7,$D214=Tab_sel!$O$24,$E214=Tab_sel!$N$31,$F214=Tab_sel!$N$40,$I214=Tab_sel!$B$62),1,"")</f>
        <v>#N/A</v>
      </c>
      <c r="BR214" s="355" t="e">
        <f>IF(AND($BC214=0,$C214=Tab_sel!$P$7,$D214=Tab_sel!$O$24,$E214=Tab_sel!$N$31,$F214=Tab_sel!$N$40,$I214=Tab_sel!$B$63),1,"")</f>
        <v>#N/A</v>
      </c>
      <c r="BS214" s="355" t="e">
        <f>IF(AND($BC214=0,$C214=Tab_sel!$P$7,$D214=Tab_sel!$O$24,$E214=Tab_sel!$N$31,$F214=Tab_sel!$N$40,$I214=Tab_sel!$B$64),1,"")</f>
        <v>#N/A</v>
      </c>
      <c r="BT214" s="356" t="e">
        <f>IF(AND($BC214=0,$C214=Tab_sel!$P$7,$D214=Tab_sel!$O$24,$E214=Tab_sel!$N$31,$F214=Tab_sel!$N$40,$I214=Tab_sel!$B$65),1,"")</f>
        <v>#N/A</v>
      </c>
      <c r="BU214" s="856" t="e">
        <f>IF(AND($BC214=0,$C214=Tab_sel!$P$7,$D214=Tab_sel!$O$24,$E214=Tab_sel!$N$31,$F214=Tab_sel!$N$40,$I214=Tab_sel!$P$61,$H214=Tab_sel!$B$77),1,"")</f>
        <v>#N/A</v>
      </c>
      <c r="BV214" s="883" t="e">
        <f>IF(AND($BC214=0,$C214=Tab_sel!$P$7,$D214=Tab_sel!$O$24,$E214=Tab_sel!$N$31,$F214=Tab_sel!$N$40,$I214=Tab_sel!$P$61,$H214=Tab_sel!$B$78),1,"")</f>
        <v>#N/A</v>
      </c>
      <c r="BW214" s="883" t="e">
        <f>IF(AND($BC214=0,$C214=Tab_sel!$P$7,$D214=Tab_sel!$O$24,$E214=Tab_sel!$N$31,$F214=Tab_sel!$N$40,$I214=Tab_sel!$P$61,$H214=Tab_sel!$B$79),1,"")</f>
        <v>#N/A</v>
      </c>
      <c r="BX214" s="883" t="e">
        <f>IF(AND($BC214=0,$C214=Tab_sel!$P$7,$D214=Tab_sel!$O$24,$E214=Tab_sel!$N$31,$F214=Tab_sel!$N$40,$I214=Tab_sel!$P$61,$H214=Tab_sel!$B$80),1,"")</f>
        <v>#N/A</v>
      </c>
      <c r="BY214" s="883" t="e">
        <f>IF(AND($BC214=0,$C214=Tab_sel!$P$7,$D214=Tab_sel!$O$24,$E214=Tab_sel!$N$31,$F214=Tab_sel!$N$40,$I214=Tab_sel!$P$61,$H214=Tab_sel!$B$81),1,"")</f>
        <v>#N/A</v>
      </c>
      <c r="BZ214" s="857" t="e">
        <f>IF(AND($BC214=0,$C214=Tab_sel!$P$7,$D214=Tab_sel!$O$24,$E214=Tab_sel!$N$31,$F214=Tab_sel!$N$40,$I214=Tab_sel!$P$61,$H214=Tab_sel!$B$82),1,"")</f>
        <v>#N/A</v>
      </c>
      <c r="CA214" s="359"/>
      <c r="CC214">
        <f t="shared" si="77"/>
        <v>0</v>
      </c>
      <c r="CD214" s="882">
        <f t="shared" si="78"/>
        <v>0</v>
      </c>
      <c r="CE214" s="882">
        <f t="shared" si="79"/>
        <v>0</v>
      </c>
      <c r="CH214" t="s">
        <v>2801</v>
      </c>
    </row>
    <row r="215" spans="2:88" ht="28.5" customHeight="1" x14ac:dyDescent="0.25">
      <c r="B215" s="825" t="s">
        <v>1147</v>
      </c>
      <c r="C215" s="1024" t="str">
        <f>Sex</f>
        <v>Services externalisés</v>
      </c>
      <c r="D215" s="1024"/>
      <c r="E215" s="1024"/>
      <c r="F215" s="1024"/>
      <c r="G215" s="1024"/>
      <c r="H215" s="1024"/>
      <c r="I215" s="1024"/>
      <c r="J215" s="1024"/>
      <c r="K215" s="1024"/>
      <c r="L215" s="1024"/>
      <c r="M215" s="1025"/>
      <c r="N215" s="826"/>
      <c r="O215" s="826"/>
      <c r="P215" s="827"/>
      <c r="Q215" s="828"/>
      <c r="R215" s="828"/>
      <c r="S215" s="829"/>
      <c r="T215" s="827"/>
      <c r="U215" s="827"/>
      <c r="V215" s="830"/>
      <c r="W215" s="826"/>
      <c r="X215" s="826"/>
      <c r="Y215" s="827"/>
      <c r="Z215" s="827"/>
      <c r="AA215" s="827"/>
      <c r="AB215" s="830"/>
      <c r="AC215" s="831"/>
      <c r="AD215" s="831"/>
      <c r="AE215" s="831"/>
      <c r="AF215" s="831"/>
      <c r="AG215" s="831"/>
      <c r="AH215" s="830"/>
      <c r="AI215" s="807" t="str">
        <f t="shared" si="80"/>
        <v/>
      </c>
      <c r="AJ215" s="830"/>
      <c r="AK215" s="359"/>
      <c r="AW215" s="882"/>
      <c r="AX215" s="882"/>
      <c r="AY215" s="882"/>
      <c r="AZ215" s="927"/>
      <c r="BA215" s="882"/>
      <c r="BB215" s="925"/>
      <c r="BC215" s="882"/>
      <c r="BD215" s="342"/>
      <c r="BE215" s="322"/>
      <c r="BF215" s="322"/>
      <c r="BG215" s="322"/>
      <c r="BH215" s="322"/>
      <c r="BI215" s="343"/>
      <c r="BJ215" s="342"/>
      <c r="BK215" s="322"/>
      <c r="BL215" s="322"/>
      <c r="BM215" s="322"/>
      <c r="BN215" s="322"/>
      <c r="BO215" s="343"/>
      <c r="BP215" s="354"/>
      <c r="BQ215" s="355"/>
      <c r="BR215" s="355"/>
      <c r="BS215" s="355"/>
      <c r="BT215" s="356"/>
      <c r="BU215" s="856"/>
      <c r="BV215" s="883"/>
      <c r="BW215" s="883"/>
      <c r="BX215" s="883"/>
      <c r="BY215" s="883"/>
      <c r="BZ215" s="857"/>
      <c r="CA215" s="359"/>
      <c r="CC215">
        <f t="shared" si="77"/>
        <v>0</v>
      </c>
      <c r="CD215" s="882">
        <f t="shared" si="78"/>
        <v>0</v>
      </c>
      <c r="CE215" s="882">
        <f t="shared" si="79"/>
        <v>0</v>
      </c>
    </row>
    <row r="216" spans="2:88" ht="72" customHeight="1" x14ac:dyDescent="0.25">
      <c r="B216" s="791" t="s">
        <v>1438</v>
      </c>
      <c r="C216" s="771" t="s">
        <v>69</v>
      </c>
      <c r="D216" s="772" t="s">
        <v>76</v>
      </c>
      <c r="E216" s="771" t="str">
        <f>Iml</f>
        <v>Infrastructure matérielle et logicielle support de services externalisés</v>
      </c>
      <c r="F216" s="768" t="str">
        <f>Inac</f>
        <v>Inaccessibilité</v>
      </c>
      <c r="G216" s="769" t="s">
        <v>2017</v>
      </c>
      <c r="H216" s="769"/>
      <c r="I216" s="771" t="s">
        <v>1158</v>
      </c>
      <c r="J216" s="769"/>
      <c r="K216" s="769"/>
      <c r="L216" s="769"/>
      <c r="M216" s="794" t="s">
        <v>2461</v>
      </c>
      <c r="N216" s="767"/>
      <c r="O216" s="767"/>
      <c r="P216" s="772"/>
      <c r="Q216" s="803"/>
      <c r="R216" s="803"/>
      <c r="S216" s="804"/>
      <c r="T216" s="772"/>
      <c r="U216" s="772"/>
      <c r="V216" s="805"/>
      <c r="W216" s="767"/>
      <c r="X216" s="767"/>
      <c r="Y216" s="772"/>
      <c r="Z216" s="772"/>
      <c r="AA216" s="772"/>
      <c r="AB216" s="805"/>
      <c r="AC216" s="806"/>
      <c r="AD216" s="806"/>
      <c r="AE216" s="806"/>
      <c r="AF216" s="806"/>
      <c r="AG216" s="806"/>
      <c r="AH216" s="805"/>
      <c r="AI216" s="807" t="str">
        <f t="shared" si="80"/>
        <v/>
      </c>
      <c r="AJ216" s="805"/>
      <c r="AK216" s="359"/>
      <c r="AM216" t="str">
        <f t="shared" si="86"/>
        <v/>
      </c>
      <c r="AN216">
        <f t="shared" si="87"/>
        <v>0</v>
      </c>
      <c r="AW216" s="882">
        <f t="shared" si="76"/>
        <v>0</v>
      </c>
      <c r="AX216" s="882">
        <f>VLOOKUP(E216,Tab_ActS,2,FALSE)</f>
        <v>1</v>
      </c>
      <c r="AY216" s="882">
        <f>VLOOKUP(F216,Tab_SDom,3,FALSE)</f>
        <v>1</v>
      </c>
      <c r="AZ216" s="927">
        <f>VLOOKUP($I216,Tabexpo,8,FALSE)</f>
        <v>1</v>
      </c>
      <c r="BA216" s="882">
        <v>1</v>
      </c>
      <c r="BB216" s="925">
        <f t="shared" si="88"/>
        <v>0</v>
      </c>
      <c r="BC216" s="882">
        <f>IF(IndS=FALSE,IF(BB216=1,0,1),IF(BB216=0,1,AV216))</f>
        <v>1</v>
      </c>
      <c r="BD216" s="342" t="e">
        <f>IF(AND($BC216=0,C216=Tab_sel!$P$7,$D216=Tab_sel!$O$24,$E216=Tab_sel!$B$31),1,"")</f>
        <v>#N/A</v>
      </c>
      <c r="BE216" s="322" t="e">
        <f>IF(AND($BC216=0,C216=Tab_sel!$P$7,$D216=Tab_sel!$O$24,$E216=Tab_sel!$B$32),1,"")</f>
        <v>#N/A</v>
      </c>
      <c r="BF216" s="322" t="e">
        <f>IF(AND($BC216=0,C216=Tab_sel!$P$7,$D216=Tab_sel!$O$24,$E216=Tab_sel!$B$33),1,"")</f>
        <v>#N/A</v>
      </c>
      <c r="BG216" s="322" t="e">
        <f>IF(AND($BC216=0,C216=Tab_sel!$P$7,$D216=Tab_sel!$O$24,$E216=Tab_sel!$B$34),1,"")</f>
        <v>#N/A</v>
      </c>
      <c r="BH216" s="322" t="e">
        <f>IF(AND($BC216=0,C216=Tab_sel!$P$7,$D216=Tab_sel!$O$24,$E216=Tab_sel!$B$35),1,"")</f>
        <v>#N/A</v>
      </c>
      <c r="BI216" s="343" t="e">
        <f>IF(AND($BC216=0,C216=Tab_sel!$P$7,$D216=Tab_sel!$O$24,$E216=Tab_sel!$B$36),1,"")</f>
        <v>#N/A</v>
      </c>
      <c r="BJ216" s="342" t="e">
        <f>IF(AND($BC216=0,$C216=Tab_sel!$P$7,$D216=Tab_sel!$O$24,$E216=Tab_sel!$N$31,$F216=Tab_sel!$B$40),1,"")</f>
        <v>#N/A</v>
      </c>
      <c r="BK216" s="322" t="e">
        <f>IF(AND($BC216=0,$C216=Tab_sel!$P$7,$D216=Tab_sel!$O$24,$E216=Tab_sel!$N$31,$F216=Tab_sel!$B$41),1,"")</f>
        <v>#N/A</v>
      </c>
      <c r="BL216" s="322" t="e">
        <f>IF(AND($BC216=0,$C216=Tab_sel!$P$7,$D216=Tab_sel!$O$24,$E216=Tab_sel!$N$31,$F216=Tab_sel!$B$42),1,"")</f>
        <v>#N/A</v>
      </c>
      <c r="BM216" s="322" t="e">
        <f>IF(AND($BC216=0,$C216=Tab_sel!$P$7,$D216=Tab_sel!$O$24,$E216=Tab_sel!$N$31,$F216=Tab_sel!$B$43),1,"")</f>
        <v>#N/A</v>
      </c>
      <c r="BN216" s="322" t="e">
        <f>IF(AND($BC216=0,$C216=Tab_sel!$P$7,$D216=Tab_sel!$O$24,$E216=Tab_sel!$N$31,$F216=Tab_sel!$B$44),1,"")</f>
        <v>#N/A</v>
      </c>
      <c r="BO216" s="343" t="e">
        <f>IF(AND($BC216=0,$C216=Tab_sel!$P$7,$D216=Tab_sel!$O$24,$E216=Tab_sel!$N$31,$F216=Tab_sel!$B$45),1,"")</f>
        <v>#N/A</v>
      </c>
      <c r="BP216" s="354" t="e">
        <f>IF(AND($BC216=0,$C216=Tab_sel!$P$7,$D216=Tab_sel!$O$24,$E216=Tab_sel!$N$31,$F216=Tab_sel!$N$40,$I216=Tab_sel!$B$61),1,"")</f>
        <v>#N/A</v>
      </c>
      <c r="BQ216" s="355" t="e">
        <f>IF(AND($BC216=0,$C216=Tab_sel!$P$7,$D216=Tab_sel!$O$24,$E216=Tab_sel!$N$31,$F216=Tab_sel!$N$40,$I216=Tab_sel!$B$62),1,"")</f>
        <v>#N/A</v>
      </c>
      <c r="BR216" s="355" t="e">
        <f>IF(AND($BC216=0,$C216=Tab_sel!$P$7,$D216=Tab_sel!$O$24,$E216=Tab_sel!$N$31,$F216=Tab_sel!$N$40,$I216=Tab_sel!$B$63),1,"")</f>
        <v>#N/A</v>
      </c>
      <c r="BS216" s="355" t="e">
        <f>IF(AND($BC216=0,$C216=Tab_sel!$P$7,$D216=Tab_sel!$O$24,$E216=Tab_sel!$N$31,$F216=Tab_sel!$N$40,$I216=Tab_sel!$B$64),1,"")</f>
        <v>#N/A</v>
      </c>
      <c r="BT216" s="356" t="e">
        <f>IF(AND($BC216=0,$C216=Tab_sel!$P$7,$D216=Tab_sel!$O$24,$E216=Tab_sel!$N$31,$F216=Tab_sel!$N$40,$I216=Tab_sel!$B$65),1,"")</f>
        <v>#N/A</v>
      </c>
      <c r="BU216" s="856" t="e">
        <f>IF(AND($BC216=0,$C216=Tab_sel!$P$7,$D216=Tab_sel!$O$24,$E216=Tab_sel!$N$31,$F216=Tab_sel!$N$40,$I216=Tab_sel!$P$61,$H216=Tab_sel!$B$77),1,"")</f>
        <v>#N/A</v>
      </c>
      <c r="BV216" s="883" t="e">
        <f>IF(AND($BC216=0,$C216=Tab_sel!$P$7,$D216=Tab_sel!$O$24,$E216=Tab_sel!$N$31,$F216=Tab_sel!$N$40,$I216=Tab_sel!$P$61,$H216=Tab_sel!$B$78),1,"")</f>
        <v>#N/A</v>
      </c>
      <c r="BW216" s="883" t="e">
        <f>IF(AND($BC216=0,$C216=Tab_sel!$P$7,$D216=Tab_sel!$O$24,$E216=Tab_sel!$N$31,$F216=Tab_sel!$N$40,$I216=Tab_sel!$P$61,$H216=Tab_sel!$B$79),1,"")</f>
        <v>#N/A</v>
      </c>
      <c r="BX216" s="883" t="e">
        <f>IF(AND($BC216=0,$C216=Tab_sel!$P$7,$D216=Tab_sel!$O$24,$E216=Tab_sel!$N$31,$F216=Tab_sel!$N$40,$I216=Tab_sel!$P$61,$H216=Tab_sel!$B$80),1,"")</f>
        <v>#N/A</v>
      </c>
      <c r="BY216" s="883" t="e">
        <f>IF(AND($BC216=0,$C216=Tab_sel!$P$7,$D216=Tab_sel!$O$24,$E216=Tab_sel!$N$31,$F216=Tab_sel!$N$40,$I216=Tab_sel!$P$61,$H216=Tab_sel!$B$81),1,"")</f>
        <v>#N/A</v>
      </c>
      <c r="BZ216" s="857" t="e">
        <f>IF(AND($BC216=0,$C216=Tab_sel!$P$7,$D216=Tab_sel!$O$24,$E216=Tab_sel!$N$31,$F216=Tab_sel!$N$40,$I216=Tab_sel!$P$61,$H216=Tab_sel!$B$82),1,"")</f>
        <v>#N/A</v>
      </c>
      <c r="CA216" s="359"/>
      <c r="CC216">
        <f t="shared" si="77"/>
        <v>0</v>
      </c>
      <c r="CD216" s="882">
        <f t="shared" si="78"/>
        <v>0</v>
      </c>
      <c r="CE216" s="882">
        <f t="shared" si="79"/>
        <v>0</v>
      </c>
      <c r="CJ216" t="s">
        <v>2681</v>
      </c>
    </row>
    <row r="217" spans="2:88" ht="72" customHeight="1" x14ac:dyDescent="0.25">
      <c r="B217" s="791" t="s">
        <v>1439</v>
      </c>
      <c r="C217" s="771" t="s">
        <v>69</v>
      </c>
      <c r="D217" s="772" t="s">
        <v>76</v>
      </c>
      <c r="E217" s="771" t="str">
        <f>Iml</f>
        <v>Infrastructure matérielle et logicielle support de services externalisés</v>
      </c>
      <c r="F217" s="783" t="str">
        <f>Inop</f>
        <v>Inopérabilité</v>
      </c>
      <c r="G217" s="769" t="s">
        <v>2603</v>
      </c>
      <c r="H217" s="769"/>
      <c r="I217" s="771" t="s">
        <v>1943</v>
      </c>
      <c r="J217" s="769"/>
      <c r="K217" s="769"/>
      <c r="L217" s="769"/>
      <c r="M217" s="794" t="s">
        <v>1272</v>
      </c>
      <c r="N217" s="767"/>
      <c r="O217" s="767"/>
      <c r="P217" s="772"/>
      <c r="Q217" s="803"/>
      <c r="R217" s="803"/>
      <c r="S217" s="804"/>
      <c r="T217" s="772"/>
      <c r="U217" s="772"/>
      <c r="V217" s="805"/>
      <c r="W217" s="767"/>
      <c r="X217" s="767"/>
      <c r="Y217" s="772"/>
      <c r="Z217" s="772"/>
      <c r="AA217" s="772"/>
      <c r="AB217" s="805"/>
      <c r="AC217" s="806"/>
      <c r="AD217" s="806"/>
      <c r="AE217" s="806"/>
      <c r="AF217" s="806"/>
      <c r="AG217" s="806"/>
      <c r="AH217" s="805"/>
      <c r="AI217" s="807" t="str">
        <f t="shared" si="80"/>
        <v/>
      </c>
      <c r="AJ217" s="805"/>
      <c r="AK217" s="359"/>
      <c r="AM217" t="str">
        <f t="shared" si="86"/>
        <v/>
      </c>
      <c r="AN217">
        <f t="shared" si="87"/>
        <v>0</v>
      </c>
      <c r="AW217" s="882">
        <f t="shared" si="76"/>
        <v>0</v>
      </c>
      <c r="AX217" s="882">
        <f>VLOOKUP(E217,Tab_ActS,2,FALSE)</f>
        <v>1</v>
      </c>
      <c r="AY217" s="882">
        <f>VLOOKUP(F217,Tab_SDom,3,FALSE)</f>
        <v>1</v>
      </c>
      <c r="AZ217" s="927">
        <f>VLOOKUP($I217,Tabexpo,8,FALSE)</f>
        <v>1</v>
      </c>
      <c r="BA217" s="882">
        <v>1</v>
      </c>
      <c r="BB217" s="925">
        <f t="shared" si="88"/>
        <v>0</v>
      </c>
      <c r="BC217" s="882">
        <f>IF(IndS=FALSE,IF(BB217=1,0,1),IF(BB217=0,1,AV217))</f>
        <v>1</v>
      </c>
      <c r="BD217" s="342" t="e">
        <f>IF(AND($BC217=0,C217=Tab_sel!$P$7,$D217=Tab_sel!$O$24,$E217=Tab_sel!$B$31),1,"")</f>
        <v>#N/A</v>
      </c>
      <c r="BE217" s="322" t="e">
        <f>IF(AND($BC217=0,C217=Tab_sel!$P$7,$D217=Tab_sel!$O$24,$E217=Tab_sel!$B$32),1,"")</f>
        <v>#N/A</v>
      </c>
      <c r="BF217" s="322" t="e">
        <f>IF(AND($BC217=0,C217=Tab_sel!$P$7,$D217=Tab_sel!$O$24,$E217=Tab_sel!$B$33),1,"")</f>
        <v>#N/A</v>
      </c>
      <c r="BG217" s="322" t="e">
        <f>IF(AND($BC217=0,C217=Tab_sel!$P$7,$D217=Tab_sel!$O$24,$E217=Tab_sel!$B$34),1,"")</f>
        <v>#N/A</v>
      </c>
      <c r="BH217" s="322" t="e">
        <f>IF(AND($BC217=0,C217=Tab_sel!$P$7,$D217=Tab_sel!$O$24,$E217=Tab_sel!$B$35),1,"")</f>
        <v>#N/A</v>
      </c>
      <c r="BI217" s="343" t="e">
        <f>IF(AND($BC217=0,C217=Tab_sel!$P$7,$D217=Tab_sel!$O$24,$E217=Tab_sel!$B$36),1,"")</f>
        <v>#N/A</v>
      </c>
      <c r="BJ217" s="342" t="e">
        <f>IF(AND($BC217=0,$C217=Tab_sel!$P$7,$D217=Tab_sel!$O$24,$E217=Tab_sel!$N$31,$F217=Tab_sel!$B$40),1,"")</f>
        <v>#N/A</v>
      </c>
      <c r="BK217" s="322" t="e">
        <f>IF(AND($BC217=0,$C217=Tab_sel!$P$7,$D217=Tab_sel!$O$24,$E217=Tab_sel!$N$31,$F217=Tab_sel!$B$41),1,"")</f>
        <v>#N/A</v>
      </c>
      <c r="BL217" s="322" t="e">
        <f>IF(AND($BC217=0,$C217=Tab_sel!$P$7,$D217=Tab_sel!$O$24,$E217=Tab_sel!$N$31,$F217=Tab_sel!$B$42),1,"")</f>
        <v>#N/A</v>
      </c>
      <c r="BM217" s="322" t="e">
        <f>IF(AND($BC217=0,$C217=Tab_sel!$P$7,$D217=Tab_sel!$O$24,$E217=Tab_sel!$N$31,$F217=Tab_sel!$B$43),1,"")</f>
        <v>#N/A</v>
      </c>
      <c r="BN217" s="322" t="e">
        <f>IF(AND($BC217=0,$C217=Tab_sel!$P$7,$D217=Tab_sel!$O$24,$E217=Tab_sel!$N$31,$F217=Tab_sel!$B$44),1,"")</f>
        <v>#N/A</v>
      </c>
      <c r="BO217" s="343" t="e">
        <f>IF(AND($BC217=0,$C217=Tab_sel!$P$7,$D217=Tab_sel!$O$24,$E217=Tab_sel!$N$31,$F217=Tab_sel!$B$45),1,"")</f>
        <v>#N/A</v>
      </c>
      <c r="BP217" s="354" t="e">
        <f>IF(AND($BC217=0,$C217=Tab_sel!$P$7,$D217=Tab_sel!$O$24,$E217=Tab_sel!$N$31,$F217=Tab_sel!$N$40,$I217=Tab_sel!$B$61),1,"")</f>
        <v>#N/A</v>
      </c>
      <c r="BQ217" s="355" t="e">
        <f>IF(AND($BC217=0,$C217=Tab_sel!$P$7,$D217=Tab_sel!$O$24,$E217=Tab_sel!$N$31,$F217=Tab_sel!$N$40,$I217=Tab_sel!$B$62),1,"")</f>
        <v>#N/A</v>
      </c>
      <c r="BR217" s="355" t="e">
        <f>IF(AND($BC217=0,$C217=Tab_sel!$P$7,$D217=Tab_sel!$O$24,$E217=Tab_sel!$N$31,$F217=Tab_sel!$N$40,$I217=Tab_sel!$B$63),1,"")</f>
        <v>#N/A</v>
      </c>
      <c r="BS217" s="355" t="e">
        <f>IF(AND($BC217=0,$C217=Tab_sel!$P$7,$D217=Tab_sel!$O$24,$E217=Tab_sel!$N$31,$F217=Tab_sel!$N$40,$I217=Tab_sel!$B$64),1,"")</f>
        <v>#N/A</v>
      </c>
      <c r="BT217" s="356" t="e">
        <f>IF(AND($BC217=0,$C217=Tab_sel!$P$7,$D217=Tab_sel!$O$24,$E217=Tab_sel!$N$31,$F217=Tab_sel!$N$40,$I217=Tab_sel!$B$65),1,"")</f>
        <v>#N/A</v>
      </c>
      <c r="BU217" s="856" t="e">
        <f>IF(AND($BC217=0,$C217=Tab_sel!$P$7,$D217=Tab_sel!$O$24,$E217=Tab_sel!$N$31,$F217=Tab_sel!$N$40,$I217=Tab_sel!$P$61,$H217=Tab_sel!$B$77),1,"")</f>
        <v>#N/A</v>
      </c>
      <c r="BV217" s="883" t="e">
        <f>IF(AND($BC217=0,$C217=Tab_sel!$P$7,$D217=Tab_sel!$O$24,$E217=Tab_sel!$N$31,$F217=Tab_sel!$N$40,$I217=Tab_sel!$P$61,$H217=Tab_sel!$B$78),1,"")</f>
        <v>#N/A</v>
      </c>
      <c r="BW217" s="883" t="e">
        <f>IF(AND($BC217=0,$C217=Tab_sel!$P$7,$D217=Tab_sel!$O$24,$E217=Tab_sel!$N$31,$F217=Tab_sel!$N$40,$I217=Tab_sel!$P$61,$H217=Tab_sel!$B$79),1,"")</f>
        <v>#N/A</v>
      </c>
      <c r="BX217" s="883" t="e">
        <f>IF(AND($BC217=0,$C217=Tab_sel!$P$7,$D217=Tab_sel!$O$24,$E217=Tab_sel!$N$31,$F217=Tab_sel!$N$40,$I217=Tab_sel!$P$61,$H217=Tab_sel!$B$80),1,"")</f>
        <v>#N/A</v>
      </c>
      <c r="BY217" s="883" t="e">
        <f>IF(AND($BC217=0,$C217=Tab_sel!$P$7,$D217=Tab_sel!$O$24,$E217=Tab_sel!$N$31,$F217=Tab_sel!$N$40,$I217=Tab_sel!$P$61,$H217=Tab_sel!$B$81),1,"")</f>
        <v>#N/A</v>
      </c>
      <c r="BZ217" s="857" t="e">
        <f>IF(AND($BC217=0,$C217=Tab_sel!$P$7,$D217=Tab_sel!$O$24,$E217=Tab_sel!$N$31,$F217=Tab_sel!$N$40,$I217=Tab_sel!$P$61,$H217=Tab_sel!$B$82),1,"")</f>
        <v>#N/A</v>
      </c>
      <c r="CA217" s="359"/>
      <c r="CC217">
        <f t="shared" si="77"/>
        <v>0</v>
      </c>
      <c r="CD217" s="882">
        <f t="shared" si="78"/>
        <v>0</v>
      </c>
      <c r="CE217" s="882">
        <f t="shared" si="79"/>
        <v>0</v>
      </c>
      <c r="CJ217" t="s">
        <v>2682</v>
      </c>
    </row>
    <row r="218" spans="2:88" ht="84" customHeight="1" x14ac:dyDescent="0.25">
      <c r="B218" s="791" t="s">
        <v>1440</v>
      </c>
      <c r="C218" s="771" t="s">
        <v>69</v>
      </c>
      <c r="D218" s="772" t="s">
        <v>23</v>
      </c>
      <c r="E218" s="771" t="str">
        <f>Iml</f>
        <v>Infrastructure matérielle et logicielle support de services externalisés</v>
      </c>
      <c r="F218" s="768" t="str">
        <f>Altf</f>
        <v>Altération (non détectée) de fonction</v>
      </c>
      <c r="G218" s="768" t="s">
        <v>1108</v>
      </c>
      <c r="H218" s="768"/>
      <c r="I218" s="771" t="s">
        <v>1198</v>
      </c>
      <c r="J218" s="769"/>
      <c r="K218" s="769" t="s">
        <v>1343</v>
      </c>
      <c r="L218" s="769"/>
      <c r="M218" s="788"/>
      <c r="N218" s="767"/>
      <c r="O218" s="767"/>
      <c r="P218" s="772"/>
      <c r="Q218" s="803"/>
      <c r="R218" s="803"/>
      <c r="S218" s="804"/>
      <c r="T218" s="772"/>
      <c r="U218" s="772"/>
      <c r="V218" s="805"/>
      <c r="W218" s="767"/>
      <c r="X218" s="767"/>
      <c r="Y218" s="772"/>
      <c r="Z218" s="772"/>
      <c r="AA218" s="772"/>
      <c r="AB218" s="805"/>
      <c r="AC218" s="806"/>
      <c r="AD218" s="806"/>
      <c r="AE218" s="806"/>
      <c r="AF218" s="806"/>
      <c r="AG218" s="806"/>
      <c r="AH218" s="805"/>
      <c r="AI218" s="807" t="str">
        <f t="shared" si="80"/>
        <v/>
      </c>
      <c r="AJ218" s="805"/>
      <c r="AK218" s="359"/>
      <c r="AM218" t="str">
        <f t="shared" si="86"/>
        <v/>
      </c>
      <c r="AN218">
        <f t="shared" si="87"/>
        <v>0</v>
      </c>
      <c r="AW218" s="882">
        <f t="shared" si="76"/>
        <v>0</v>
      </c>
      <c r="AX218" s="882">
        <f>VLOOKUP(E218,Tab_ActS,2,FALSE)</f>
        <v>1</v>
      </c>
      <c r="AY218" s="882">
        <f>VLOOKUP(F218,Tab_SDom,3,FALSE)</f>
        <v>1</v>
      </c>
      <c r="AZ218" s="927">
        <f>VLOOKUP($I218,Tabexpo,8,FALSE)</f>
        <v>1</v>
      </c>
      <c r="BA218" s="882">
        <v>1</v>
      </c>
      <c r="BB218" s="925">
        <f t="shared" si="88"/>
        <v>0</v>
      </c>
      <c r="BC218" s="882">
        <f>IF(IndS=FALSE,IF(BB218=1,0,1),IF(BB218=0,1,AV218))</f>
        <v>1</v>
      </c>
      <c r="BD218" s="342" t="e">
        <f>IF(AND($BC218=0,C218=Tab_sel!$P$7,$D218=Tab_sel!$O$24,$E218=Tab_sel!$B$31),1,"")</f>
        <v>#N/A</v>
      </c>
      <c r="BE218" s="322" t="e">
        <f>IF(AND($BC218=0,C218=Tab_sel!$P$7,$D218=Tab_sel!$O$24,$E218=Tab_sel!$B$32),1,"")</f>
        <v>#N/A</v>
      </c>
      <c r="BF218" s="322" t="e">
        <f>IF(AND($BC218=0,C218=Tab_sel!$P$7,$D218=Tab_sel!$O$24,$E218=Tab_sel!$B$33),1,"")</f>
        <v>#N/A</v>
      </c>
      <c r="BG218" s="322" t="e">
        <f>IF(AND($BC218=0,C218=Tab_sel!$P$7,$D218=Tab_sel!$O$24,$E218=Tab_sel!$B$34),1,"")</f>
        <v>#N/A</v>
      </c>
      <c r="BH218" s="322" t="e">
        <f>IF(AND($BC218=0,C218=Tab_sel!$P$7,$D218=Tab_sel!$O$24,$E218=Tab_sel!$B$35),1,"")</f>
        <v>#N/A</v>
      </c>
      <c r="BI218" s="343" t="e">
        <f>IF(AND($BC218=0,C218=Tab_sel!$P$7,$D218=Tab_sel!$O$24,$E218=Tab_sel!$B$36),1,"")</f>
        <v>#N/A</v>
      </c>
      <c r="BJ218" s="342" t="e">
        <f>IF(AND($BC218=0,$C218=Tab_sel!$P$7,$D218=Tab_sel!$O$24,$E218=Tab_sel!$N$31,$F218=Tab_sel!$B$40),1,"")</f>
        <v>#N/A</v>
      </c>
      <c r="BK218" s="322" t="e">
        <f>IF(AND($BC218=0,$C218=Tab_sel!$P$7,$D218=Tab_sel!$O$24,$E218=Tab_sel!$N$31,$F218=Tab_sel!$B$41),1,"")</f>
        <v>#N/A</v>
      </c>
      <c r="BL218" s="322" t="e">
        <f>IF(AND($BC218=0,$C218=Tab_sel!$P$7,$D218=Tab_sel!$O$24,$E218=Tab_sel!$N$31,$F218=Tab_sel!$B$42),1,"")</f>
        <v>#N/A</v>
      </c>
      <c r="BM218" s="322" t="e">
        <f>IF(AND($BC218=0,$C218=Tab_sel!$P$7,$D218=Tab_sel!$O$24,$E218=Tab_sel!$N$31,$F218=Tab_sel!$B$43),1,"")</f>
        <v>#N/A</v>
      </c>
      <c r="BN218" s="322" t="e">
        <f>IF(AND($BC218=0,$C218=Tab_sel!$P$7,$D218=Tab_sel!$O$24,$E218=Tab_sel!$N$31,$F218=Tab_sel!$B$44),1,"")</f>
        <v>#N/A</v>
      </c>
      <c r="BO218" s="343" t="e">
        <f>IF(AND($BC218=0,$C218=Tab_sel!$P$7,$D218=Tab_sel!$O$24,$E218=Tab_sel!$N$31,$F218=Tab_sel!$B$45),1,"")</f>
        <v>#N/A</v>
      </c>
      <c r="BP218" s="354" t="e">
        <f>IF(AND($BC218=0,$C218=Tab_sel!$P$7,$D218=Tab_sel!$O$24,$E218=Tab_sel!$N$31,$F218=Tab_sel!$N$40,$I218=Tab_sel!$B$61),1,"")</f>
        <v>#N/A</v>
      </c>
      <c r="BQ218" s="355" t="e">
        <f>IF(AND($BC218=0,$C218=Tab_sel!$P$7,$D218=Tab_sel!$O$24,$E218=Tab_sel!$N$31,$F218=Tab_sel!$N$40,$I218=Tab_sel!$B$62),1,"")</f>
        <v>#N/A</v>
      </c>
      <c r="BR218" s="355" t="e">
        <f>IF(AND($BC218=0,$C218=Tab_sel!$P$7,$D218=Tab_sel!$O$24,$E218=Tab_sel!$N$31,$F218=Tab_sel!$N$40,$I218=Tab_sel!$B$63),1,"")</f>
        <v>#N/A</v>
      </c>
      <c r="BS218" s="355" t="e">
        <f>IF(AND($BC218=0,$C218=Tab_sel!$P$7,$D218=Tab_sel!$O$24,$E218=Tab_sel!$N$31,$F218=Tab_sel!$N$40,$I218=Tab_sel!$B$64),1,"")</f>
        <v>#N/A</v>
      </c>
      <c r="BT218" s="356" t="e">
        <f>IF(AND($BC218=0,$C218=Tab_sel!$P$7,$D218=Tab_sel!$O$24,$E218=Tab_sel!$N$31,$F218=Tab_sel!$N$40,$I218=Tab_sel!$B$65),1,"")</f>
        <v>#N/A</v>
      </c>
      <c r="BU218" s="856" t="e">
        <f>IF(AND($BC218=0,$C218=Tab_sel!$P$7,$D218=Tab_sel!$O$24,$E218=Tab_sel!$N$31,$F218=Tab_sel!$N$40,$I218=Tab_sel!$P$61,$H218=Tab_sel!$B$77),1,"")</f>
        <v>#N/A</v>
      </c>
      <c r="BV218" s="883" t="e">
        <f>IF(AND($BC218=0,$C218=Tab_sel!$P$7,$D218=Tab_sel!$O$24,$E218=Tab_sel!$N$31,$F218=Tab_sel!$N$40,$I218=Tab_sel!$P$61,$H218=Tab_sel!$B$78),1,"")</f>
        <v>#N/A</v>
      </c>
      <c r="BW218" s="883" t="e">
        <f>IF(AND($BC218=0,$C218=Tab_sel!$P$7,$D218=Tab_sel!$O$24,$E218=Tab_sel!$N$31,$F218=Tab_sel!$N$40,$I218=Tab_sel!$P$61,$H218=Tab_sel!$B$79),1,"")</f>
        <v>#N/A</v>
      </c>
      <c r="BX218" s="883" t="e">
        <f>IF(AND($BC218=0,$C218=Tab_sel!$P$7,$D218=Tab_sel!$O$24,$E218=Tab_sel!$N$31,$F218=Tab_sel!$N$40,$I218=Tab_sel!$P$61,$H218=Tab_sel!$B$80),1,"")</f>
        <v>#N/A</v>
      </c>
      <c r="BY218" s="883" t="e">
        <f>IF(AND($BC218=0,$C218=Tab_sel!$P$7,$D218=Tab_sel!$O$24,$E218=Tab_sel!$N$31,$F218=Tab_sel!$N$40,$I218=Tab_sel!$P$61,$H218=Tab_sel!$B$81),1,"")</f>
        <v>#N/A</v>
      </c>
      <c r="BZ218" s="857" t="e">
        <f>IF(AND($BC218=0,$C218=Tab_sel!$P$7,$D218=Tab_sel!$O$24,$E218=Tab_sel!$N$31,$F218=Tab_sel!$N$40,$I218=Tab_sel!$P$61,$H218=Tab_sel!$B$82),1,"")</f>
        <v>#N/A</v>
      </c>
      <c r="CA218" s="359"/>
      <c r="CC218">
        <f t="shared" si="77"/>
        <v>0</v>
      </c>
      <c r="CD218" s="882">
        <f t="shared" si="78"/>
        <v>0</v>
      </c>
      <c r="CE218" s="882">
        <f t="shared" si="79"/>
        <v>0</v>
      </c>
      <c r="CH218" t="s">
        <v>2683</v>
      </c>
    </row>
    <row r="219" spans="2:88" ht="21.75" customHeight="1" x14ac:dyDescent="0.25">
      <c r="B219" s="834" t="s">
        <v>2019</v>
      </c>
      <c r="C219" s="835" t="s">
        <v>1145</v>
      </c>
      <c r="D219" s="835"/>
      <c r="E219" s="835"/>
      <c r="F219" s="835"/>
      <c r="G219" s="835"/>
      <c r="H219" s="835"/>
      <c r="I219" s="835"/>
      <c r="J219" s="835"/>
      <c r="K219" s="835"/>
      <c r="L219" s="835"/>
      <c r="M219" s="836"/>
      <c r="N219" s="826"/>
      <c r="O219" s="826"/>
      <c r="P219" s="827"/>
      <c r="Q219" s="828"/>
      <c r="R219" s="828"/>
      <c r="S219" s="829"/>
      <c r="T219" s="827"/>
      <c r="U219" s="827"/>
      <c r="V219" s="830"/>
      <c r="W219" s="826"/>
      <c r="X219" s="826"/>
      <c r="Y219" s="827"/>
      <c r="Z219" s="827"/>
      <c r="AA219" s="827"/>
      <c r="AB219" s="830"/>
      <c r="AC219" s="831"/>
      <c r="AD219" s="831"/>
      <c r="AE219" s="831"/>
      <c r="AF219" s="831"/>
      <c r="AG219" s="831"/>
      <c r="AH219" s="830"/>
      <c r="AI219" s="807" t="str">
        <f t="shared" si="80"/>
        <v/>
      </c>
      <c r="AJ219" s="830"/>
      <c r="AK219" s="359"/>
      <c r="AW219" s="882"/>
      <c r="AX219" s="882"/>
      <c r="AY219" s="882"/>
      <c r="AZ219" s="927"/>
      <c r="BA219" s="882"/>
      <c r="BB219" s="925"/>
      <c r="BC219" s="882"/>
      <c r="BD219" s="342"/>
      <c r="BE219" s="322"/>
      <c r="BF219" s="322"/>
      <c r="BG219" s="322"/>
      <c r="BH219" s="322"/>
      <c r="BI219" s="343"/>
      <c r="BJ219" s="342"/>
      <c r="BK219" s="322"/>
      <c r="BL219" s="322"/>
      <c r="BM219" s="322"/>
      <c r="BN219" s="322"/>
      <c r="BO219" s="343"/>
      <c r="BP219" s="354"/>
      <c r="BQ219" s="355"/>
      <c r="BR219" s="355"/>
      <c r="BS219" s="355"/>
      <c r="BT219" s="356"/>
      <c r="BU219" s="856"/>
      <c r="BV219" s="883"/>
      <c r="BW219" s="883"/>
      <c r="BX219" s="883"/>
      <c r="BY219" s="883"/>
      <c r="BZ219" s="857"/>
      <c r="CA219" s="359"/>
      <c r="CC219">
        <f t="shared" si="77"/>
        <v>0</v>
      </c>
      <c r="CD219" s="882">
        <f t="shared" si="78"/>
        <v>0</v>
      </c>
      <c r="CE219" s="882">
        <f t="shared" si="79"/>
        <v>0</v>
      </c>
    </row>
    <row r="220" spans="2:88" ht="45" customHeight="1" x14ac:dyDescent="0.25">
      <c r="B220" s="791" t="s">
        <v>1441</v>
      </c>
      <c r="C220" s="771" t="s">
        <v>36</v>
      </c>
      <c r="D220" s="772" t="s">
        <v>76</v>
      </c>
      <c r="E220" s="771" t="str">
        <f>Cfg</f>
        <v>Configuration systèmes et applications</v>
      </c>
      <c r="F220" s="786" t="str">
        <f>Inex</f>
        <v>Inexploitabilité</v>
      </c>
      <c r="G220" s="769" t="s">
        <v>2020</v>
      </c>
      <c r="H220" s="769"/>
      <c r="I220" s="771" t="s">
        <v>1200</v>
      </c>
      <c r="J220" s="769"/>
      <c r="K220" s="769"/>
      <c r="L220" s="769"/>
      <c r="M220" s="795" t="s">
        <v>2539</v>
      </c>
      <c r="N220" s="767"/>
      <c r="O220" s="767"/>
      <c r="P220" s="772"/>
      <c r="Q220" s="803"/>
      <c r="R220" s="803"/>
      <c r="S220" s="804"/>
      <c r="T220" s="772"/>
      <c r="U220" s="772"/>
      <c r="V220" s="805"/>
      <c r="W220" s="767"/>
      <c r="X220" s="767"/>
      <c r="Y220" s="772"/>
      <c r="Z220" s="772"/>
      <c r="AA220" s="772"/>
      <c r="AB220" s="805"/>
      <c r="AC220" s="806"/>
      <c r="AD220" s="806"/>
      <c r="AE220" s="806"/>
      <c r="AF220" s="806"/>
      <c r="AG220" s="806"/>
      <c r="AH220" s="805"/>
      <c r="AI220" s="807" t="str">
        <f t="shared" si="80"/>
        <v/>
      </c>
      <c r="AJ220" s="805"/>
      <c r="AK220" s="359"/>
      <c r="AM220" t="str">
        <f t="shared" si="86"/>
        <v/>
      </c>
      <c r="AN220">
        <f t="shared" si="87"/>
        <v>0</v>
      </c>
      <c r="AW220" s="882">
        <f t="shared" si="76"/>
        <v>0</v>
      </c>
      <c r="AX220" s="882">
        <f>VLOOKUP(E220,Tab_ActS,2,FALSE)</f>
        <v>1</v>
      </c>
      <c r="AY220" s="882">
        <f>VLOOKUP(F220,Tab_SDom,3,FALSE)</f>
        <v>1</v>
      </c>
      <c r="AZ220" s="927">
        <f>VLOOKUP($I220,Tabexpo,8,FALSE)</f>
        <v>1</v>
      </c>
      <c r="BA220" s="882">
        <v>1</v>
      </c>
      <c r="BB220" s="925">
        <f t="shared" si="88"/>
        <v>0</v>
      </c>
      <c r="BC220" s="882">
        <f>IF(IndS=FALSE,IF(BB220=1,0,1),IF(BB220=0,1,AV220))</f>
        <v>1</v>
      </c>
      <c r="BD220" s="342" t="e">
        <f>IF(AND($BC220=0,C220=Tab_sel!$P$7,$D220=Tab_sel!$O$24,$E220=Tab_sel!$B$31),1,"")</f>
        <v>#N/A</v>
      </c>
      <c r="BE220" s="322" t="e">
        <f>IF(AND($BC220=0,C220=Tab_sel!$P$7,$D220=Tab_sel!$O$24,$E220=Tab_sel!$B$32),1,"")</f>
        <v>#N/A</v>
      </c>
      <c r="BF220" s="322" t="e">
        <f>IF(AND($BC220=0,C220=Tab_sel!$P$7,$D220=Tab_sel!$O$24,$E220=Tab_sel!$B$33),1,"")</f>
        <v>#N/A</v>
      </c>
      <c r="BG220" s="322" t="e">
        <f>IF(AND($BC220=0,C220=Tab_sel!$P$7,$D220=Tab_sel!$O$24,$E220=Tab_sel!$B$34),1,"")</f>
        <v>#N/A</v>
      </c>
      <c r="BH220" s="322" t="e">
        <f>IF(AND($BC220=0,C220=Tab_sel!$P$7,$D220=Tab_sel!$O$24,$E220=Tab_sel!$B$35),1,"")</f>
        <v>#N/A</v>
      </c>
      <c r="BI220" s="343" t="e">
        <f>IF(AND($BC220=0,C220=Tab_sel!$P$7,$D220=Tab_sel!$O$24,$E220=Tab_sel!$B$36),1,"")</f>
        <v>#N/A</v>
      </c>
      <c r="BJ220" s="342" t="e">
        <f>IF(AND($BC220=0,$C220=Tab_sel!$P$7,$D220=Tab_sel!$O$24,$E220=Tab_sel!$N$31,$F220=Tab_sel!$B$40),1,"")</f>
        <v>#N/A</v>
      </c>
      <c r="BK220" s="322" t="e">
        <f>IF(AND($BC220=0,$C220=Tab_sel!$P$7,$D220=Tab_sel!$O$24,$E220=Tab_sel!$N$31,$F220=Tab_sel!$B$41),1,"")</f>
        <v>#N/A</v>
      </c>
      <c r="BL220" s="322" t="e">
        <f>IF(AND($BC220=0,$C220=Tab_sel!$P$7,$D220=Tab_sel!$O$24,$E220=Tab_sel!$N$31,$F220=Tab_sel!$B$42),1,"")</f>
        <v>#N/A</v>
      </c>
      <c r="BM220" s="322" t="e">
        <f>IF(AND($BC220=0,$C220=Tab_sel!$P$7,$D220=Tab_sel!$O$24,$E220=Tab_sel!$N$31,$F220=Tab_sel!$B$43),1,"")</f>
        <v>#N/A</v>
      </c>
      <c r="BN220" s="322" t="e">
        <f>IF(AND($BC220=0,$C220=Tab_sel!$P$7,$D220=Tab_sel!$O$24,$E220=Tab_sel!$N$31,$F220=Tab_sel!$B$44),1,"")</f>
        <v>#N/A</v>
      </c>
      <c r="BO220" s="343" t="e">
        <f>IF(AND($BC220=0,$C220=Tab_sel!$P$7,$D220=Tab_sel!$O$24,$E220=Tab_sel!$N$31,$F220=Tab_sel!$B$45),1,"")</f>
        <v>#N/A</v>
      </c>
      <c r="BP220" s="354" t="e">
        <f>IF(AND($BC220=0,$C220=Tab_sel!$P$7,$D220=Tab_sel!$O$24,$E220=Tab_sel!$N$31,$F220=Tab_sel!$N$40,$I220=Tab_sel!$B$61),1,"")</f>
        <v>#N/A</v>
      </c>
      <c r="BQ220" s="355" t="e">
        <f>IF(AND($BC220=0,$C220=Tab_sel!$P$7,$D220=Tab_sel!$O$24,$E220=Tab_sel!$N$31,$F220=Tab_sel!$N$40,$I220=Tab_sel!$B$62),1,"")</f>
        <v>#N/A</v>
      </c>
      <c r="BR220" s="355" t="e">
        <f>IF(AND($BC220=0,$C220=Tab_sel!$P$7,$D220=Tab_sel!$O$24,$E220=Tab_sel!$N$31,$F220=Tab_sel!$N$40,$I220=Tab_sel!$B$63),1,"")</f>
        <v>#N/A</v>
      </c>
      <c r="BS220" s="355" t="e">
        <f>IF(AND($BC220=0,$C220=Tab_sel!$P$7,$D220=Tab_sel!$O$24,$E220=Tab_sel!$N$31,$F220=Tab_sel!$N$40,$I220=Tab_sel!$B$64),1,"")</f>
        <v>#N/A</v>
      </c>
      <c r="BT220" s="356" t="e">
        <f>IF(AND($BC220=0,$C220=Tab_sel!$P$7,$D220=Tab_sel!$O$24,$E220=Tab_sel!$N$31,$F220=Tab_sel!$N$40,$I220=Tab_sel!$B$65),1,"")</f>
        <v>#N/A</v>
      </c>
      <c r="BU220" s="856" t="e">
        <f>IF(AND($BC220=0,$C220=Tab_sel!$P$7,$D220=Tab_sel!$O$24,$E220=Tab_sel!$N$31,$F220=Tab_sel!$N$40,$I220=Tab_sel!$P$61,$H220=Tab_sel!$B$77),1,"")</f>
        <v>#N/A</v>
      </c>
      <c r="BV220" s="883" t="e">
        <f>IF(AND($BC220=0,$C220=Tab_sel!$P$7,$D220=Tab_sel!$O$24,$E220=Tab_sel!$N$31,$F220=Tab_sel!$N$40,$I220=Tab_sel!$P$61,$H220=Tab_sel!$B$78),1,"")</f>
        <v>#N/A</v>
      </c>
      <c r="BW220" s="883" t="e">
        <f>IF(AND($BC220=0,$C220=Tab_sel!$P$7,$D220=Tab_sel!$O$24,$E220=Tab_sel!$N$31,$F220=Tab_sel!$N$40,$I220=Tab_sel!$P$61,$H220=Tab_sel!$B$79),1,"")</f>
        <v>#N/A</v>
      </c>
      <c r="BX220" s="883" t="e">
        <f>IF(AND($BC220=0,$C220=Tab_sel!$P$7,$D220=Tab_sel!$O$24,$E220=Tab_sel!$N$31,$F220=Tab_sel!$N$40,$I220=Tab_sel!$P$61,$H220=Tab_sel!$B$80),1,"")</f>
        <v>#N/A</v>
      </c>
      <c r="BY220" s="883" t="e">
        <f>IF(AND($BC220=0,$C220=Tab_sel!$P$7,$D220=Tab_sel!$O$24,$E220=Tab_sel!$N$31,$F220=Tab_sel!$N$40,$I220=Tab_sel!$P$61,$H220=Tab_sel!$B$81),1,"")</f>
        <v>#N/A</v>
      </c>
      <c r="BZ220" s="857" t="e">
        <f>IF(AND($BC220=0,$C220=Tab_sel!$P$7,$D220=Tab_sel!$O$24,$E220=Tab_sel!$N$31,$F220=Tab_sel!$N$40,$I220=Tab_sel!$P$61,$H220=Tab_sel!$B$82),1,"")</f>
        <v>#N/A</v>
      </c>
      <c r="CA220" s="359"/>
      <c r="CC220">
        <f t="shared" si="77"/>
        <v>0</v>
      </c>
      <c r="CD220" s="882">
        <f t="shared" si="78"/>
        <v>0</v>
      </c>
      <c r="CE220" s="882">
        <f t="shared" si="79"/>
        <v>0</v>
      </c>
      <c r="CJ220" t="s">
        <v>2669</v>
      </c>
    </row>
    <row r="221" spans="2:88" ht="45" customHeight="1" x14ac:dyDescent="0.25">
      <c r="B221" s="791" t="s">
        <v>1518</v>
      </c>
      <c r="C221" s="771" t="s">
        <v>36</v>
      </c>
      <c r="D221" s="772" t="s">
        <v>23</v>
      </c>
      <c r="E221" s="771" t="str">
        <f>Cfg</f>
        <v>Configuration systèmes et applications</v>
      </c>
      <c r="F221" s="768" t="str">
        <f>Altf</f>
        <v>Altération (non détectée) de fonction</v>
      </c>
      <c r="G221" s="784" t="s">
        <v>1519</v>
      </c>
      <c r="H221" s="784"/>
      <c r="I221" s="771" t="s">
        <v>1198</v>
      </c>
      <c r="J221" s="787" t="s">
        <v>2537</v>
      </c>
      <c r="K221" s="769" t="s">
        <v>2452</v>
      </c>
      <c r="L221" s="787"/>
      <c r="M221" s="795"/>
      <c r="N221" s="767"/>
      <c r="O221" s="767"/>
      <c r="P221" s="772"/>
      <c r="Q221" s="803"/>
      <c r="R221" s="803"/>
      <c r="S221" s="804"/>
      <c r="T221" s="772"/>
      <c r="U221" s="772"/>
      <c r="V221" s="805"/>
      <c r="W221" s="767"/>
      <c r="X221" s="767"/>
      <c r="Y221" s="772"/>
      <c r="Z221" s="772"/>
      <c r="AA221" s="772"/>
      <c r="AB221" s="805"/>
      <c r="AC221" s="806"/>
      <c r="AD221" s="806"/>
      <c r="AE221" s="806"/>
      <c r="AF221" s="806"/>
      <c r="AG221" s="806"/>
      <c r="AH221" s="805"/>
      <c r="AI221" s="807" t="str">
        <f t="shared" si="80"/>
        <v/>
      </c>
      <c r="AJ221" s="805"/>
      <c r="AK221" s="359"/>
      <c r="AM221" t="str">
        <f t="shared" si="86"/>
        <v/>
      </c>
      <c r="AN221">
        <f t="shared" si="87"/>
        <v>0</v>
      </c>
      <c r="AW221" s="882">
        <f t="shared" si="76"/>
        <v>0</v>
      </c>
      <c r="AX221" s="882">
        <f>VLOOKUP(E221,Tab_ActS,2,FALSE)</f>
        <v>1</v>
      </c>
      <c r="AY221" s="882">
        <f>VLOOKUP(F221,Tab_SDom,3,FALSE)</f>
        <v>1</v>
      </c>
      <c r="AZ221" s="927">
        <f>VLOOKUP($I221,Tabexpo,8,FALSE)</f>
        <v>1</v>
      </c>
      <c r="BA221" s="882">
        <v>1</v>
      </c>
      <c r="BB221" s="925">
        <f t="shared" si="88"/>
        <v>0</v>
      </c>
      <c r="BC221" s="882">
        <f>IF(IndS=FALSE,IF(BB221=1,0,1),IF(BB221=0,1,AV221))</f>
        <v>1</v>
      </c>
      <c r="BD221" s="342" t="e">
        <f>IF(AND($BC221=0,C221=Tab_sel!$P$7,$D221=Tab_sel!$O$24,$E221=Tab_sel!$B$31),1,"")</f>
        <v>#N/A</v>
      </c>
      <c r="BE221" s="322" t="e">
        <f>IF(AND($BC221=0,C221=Tab_sel!$P$7,$D221=Tab_sel!$O$24,$E221=Tab_sel!$B$32),1,"")</f>
        <v>#N/A</v>
      </c>
      <c r="BF221" s="322" t="e">
        <f>IF(AND($BC221=0,C221=Tab_sel!$P$7,$D221=Tab_sel!$O$24,$E221=Tab_sel!$B$33),1,"")</f>
        <v>#N/A</v>
      </c>
      <c r="BG221" s="322" t="e">
        <f>IF(AND($BC221=0,C221=Tab_sel!$P$7,$D221=Tab_sel!$O$24,$E221=Tab_sel!$B$34),1,"")</f>
        <v>#N/A</v>
      </c>
      <c r="BH221" s="322" t="e">
        <f>IF(AND($BC221=0,C221=Tab_sel!$P$7,$D221=Tab_sel!$O$24,$E221=Tab_sel!$B$35),1,"")</f>
        <v>#N/A</v>
      </c>
      <c r="BI221" s="343" t="e">
        <f>IF(AND($BC221=0,C221=Tab_sel!$P$7,$D221=Tab_sel!$O$24,$E221=Tab_sel!$B$36),1,"")</f>
        <v>#N/A</v>
      </c>
      <c r="BJ221" s="342" t="e">
        <f>IF(AND($BC221=0,$C221=Tab_sel!$P$7,$D221=Tab_sel!$O$24,$E221=Tab_sel!$N$31,$F221=Tab_sel!$B$40),1,"")</f>
        <v>#N/A</v>
      </c>
      <c r="BK221" s="322" t="e">
        <f>IF(AND($BC221=0,$C221=Tab_sel!$P$7,$D221=Tab_sel!$O$24,$E221=Tab_sel!$N$31,$F221=Tab_sel!$B$41),1,"")</f>
        <v>#N/A</v>
      </c>
      <c r="BL221" s="322" t="e">
        <f>IF(AND($BC221=0,$C221=Tab_sel!$P$7,$D221=Tab_sel!$O$24,$E221=Tab_sel!$N$31,$F221=Tab_sel!$B$42),1,"")</f>
        <v>#N/A</v>
      </c>
      <c r="BM221" s="322" t="e">
        <f>IF(AND($BC221=0,$C221=Tab_sel!$P$7,$D221=Tab_sel!$O$24,$E221=Tab_sel!$N$31,$F221=Tab_sel!$B$43),1,"")</f>
        <v>#N/A</v>
      </c>
      <c r="BN221" s="322" t="e">
        <f>IF(AND($BC221=0,$C221=Tab_sel!$P$7,$D221=Tab_sel!$O$24,$E221=Tab_sel!$N$31,$F221=Tab_sel!$B$44),1,"")</f>
        <v>#N/A</v>
      </c>
      <c r="BO221" s="343" t="e">
        <f>IF(AND($BC221=0,$C221=Tab_sel!$P$7,$D221=Tab_sel!$O$24,$E221=Tab_sel!$N$31,$F221=Tab_sel!$B$45),1,"")</f>
        <v>#N/A</v>
      </c>
      <c r="BP221" s="354" t="e">
        <f>IF(AND($BC221=0,$C221=Tab_sel!$P$7,$D221=Tab_sel!$O$24,$E221=Tab_sel!$N$31,$F221=Tab_sel!$N$40,$I221=Tab_sel!$B$61),1,"")</f>
        <v>#N/A</v>
      </c>
      <c r="BQ221" s="355" t="e">
        <f>IF(AND($BC221=0,$C221=Tab_sel!$P$7,$D221=Tab_sel!$O$24,$E221=Tab_sel!$N$31,$F221=Tab_sel!$N$40,$I221=Tab_sel!$B$62),1,"")</f>
        <v>#N/A</v>
      </c>
      <c r="BR221" s="355" t="e">
        <f>IF(AND($BC221=0,$C221=Tab_sel!$P$7,$D221=Tab_sel!$O$24,$E221=Tab_sel!$N$31,$F221=Tab_sel!$N$40,$I221=Tab_sel!$B$63),1,"")</f>
        <v>#N/A</v>
      </c>
      <c r="BS221" s="355" t="e">
        <f>IF(AND($BC221=0,$C221=Tab_sel!$P$7,$D221=Tab_sel!$O$24,$E221=Tab_sel!$N$31,$F221=Tab_sel!$N$40,$I221=Tab_sel!$B$64),1,"")</f>
        <v>#N/A</v>
      </c>
      <c r="BT221" s="356" t="e">
        <f>IF(AND($BC221=0,$C221=Tab_sel!$P$7,$D221=Tab_sel!$O$24,$E221=Tab_sel!$N$31,$F221=Tab_sel!$N$40,$I221=Tab_sel!$B$65),1,"")</f>
        <v>#N/A</v>
      </c>
      <c r="BU221" s="856" t="e">
        <f>IF(AND($BC221=0,$C221=Tab_sel!$P$7,$D221=Tab_sel!$O$24,$E221=Tab_sel!$N$31,$F221=Tab_sel!$N$40,$I221=Tab_sel!$P$61,$H221=Tab_sel!$B$77),1,"")</f>
        <v>#N/A</v>
      </c>
      <c r="BV221" s="883" t="e">
        <f>IF(AND($BC221=0,$C221=Tab_sel!$P$7,$D221=Tab_sel!$O$24,$E221=Tab_sel!$N$31,$F221=Tab_sel!$N$40,$I221=Tab_sel!$P$61,$H221=Tab_sel!$B$78),1,"")</f>
        <v>#N/A</v>
      </c>
      <c r="BW221" s="883" t="e">
        <f>IF(AND($BC221=0,$C221=Tab_sel!$P$7,$D221=Tab_sel!$O$24,$E221=Tab_sel!$N$31,$F221=Tab_sel!$N$40,$I221=Tab_sel!$P$61,$H221=Tab_sel!$B$79),1,"")</f>
        <v>#N/A</v>
      </c>
      <c r="BX221" s="883" t="e">
        <f>IF(AND($BC221=0,$C221=Tab_sel!$P$7,$D221=Tab_sel!$O$24,$E221=Tab_sel!$N$31,$F221=Tab_sel!$N$40,$I221=Tab_sel!$P$61,$H221=Tab_sel!$B$80),1,"")</f>
        <v>#N/A</v>
      </c>
      <c r="BY221" s="883" t="e">
        <f>IF(AND($BC221=0,$C221=Tab_sel!$P$7,$D221=Tab_sel!$O$24,$E221=Tab_sel!$N$31,$F221=Tab_sel!$N$40,$I221=Tab_sel!$P$61,$H221=Tab_sel!$B$81),1,"")</f>
        <v>#N/A</v>
      </c>
      <c r="BZ221" s="857" t="e">
        <f>IF(AND($BC221=0,$C221=Tab_sel!$P$7,$D221=Tab_sel!$O$24,$E221=Tab_sel!$N$31,$F221=Tab_sel!$N$40,$I221=Tab_sel!$P$61,$H221=Tab_sel!$B$82),1,"")</f>
        <v>#N/A</v>
      </c>
      <c r="CA221" s="359"/>
      <c r="CC221">
        <f t="shared" si="77"/>
        <v>0</v>
      </c>
      <c r="CD221" s="882">
        <f t="shared" si="78"/>
        <v>0</v>
      </c>
      <c r="CE221" s="882">
        <f t="shared" si="79"/>
        <v>0</v>
      </c>
      <c r="CG221" t="s">
        <v>2609</v>
      </c>
      <c r="CH221" t="s">
        <v>2677</v>
      </c>
    </row>
    <row r="222" spans="2:88" ht="45" customHeight="1" x14ac:dyDescent="0.25">
      <c r="B222" s="791" t="s">
        <v>2442</v>
      </c>
      <c r="C222" s="874" t="s">
        <v>36</v>
      </c>
      <c r="D222" s="875" t="s">
        <v>23</v>
      </c>
      <c r="E222" s="771" t="str">
        <f>Cfg</f>
        <v>Configuration systèmes et applications</v>
      </c>
      <c r="F222" s="768" t="str">
        <f>Altf</f>
        <v>Altération (non détectée) de fonction</v>
      </c>
      <c r="G222" s="890" t="s">
        <v>1519</v>
      </c>
      <c r="H222" s="890" t="s">
        <v>2443</v>
      </c>
      <c r="I222" s="874" t="s">
        <v>1198</v>
      </c>
      <c r="J222" s="891" t="s">
        <v>2537</v>
      </c>
      <c r="K222" s="877" t="s">
        <v>1309</v>
      </c>
      <c r="L222" s="891"/>
      <c r="M222" s="795"/>
      <c r="N222" s="851"/>
      <c r="O222" s="851"/>
      <c r="P222" s="875"/>
      <c r="Q222" s="803"/>
      <c r="R222" s="803"/>
      <c r="S222" s="804"/>
      <c r="T222" s="875"/>
      <c r="U222" s="875"/>
      <c r="V222" s="805"/>
      <c r="W222" s="851"/>
      <c r="X222" s="851"/>
      <c r="Y222" s="875"/>
      <c r="Z222" s="875"/>
      <c r="AA222" s="875"/>
      <c r="AB222" s="805"/>
      <c r="AC222" s="806"/>
      <c r="AD222" s="806"/>
      <c r="AE222" s="806"/>
      <c r="AF222" s="806"/>
      <c r="AG222" s="806"/>
      <c r="AH222" s="805"/>
      <c r="AI222" s="807" t="str">
        <f t="shared" si="80"/>
        <v/>
      </c>
      <c r="AJ222" s="805"/>
      <c r="AK222" s="359"/>
      <c r="AM222" t="str">
        <f t="shared" si="86"/>
        <v/>
      </c>
      <c r="AN222">
        <f t="shared" si="87"/>
        <v>0</v>
      </c>
      <c r="AV222" s="882"/>
      <c r="AW222" s="882">
        <f t="shared" si="76"/>
        <v>0</v>
      </c>
      <c r="AX222" s="882">
        <f>VLOOKUP(E222,Tab_ActS,2,FALSE)</f>
        <v>1</v>
      </c>
      <c r="AY222" s="882">
        <f>VLOOKUP(F222,Tab_SDom,3,FALSE)</f>
        <v>1</v>
      </c>
      <c r="AZ222" s="927">
        <f>VLOOKUP($I222,Tabexpo,8,FALSE)</f>
        <v>1</v>
      </c>
      <c r="BA222" s="882">
        <v>0</v>
      </c>
      <c r="BB222" s="925">
        <f t="shared" si="88"/>
        <v>0</v>
      </c>
      <c r="BC222" s="882">
        <f>IF(IndS=FALSE,IF(BB222=1,0,1),IF(BB222=0,1,AV222))</f>
        <v>1</v>
      </c>
      <c r="BD222" s="342" t="e">
        <f>IF(AND($BC222=0,C222=Tab_sel!$P$7,$D222=Tab_sel!$O$24,$E222=Tab_sel!$B$31),1,"")</f>
        <v>#N/A</v>
      </c>
      <c r="BE222" s="322" t="e">
        <f>IF(AND($BC222=0,C222=Tab_sel!$P$7,$D222=Tab_sel!$O$24,$E222=Tab_sel!$B$32),1,"")</f>
        <v>#N/A</v>
      </c>
      <c r="BF222" s="322" t="e">
        <f>IF(AND($BC222=0,C222=Tab_sel!$P$7,$D222=Tab_sel!$O$24,$E222=Tab_sel!$B$33),1,"")</f>
        <v>#N/A</v>
      </c>
      <c r="BG222" s="322" t="e">
        <f>IF(AND($BC222=0,C222=Tab_sel!$P$7,$D222=Tab_sel!$O$24,$E222=Tab_sel!$B$34),1,"")</f>
        <v>#N/A</v>
      </c>
      <c r="BH222" s="322" t="e">
        <f>IF(AND($BC222=0,C222=Tab_sel!$P$7,$D222=Tab_sel!$O$24,$E222=Tab_sel!$B$35),1,"")</f>
        <v>#N/A</v>
      </c>
      <c r="BI222" s="343" t="e">
        <f>IF(AND($BC222=0,C222=Tab_sel!$P$7,$D222=Tab_sel!$O$24,$E222=Tab_sel!$B$36),1,"")</f>
        <v>#N/A</v>
      </c>
      <c r="BJ222" s="342" t="e">
        <f>IF(AND($BC222=0,$C222=Tab_sel!$P$7,$D222=Tab_sel!$O$24,$E222=Tab_sel!$N$31,$F222=Tab_sel!$B$40),1,"")</f>
        <v>#N/A</v>
      </c>
      <c r="BK222" s="322" t="e">
        <f>IF(AND($BC222=0,$C222=Tab_sel!$P$7,$D222=Tab_sel!$O$24,$E222=Tab_sel!$N$31,$F222=Tab_sel!$B$41),1,"")</f>
        <v>#N/A</v>
      </c>
      <c r="BL222" s="322" t="e">
        <f>IF(AND($BC222=0,$C222=Tab_sel!$P$7,$D222=Tab_sel!$O$24,$E222=Tab_sel!$N$31,$F222=Tab_sel!$B$42),1,"")</f>
        <v>#N/A</v>
      </c>
      <c r="BM222" s="322" t="e">
        <f>IF(AND($BC222=0,$C222=Tab_sel!$P$7,$D222=Tab_sel!$O$24,$E222=Tab_sel!$N$31,$F222=Tab_sel!$B$43),1,"")</f>
        <v>#N/A</v>
      </c>
      <c r="BN222" s="322" t="e">
        <f>IF(AND($BC222=0,$C222=Tab_sel!$P$7,$D222=Tab_sel!$O$24,$E222=Tab_sel!$N$31,$F222=Tab_sel!$B$44),1,"")</f>
        <v>#N/A</v>
      </c>
      <c r="BO222" s="343" t="e">
        <f>IF(AND($BC222=0,$C222=Tab_sel!$P$7,$D222=Tab_sel!$O$24,$E222=Tab_sel!$N$31,$F222=Tab_sel!$B$45),1,"")</f>
        <v>#N/A</v>
      </c>
      <c r="BP222" s="354" t="e">
        <f>IF(AND($BC222=0,$C222=Tab_sel!$P$7,$D222=Tab_sel!$O$24,$E222=Tab_sel!$N$31,$F222=Tab_sel!$N$40,$I222=Tab_sel!$B$61),1,"")</f>
        <v>#N/A</v>
      </c>
      <c r="BQ222" s="355" t="e">
        <f>IF(AND($BC222=0,$C222=Tab_sel!$P$7,$D222=Tab_sel!$O$24,$E222=Tab_sel!$N$31,$F222=Tab_sel!$N$40,$I222=Tab_sel!$B$62),1,"")</f>
        <v>#N/A</v>
      </c>
      <c r="BR222" s="355" t="e">
        <f>IF(AND($BC222=0,$C222=Tab_sel!$P$7,$D222=Tab_sel!$O$24,$E222=Tab_sel!$N$31,$F222=Tab_sel!$N$40,$I222=Tab_sel!$B$63),1,"")</f>
        <v>#N/A</v>
      </c>
      <c r="BS222" s="355" t="e">
        <f>IF(AND($BC222=0,$C222=Tab_sel!$P$7,$D222=Tab_sel!$O$24,$E222=Tab_sel!$N$31,$F222=Tab_sel!$N$40,$I222=Tab_sel!$B$64),1,"")</f>
        <v>#N/A</v>
      </c>
      <c r="BT222" s="356" t="e">
        <f>IF(AND($BC222=0,$C222=Tab_sel!$P$7,$D222=Tab_sel!$O$24,$E222=Tab_sel!$N$31,$F222=Tab_sel!$N$40,$I222=Tab_sel!$B$65),1,"")</f>
        <v>#N/A</v>
      </c>
      <c r="BU222" s="856" t="e">
        <f>IF(AND($BC222=0,$C222=Tab_sel!$P$7,$D222=Tab_sel!$O$24,$E222=Tab_sel!$N$31,$F222=Tab_sel!$N$40,$I222=Tab_sel!$P$61,$H222=Tab_sel!$B$77),1,"")</f>
        <v>#N/A</v>
      </c>
      <c r="BV222" s="883" t="e">
        <f>IF(AND($BC222=0,$C222=Tab_sel!$P$7,$D222=Tab_sel!$O$24,$E222=Tab_sel!$N$31,$F222=Tab_sel!$N$40,$I222=Tab_sel!$P$61,$H222=Tab_sel!$B$78),1,"")</f>
        <v>#N/A</v>
      </c>
      <c r="BW222" s="883" t="e">
        <f>IF(AND($BC222=0,$C222=Tab_sel!$P$7,$D222=Tab_sel!$O$24,$E222=Tab_sel!$N$31,$F222=Tab_sel!$N$40,$I222=Tab_sel!$P$61,$H222=Tab_sel!$B$79),1,"")</f>
        <v>#N/A</v>
      </c>
      <c r="BX222" s="883" t="e">
        <f>IF(AND($BC222=0,$C222=Tab_sel!$P$7,$D222=Tab_sel!$O$24,$E222=Tab_sel!$N$31,$F222=Tab_sel!$N$40,$I222=Tab_sel!$P$61,$H222=Tab_sel!$B$80),1,"")</f>
        <v>#N/A</v>
      </c>
      <c r="BY222" s="883" t="e">
        <f>IF(AND($BC222=0,$C222=Tab_sel!$P$7,$D222=Tab_sel!$O$24,$E222=Tab_sel!$N$31,$F222=Tab_sel!$N$40,$I222=Tab_sel!$P$61,$H222=Tab_sel!$B$81),1,"")</f>
        <v>#N/A</v>
      </c>
      <c r="BZ222" s="857" t="e">
        <f>IF(AND($BC222=0,$C222=Tab_sel!$P$7,$D222=Tab_sel!$O$24,$E222=Tab_sel!$N$31,$F222=Tab_sel!$N$40,$I222=Tab_sel!$P$61,$H222=Tab_sel!$B$82),1,"")</f>
        <v>#N/A</v>
      </c>
      <c r="CA222" s="359"/>
      <c r="CC222">
        <f t="shared" si="77"/>
        <v>0</v>
      </c>
      <c r="CD222" s="882">
        <f t="shared" si="78"/>
        <v>0</v>
      </c>
      <c r="CE222" s="882">
        <f t="shared" si="79"/>
        <v>0</v>
      </c>
      <c r="CG222" t="s">
        <v>2609</v>
      </c>
      <c r="CH222" t="s">
        <v>2679</v>
      </c>
    </row>
    <row r="223" spans="2:88" ht="45" customHeight="1" x14ac:dyDescent="0.25">
      <c r="B223" s="791" t="s">
        <v>2444</v>
      </c>
      <c r="C223" s="874" t="s">
        <v>36</v>
      </c>
      <c r="D223" s="875" t="s">
        <v>23</v>
      </c>
      <c r="E223" s="771" t="str">
        <f>Cfg</f>
        <v>Configuration systèmes et applications</v>
      </c>
      <c r="F223" s="768" t="str">
        <f>Altf</f>
        <v>Altération (non détectée) de fonction</v>
      </c>
      <c r="G223" s="890" t="s">
        <v>1519</v>
      </c>
      <c r="H223" s="890" t="s">
        <v>2346</v>
      </c>
      <c r="I223" s="874" t="s">
        <v>1198</v>
      </c>
      <c r="J223" s="891"/>
      <c r="K223" s="877" t="s">
        <v>1309</v>
      </c>
      <c r="L223" s="891"/>
      <c r="M223" s="795"/>
      <c r="N223" s="851"/>
      <c r="O223" s="851"/>
      <c r="P223" s="875"/>
      <c r="Q223" s="803"/>
      <c r="R223" s="803"/>
      <c r="S223" s="804"/>
      <c r="T223" s="875"/>
      <c r="U223" s="875"/>
      <c r="V223" s="805"/>
      <c r="W223" s="851"/>
      <c r="X223" s="851"/>
      <c r="Y223" s="875"/>
      <c r="Z223" s="875"/>
      <c r="AA223" s="875"/>
      <c r="AB223" s="805"/>
      <c r="AC223" s="806"/>
      <c r="AD223" s="806"/>
      <c r="AE223" s="806"/>
      <c r="AF223" s="806"/>
      <c r="AG223" s="806"/>
      <c r="AH223" s="805"/>
      <c r="AI223" s="807" t="str">
        <f t="shared" si="80"/>
        <v/>
      </c>
      <c r="AJ223" s="805"/>
      <c r="AK223" s="359"/>
      <c r="AM223" t="str">
        <f t="shared" si="86"/>
        <v/>
      </c>
      <c r="AN223">
        <f t="shared" si="87"/>
        <v>0</v>
      </c>
      <c r="AV223" s="882"/>
      <c r="AW223" s="882">
        <f t="shared" si="76"/>
        <v>0</v>
      </c>
      <c r="AX223" s="882">
        <f>VLOOKUP(E223,Tab_ActS,2,FALSE)</f>
        <v>1</v>
      </c>
      <c r="AY223" s="882">
        <f>VLOOKUP(F223,Tab_SDom,3,FALSE)</f>
        <v>1</v>
      </c>
      <c r="AZ223" s="927">
        <f>VLOOKUP($I223,Tabexpo,8,FALSE)</f>
        <v>1</v>
      </c>
      <c r="BA223" s="882">
        <v>0</v>
      </c>
      <c r="BB223" s="925">
        <f t="shared" si="88"/>
        <v>0</v>
      </c>
      <c r="BC223" s="882">
        <f>IF(IndS=FALSE,IF(BB223=1,0,1),IF(BB223=0,1,AV223))</f>
        <v>1</v>
      </c>
      <c r="BD223" s="342" t="e">
        <f>IF(AND($BC223=0,C223=Tab_sel!$P$7,$D223=Tab_sel!$O$24,$E223=Tab_sel!$B$31),1,"")</f>
        <v>#N/A</v>
      </c>
      <c r="BE223" s="322" t="e">
        <f>IF(AND($BC223=0,C223=Tab_sel!$P$7,$D223=Tab_sel!$O$24,$E223=Tab_sel!$B$32),1,"")</f>
        <v>#N/A</v>
      </c>
      <c r="BF223" s="322" t="e">
        <f>IF(AND($BC223=0,C223=Tab_sel!$P$7,$D223=Tab_sel!$O$24,$E223=Tab_sel!$B$33),1,"")</f>
        <v>#N/A</v>
      </c>
      <c r="BG223" s="322" t="e">
        <f>IF(AND($BC223=0,C223=Tab_sel!$P$7,$D223=Tab_sel!$O$24,$E223=Tab_sel!$B$34),1,"")</f>
        <v>#N/A</v>
      </c>
      <c r="BH223" s="322" t="e">
        <f>IF(AND($BC223=0,C223=Tab_sel!$P$7,$D223=Tab_sel!$O$24,$E223=Tab_sel!$B$35),1,"")</f>
        <v>#N/A</v>
      </c>
      <c r="BI223" s="343" t="e">
        <f>IF(AND($BC223=0,C223=Tab_sel!$P$7,$D223=Tab_sel!$O$24,$E223=Tab_sel!$B$36),1,"")</f>
        <v>#N/A</v>
      </c>
      <c r="BJ223" s="342" t="e">
        <f>IF(AND($BC223=0,$C223=Tab_sel!$P$7,$D223=Tab_sel!$O$24,$E223=Tab_sel!$N$31,$F223=Tab_sel!$B$40),1,"")</f>
        <v>#N/A</v>
      </c>
      <c r="BK223" s="322" t="e">
        <f>IF(AND($BC223=0,$C223=Tab_sel!$P$7,$D223=Tab_sel!$O$24,$E223=Tab_sel!$N$31,$F223=Tab_sel!$B$41),1,"")</f>
        <v>#N/A</v>
      </c>
      <c r="BL223" s="322" t="e">
        <f>IF(AND($BC223=0,$C223=Tab_sel!$P$7,$D223=Tab_sel!$O$24,$E223=Tab_sel!$N$31,$F223=Tab_sel!$B$42),1,"")</f>
        <v>#N/A</v>
      </c>
      <c r="BM223" s="322" t="e">
        <f>IF(AND($BC223=0,$C223=Tab_sel!$P$7,$D223=Tab_sel!$O$24,$E223=Tab_sel!$N$31,$F223=Tab_sel!$B$43),1,"")</f>
        <v>#N/A</v>
      </c>
      <c r="BN223" s="322" t="e">
        <f>IF(AND($BC223=0,$C223=Tab_sel!$P$7,$D223=Tab_sel!$O$24,$E223=Tab_sel!$N$31,$F223=Tab_sel!$B$44),1,"")</f>
        <v>#N/A</v>
      </c>
      <c r="BO223" s="343" t="e">
        <f>IF(AND($BC223=0,$C223=Tab_sel!$P$7,$D223=Tab_sel!$O$24,$E223=Tab_sel!$N$31,$F223=Tab_sel!$B$45),1,"")</f>
        <v>#N/A</v>
      </c>
      <c r="BP223" s="354" t="e">
        <f>IF(AND($BC223=0,$C223=Tab_sel!$P$7,$D223=Tab_sel!$O$24,$E223=Tab_sel!$N$31,$F223=Tab_sel!$N$40,$I223=Tab_sel!$B$61),1,"")</f>
        <v>#N/A</v>
      </c>
      <c r="BQ223" s="355" t="e">
        <f>IF(AND($BC223=0,$C223=Tab_sel!$P$7,$D223=Tab_sel!$O$24,$E223=Tab_sel!$N$31,$F223=Tab_sel!$N$40,$I223=Tab_sel!$B$62),1,"")</f>
        <v>#N/A</v>
      </c>
      <c r="BR223" s="355" t="e">
        <f>IF(AND($BC223=0,$C223=Tab_sel!$P$7,$D223=Tab_sel!$O$24,$E223=Tab_sel!$N$31,$F223=Tab_sel!$N$40,$I223=Tab_sel!$B$63),1,"")</f>
        <v>#N/A</v>
      </c>
      <c r="BS223" s="355" t="e">
        <f>IF(AND($BC223=0,$C223=Tab_sel!$P$7,$D223=Tab_sel!$O$24,$E223=Tab_sel!$N$31,$F223=Tab_sel!$N$40,$I223=Tab_sel!$B$64),1,"")</f>
        <v>#N/A</v>
      </c>
      <c r="BT223" s="356" t="e">
        <f>IF(AND($BC223=0,$C223=Tab_sel!$P$7,$D223=Tab_sel!$O$24,$E223=Tab_sel!$N$31,$F223=Tab_sel!$N$40,$I223=Tab_sel!$B$65),1,"")</f>
        <v>#N/A</v>
      </c>
      <c r="BU223" s="856" t="e">
        <f>IF(AND($BC223=0,$C223=Tab_sel!$P$7,$D223=Tab_sel!$O$24,$E223=Tab_sel!$N$31,$F223=Tab_sel!$N$40,$I223=Tab_sel!$P$61,$H223=Tab_sel!$B$77),1,"")</f>
        <v>#N/A</v>
      </c>
      <c r="BV223" s="883" t="e">
        <f>IF(AND($BC223=0,$C223=Tab_sel!$P$7,$D223=Tab_sel!$O$24,$E223=Tab_sel!$N$31,$F223=Tab_sel!$N$40,$I223=Tab_sel!$P$61,$H223=Tab_sel!$B$78),1,"")</f>
        <v>#N/A</v>
      </c>
      <c r="BW223" s="883" t="e">
        <f>IF(AND($BC223=0,$C223=Tab_sel!$P$7,$D223=Tab_sel!$O$24,$E223=Tab_sel!$N$31,$F223=Tab_sel!$N$40,$I223=Tab_sel!$P$61,$H223=Tab_sel!$B$79),1,"")</f>
        <v>#N/A</v>
      </c>
      <c r="BX223" s="883" t="e">
        <f>IF(AND($BC223=0,$C223=Tab_sel!$P$7,$D223=Tab_sel!$O$24,$E223=Tab_sel!$N$31,$F223=Tab_sel!$N$40,$I223=Tab_sel!$P$61,$H223=Tab_sel!$B$80),1,"")</f>
        <v>#N/A</v>
      </c>
      <c r="BY223" s="883" t="e">
        <f>IF(AND($BC223=0,$C223=Tab_sel!$P$7,$D223=Tab_sel!$O$24,$E223=Tab_sel!$N$31,$F223=Tab_sel!$N$40,$I223=Tab_sel!$P$61,$H223=Tab_sel!$B$81),1,"")</f>
        <v>#N/A</v>
      </c>
      <c r="BZ223" s="857" t="e">
        <f>IF(AND($BC223=0,$C223=Tab_sel!$P$7,$D223=Tab_sel!$O$24,$E223=Tab_sel!$N$31,$F223=Tab_sel!$N$40,$I223=Tab_sel!$P$61,$H223=Tab_sel!$B$82),1,"")</f>
        <v>#N/A</v>
      </c>
      <c r="CA223" s="359"/>
      <c r="CC223">
        <f t="shared" si="77"/>
        <v>0</v>
      </c>
      <c r="CD223" s="882">
        <f t="shared" si="78"/>
        <v>0</v>
      </c>
      <c r="CE223" s="882">
        <f t="shared" si="79"/>
        <v>0</v>
      </c>
      <c r="CH223" t="s">
        <v>2679</v>
      </c>
    </row>
    <row r="224" spans="2:88" ht="45" customHeight="1" x14ac:dyDescent="0.25">
      <c r="B224" s="791" t="s">
        <v>2445</v>
      </c>
      <c r="C224" s="874" t="s">
        <v>36</v>
      </c>
      <c r="D224" s="875" t="s">
        <v>23</v>
      </c>
      <c r="E224" s="771" t="str">
        <f>Cfg</f>
        <v>Configuration systèmes et applications</v>
      </c>
      <c r="F224" s="768" t="str">
        <f>Altf</f>
        <v>Altération (non détectée) de fonction</v>
      </c>
      <c r="G224" s="890" t="s">
        <v>1519</v>
      </c>
      <c r="H224" s="890" t="s">
        <v>2446</v>
      </c>
      <c r="I224" s="874" t="s">
        <v>1198</v>
      </c>
      <c r="J224" s="891" t="s">
        <v>2537</v>
      </c>
      <c r="K224" s="877" t="s">
        <v>2452</v>
      </c>
      <c r="L224" s="891"/>
      <c r="M224" s="795"/>
      <c r="N224" s="851"/>
      <c r="O224" s="851"/>
      <c r="P224" s="875"/>
      <c r="Q224" s="803"/>
      <c r="R224" s="803"/>
      <c r="S224" s="804"/>
      <c r="T224" s="875"/>
      <c r="U224" s="875"/>
      <c r="V224" s="805"/>
      <c r="W224" s="851"/>
      <c r="X224" s="851"/>
      <c r="Y224" s="875"/>
      <c r="Z224" s="875"/>
      <c r="AA224" s="875"/>
      <c r="AB224" s="805"/>
      <c r="AC224" s="806"/>
      <c r="AD224" s="806"/>
      <c r="AE224" s="806"/>
      <c r="AF224" s="806"/>
      <c r="AG224" s="806"/>
      <c r="AH224" s="805"/>
      <c r="AI224" s="807" t="str">
        <f t="shared" si="80"/>
        <v/>
      </c>
      <c r="AJ224" s="805"/>
      <c r="AK224" s="359"/>
      <c r="AM224" t="str">
        <f t="shared" si="86"/>
        <v/>
      </c>
      <c r="AN224">
        <f t="shared" si="87"/>
        <v>0</v>
      </c>
      <c r="AV224" s="882"/>
      <c r="AW224" s="882">
        <f t="shared" si="76"/>
        <v>0</v>
      </c>
      <c r="AX224" s="882">
        <f>VLOOKUP(E224,Tab_ActS,2,FALSE)</f>
        <v>1</v>
      </c>
      <c r="AY224" s="882">
        <f>VLOOKUP(F224,Tab_SDom,3,FALSE)</f>
        <v>1</v>
      </c>
      <c r="AZ224" s="927">
        <f>VLOOKUP($I224,Tabexpo,8,FALSE)</f>
        <v>1</v>
      </c>
      <c r="BA224" s="882">
        <v>0</v>
      </c>
      <c r="BB224" s="925">
        <f t="shared" si="88"/>
        <v>0</v>
      </c>
      <c r="BC224" s="882">
        <f>IF(IndS=FALSE,IF(BB224=1,0,1),IF(BB224=0,1,AV224))</f>
        <v>1</v>
      </c>
      <c r="BD224" s="342" t="e">
        <f>IF(AND($BC224=0,C224=Tab_sel!$P$7,$D224=Tab_sel!$O$24,$E224=Tab_sel!$B$31),1,"")</f>
        <v>#N/A</v>
      </c>
      <c r="BE224" s="322" t="e">
        <f>IF(AND($BC224=0,C224=Tab_sel!$P$7,$D224=Tab_sel!$O$24,$E224=Tab_sel!$B$32),1,"")</f>
        <v>#N/A</v>
      </c>
      <c r="BF224" s="322" t="e">
        <f>IF(AND($BC224=0,C224=Tab_sel!$P$7,$D224=Tab_sel!$O$24,$E224=Tab_sel!$B$33),1,"")</f>
        <v>#N/A</v>
      </c>
      <c r="BG224" s="322" t="e">
        <f>IF(AND($BC224=0,C224=Tab_sel!$P$7,$D224=Tab_sel!$O$24,$E224=Tab_sel!$B$34),1,"")</f>
        <v>#N/A</v>
      </c>
      <c r="BH224" s="322" t="e">
        <f>IF(AND($BC224=0,C224=Tab_sel!$P$7,$D224=Tab_sel!$O$24,$E224=Tab_sel!$B$35),1,"")</f>
        <v>#N/A</v>
      </c>
      <c r="BI224" s="343" t="e">
        <f>IF(AND($BC224=0,C224=Tab_sel!$P$7,$D224=Tab_sel!$O$24,$E224=Tab_sel!$B$36),1,"")</f>
        <v>#N/A</v>
      </c>
      <c r="BJ224" s="342" t="e">
        <f>IF(AND($BC224=0,$C224=Tab_sel!$P$7,$D224=Tab_sel!$O$24,$E224=Tab_sel!$N$31,$F224=Tab_sel!$B$40),1,"")</f>
        <v>#N/A</v>
      </c>
      <c r="BK224" s="322" t="e">
        <f>IF(AND($BC224=0,$C224=Tab_sel!$P$7,$D224=Tab_sel!$O$24,$E224=Tab_sel!$N$31,$F224=Tab_sel!$B$41),1,"")</f>
        <v>#N/A</v>
      </c>
      <c r="BL224" s="322" t="e">
        <f>IF(AND($BC224=0,$C224=Tab_sel!$P$7,$D224=Tab_sel!$O$24,$E224=Tab_sel!$N$31,$F224=Tab_sel!$B$42),1,"")</f>
        <v>#N/A</v>
      </c>
      <c r="BM224" s="322" t="e">
        <f>IF(AND($BC224=0,$C224=Tab_sel!$P$7,$D224=Tab_sel!$O$24,$E224=Tab_sel!$N$31,$F224=Tab_sel!$B$43),1,"")</f>
        <v>#N/A</v>
      </c>
      <c r="BN224" s="322" t="e">
        <f>IF(AND($BC224=0,$C224=Tab_sel!$P$7,$D224=Tab_sel!$O$24,$E224=Tab_sel!$N$31,$F224=Tab_sel!$B$44),1,"")</f>
        <v>#N/A</v>
      </c>
      <c r="BO224" s="343" t="e">
        <f>IF(AND($BC224=0,$C224=Tab_sel!$P$7,$D224=Tab_sel!$O$24,$E224=Tab_sel!$N$31,$F224=Tab_sel!$B$45),1,"")</f>
        <v>#N/A</v>
      </c>
      <c r="BP224" s="354" t="e">
        <f>IF(AND($BC224=0,$C224=Tab_sel!$P$7,$D224=Tab_sel!$O$24,$E224=Tab_sel!$N$31,$F224=Tab_sel!$N$40,$I224=Tab_sel!$B$61),1,"")</f>
        <v>#N/A</v>
      </c>
      <c r="BQ224" s="355" t="e">
        <f>IF(AND($BC224=0,$C224=Tab_sel!$P$7,$D224=Tab_sel!$O$24,$E224=Tab_sel!$N$31,$F224=Tab_sel!$N$40,$I224=Tab_sel!$B$62),1,"")</f>
        <v>#N/A</v>
      </c>
      <c r="BR224" s="355" t="e">
        <f>IF(AND($BC224=0,$C224=Tab_sel!$P$7,$D224=Tab_sel!$O$24,$E224=Tab_sel!$N$31,$F224=Tab_sel!$N$40,$I224=Tab_sel!$B$63),1,"")</f>
        <v>#N/A</v>
      </c>
      <c r="BS224" s="355" t="e">
        <f>IF(AND($BC224=0,$C224=Tab_sel!$P$7,$D224=Tab_sel!$O$24,$E224=Tab_sel!$N$31,$F224=Tab_sel!$N$40,$I224=Tab_sel!$B$64),1,"")</f>
        <v>#N/A</v>
      </c>
      <c r="BT224" s="356" t="e">
        <f>IF(AND($BC224=0,$C224=Tab_sel!$P$7,$D224=Tab_sel!$O$24,$E224=Tab_sel!$N$31,$F224=Tab_sel!$N$40,$I224=Tab_sel!$B$65),1,"")</f>
        <v>#N/A</v>
      </c>
      <c r="BU224" s="856" t="e">
        <f>IF(AND($BC224=0,$C224=Tab_sel!$P$7,$D224=Tab_sel!$O$24,$E224=Tab_sel!$N$31,$F224=Tab_sel!$N$40,$I224=Tab_sel!$P$61,$H224=Tab_sel!$B$77),1,"")</f>
        <v>#N/A</v>
      </c>
      <c r="BV224" s="883" t="e">
        <f>IF(AND($BC224=0,$C224=Tab_sel!$P$7,$D224=Tab_sel!$O$24,$E224=Tab_sel!$N$31,$F224=Tab_sel!$N$40,$I224=Tab_sel!$P$61,$H224=Tab_sel!$B$78),1,"")</f>
        <v>#N/A</v>
      </c>
      <c r="BW224" s="883" t="e">
        <f>IF(AND($BC224=0,$C224=Tab_sel!$P$7,$D224=Tab_sel!$O$24,$E224=Tab_sel!$N$31,$F224=Tab_sel!$N$40,$I224=Tab_sel!$P$61,$H224=Tab_sel!$B$79),1,"")</f>
        <v>#N/A</v>
      </c>
      <c r="BX224" s="883" t="e">
        <f>IF(AND($BC224=0,$C224=Tab_sel!$P$7,$D224=Tab_sel!$O$24,$E224=Tab_sel!$N$31,$F224=Tab_sel!$N$40,$I224=Tab_sel!$P$61,$H224=Tab_sel!$B$80),1,"")</f>
        <v>#N/A</v>
      </c>
      <c r="BY224" s="883" t="e">
        <f>IF(AND($BC224=0,$C224=Tab_sel!$P$7,$D224=Tab_sel!$O$24,$E224=Tab_sel!$N$31,$F224=Tab_sel!$N$40,$I224=Tab_sel!$P$61,$H224=Tab_sel!$B$81),1,"")</f>
        <v>#N/A</v>
      </c>
      <c r="BZ224" s="857" t="e">
        <f>IF(AND($BC224=0,$C224=Tab_sel!$P$7,$D224=Tab_sel!$O$24,$E224=Tab_sel!$N$31,$F224=Tab_sel!$N$40,$I224=Tab_sel!$P$61,$H224=Tab_sel!$B$82),1,"")</f>
        <v>#N/A</v>
      </c>
      <c r="CA224" s="359"/>
      <c r="CC224">
        <f t="shared" si="77"/>
        <v>0</v>
      </c>
      <c r="CD224" s="882">
        <f t="shared" si="78"/>
        <v>0</v>
      </c>
      <c r="CE224" s="882">
        <f t="shared" si="79"/>
        <v>0</v>
      </c>
      <c r="CG224" t="s">
        <v>2609</v>
      </c>
      <c r="CH224" t="s">
        <v>2677</v>
      </c>
    </row>
    <row r="225" spans="2:86" ht="21.75" customHeight="1" x14ac:dyDescent="0.25">
      <c r="B225" s="834" t="s">
        <v>2021</v>
      </c>
      <c r="C225" s="835" t="s">
        <v>2533</v>
      </c>
      <c r="D225" s="835"/>
      <c r="E225" s="835"/>
      <c r="F225" s="835"/>
      <c r="G225" s="835"/>
      <c r="H225" s="835"/>
      <c r="I225" s="835"/>
      <c r="J225" s="835"/>
      <c r="K225" s="835"/>
      <c r="L225" s="835"/>
      <c r="M225" s="836"/>
      <c r="N225" s="826"/>
      <c r="O225" s="826"/>
      <c r="P225" s="827"/>
      <c r="Q225" s="828"/>
      <c r="R225" s="828"/>
      <c r="S225" s="829"/>
      <c r="T225" s="827"/>
      <c r="U225" s="827"/>
      <c r="V225" s="830"/>
      <c r="W225" s="826"/>
      <c r="X225" s="826"/>
      <c r="Y225" s="827"/>
      <c r="Z225" s="827"/>
      <c r="AA225" s="827"/>
      <c r="AB225" s="830"/>
      <c r="AC225" s="831"/>
      <c r="AD225" s="831"/>
      <c r="AE225" s="831"/>
      <c r="AF225" s="831"/>
      <c r="AG225" s="831"/>
      <c r="AH225" s="830"/>
      <c r="AI225" s="807" t="str">
        <f t="shared" si="80"/>
        <v/>
      </c>
      <c r="AJ225" s="830"/>
      <c r="AK225" s="359"/>
      <c r="AW225" s="882"/>
      <c r="AX225" s="882"/>
      <c r="AY225" s="882"/>
      <c r="AZ225" s="927"/>
      <c r="BA225" s="882"/>
      <c r="BB225" s="925"/>
      <c r="BC225" s="882"/>
      <c r="BD225" s="342"/>
      <c r="BE225" s="322"/>
      <c r="BF225" s="322"/>
      <c r="BG225" s="322"/>
      <c r="BH225" s="322"/>
      <c r="BI225" s="343"/>
      <c r="BJ225" s="342"/>
      <c r="BK225" s="322"/>
      <c r="BL225" s="322"/>
      <c r="BM225" s="322"/>
      <c r="BN225" s="322"/>
      <c r="BO225" s="343"/>
      <c r="BP225" s="354"/>
      <c r="BQ225" s="355"/>
      <c r="BR225" s="355"/>
      <c r="BS225" s="355"/>
      <c r="BT225" s="356"/>
      <c r="BU225" s="856"/>
      <c r="BV225" s="883"/>
      <c r="BW225" s="883"/>
      <c r="BX225" s="883"/>
      <c r="BY225" s="883"/>
      <c r="BZ225" s="857"/>
      <c r="CA225" s="359"/>
      <c r="CC225">
        <f t="shared" si="77"/>
        <v>0</v>
      </c>
      <c r="CD225" s="882">
        <f t="shared" si="78"/>
        <v>0</v>
      </c>
      <c r="CE225" s="882">
        <f t="shared" si="79"/>
        <v>0</v>
      </c>
    </row>
    <row r="226" spans="2:86" ht="81.75" customHeight="1" x14ac:dyDescent="0.25">
      <c r="B226" s="791" t="s">
        <v>1442</v>
      </c>
      <c r="C226" s="771" t="s">
        <v>1214</v>
      </c>
      <c r="D226" s="772" t="s">
        <v>41</v>
      </c>
      <c r="E226" s="771" t="str">
        <f>Pro</f>
        <v xml:space="preserve"> Procédure support des processus</v>
      </c>
      <c r="F226" s="784" t="str">
        <f>Napp</f>
        <v>Non application de la procédure adaptée</v>
      </c>
      <c r="G226" s="780" t="s">
        <v>2273</v>
      </c>
      <c r="H226" s="780"/>
      <c r="I226" s="771" t="s">
        <v>1524</v>
      </c>
      <c r="J226" s="771"/>
      <c r="K226" s="781" t="s">
        <v>1370</v>
      </c>
      <c r="L226" s="771"/>
      <c r="M226" s="832"/>
      <c r="N226" s="767"/>
      <c r="O226" s="767"/>
      <c r="P226" s="772"/>
      <c r="Q226" s="803"/>
      <c r="R226" s="803"/>
      <c r="S226" s="804"/>
      <c r="T226" s="772"/>
      <c r="U226" s="772"/>
      <c r="V226" s="805"/>
      <c r="W226" s="767"/>
      <c r="X226" s="767"/>
      <c r="Y226" s="772"/>
      <c r="Z226" s="772"/>
      <c r="AA226" s="772"/>
      <c r="AB226" s="805"/>
      <c r="AC226" s="806"/>
      <c r="AD226" s="806"/>
      <c r="AE226" s="806"/>
      <c r="AF226" s="806"/>
      <c r="AG226" s="806"/>
      <c r="AH226" s="805"/>
      <c r="AI226" s="807" t="str">
        <f t="shared" si="80"/>
        <v/>
      </c>
      <c r="AJ226" s="805"/>
      <c r="AK226" s="359"/>
      <c r="AM226" t="str">
        <f t="shared" si="86"/>
        <v/>
      </c>
      <c r="AN226">
        <f t="shared" si="87"/>
        <v>0</v>
      </c>
      <c r="AW226" s="882">
        <f t="shared" si="76"/>
        <v>0</v>
      </c>
      <c r="AX226" s="882">
        <f>VLOOKUP(E226,Tab_ActS,2,FALSE)</f>
        <v>1</v>
      </c>
      <c r="AY226" s="882">
        <f>VLOOKUP(F226,Tab_SDom,3,FALSE)</f>
        <v>1</v>
      </c>
      <c r="AZ226" s="927">
        <f>VLOOKUP($I226,Tabexpo,8,FALSE)</f>
        <v>1</v>
      </c>
      <c r="BA226" s="882">
        <v>1</v>
      </c>
      <c r="BB226" s="925">
        <f t="shared" si="88"/>
        <v>0</v>
      </c>
      <c r="BC226" s="882">
        <f>IF(IndS=FALSE,IF(BB226=1,0,1),IF(BB226=0,1,AV226))</f>
        <v>1</v>
      </c>
      <c r="BD226" s="342" t="e">
        <f>IF(AND($BC226=0,C226=Tab_sel!$P$7,$D226=Tab_sel!$O$24,$E226=Tab_sel!$B$31),1,"")</f>
        <v>#N/A</v>
      </c>
      <c r="BE226" s="322" t="e">
        <f>IF(AND($BC226=0,C226=Tab_sel!$P$7,$D226=Tab_sel!$O$24,$E226=Tab_sel!$B$32),1,"")</f>
        <v>#N/A</v>
      </c>
      <c r="BF226" s="322" t="e">
        <f>IF(AND($BC226=0,C226=Tab_sel!$P$7,$D226=Tab_sel!$O$24,$E226=Tab_sel!$B$33),1,"")</f>
        <v>#N/A</v>
      </c>
      <c r="BG226" s="322" t="e">
        <f>IF(AND($BC226=0,C226=Tab_sel!$P$7,$D226=Tab_sel!$O$24,$E226=Tab_sel!$B$34),1,"")</f>
        <v>#N/A</v>
      </c>
      <c r="BH226" s="322" t="e">
        <f>IF(AND($BC226=0,C226=Tab_sel!$P$7,$D226=Tab_sel!$O$24,$E226=Tab_sel!$B$35),1,"")</f>
        <v>#N/A</v>
      </c>
      <c r="BI226" s="343" t="e">
        <f>IF(AND($BC226=0,C226=Tab_sel!$P$7,$D226=Tab_sel!$O$24,$E226=Tab_sel!$B$36),1,"")</f>
        <v>#N/A</v>
      </c>
      <c r="BJ226" s="342" t="e">
        <f>IF(AND($BC226=0,$C226=Tab_sel!$P$7,$D226=Tab_sel!$O$24,$E226=Tab_sel!$N$31,$F226=Tab_sel!$B$40),1,"")</f>
        <v>#N/A</v>
      </c>
      <c r="BK226" s="322" t="e">
        <f>IF(AND($BC226=0,$C226=Tab_sel!$P$7,$D226=Tab_sel!$O$24,$E226=Tab_sel!$N$31,$F226=Tab_sel!$B$41),1,"")</f>
        <v>#N/A</v>
      </c>
      <c r="BL226" s="322" t="e">
        <f>IF(AND($BC226=0,$C226=Tab_sel!$P$7,$D226=Tab_sel!$O$24,$E226=Tab_sel!$N$31,$F226=Tab_sel!$B$42),1,"")</f>
        <v>#N/A</v>
      </c>
      <c r="BM226" s="322" t="e">
        <f>IF(AND($BC226=0,$C226=Tab_sel!$P$7,$D226=Tab_sel!$O$24,$E226=Tab_sel!$N$31,$F226=Tab_sel!$B$43),1,"")</f>
        <v>#N/A</v>
      </c>
      <c r="BN226" s="322" t="e">
        <f>IF(AND($BC226=0,$C226=Tab_sel!$P$7,$D226=Tab_sel!$O$24,$E226=Tab_sel!$N$31,$F226=Tab_sel!$B$44),1,"")</f>
        <v>#N/A</v>
      </c>
      <c r="BO226" s="343" t="e">
        <f>IF(AND($BC226=0,$C226=Tab_sel!$P$7,$D226=Tab_sel!$O$24,$E226=Tab_sel!$N$31,$F226=Tab_sel!$B$45),1,"")</f>
        <v>#N/A</v>
      </c>
      <c r="BP226" s="354" t="e">
        <f>IF(AND($BC226=0,$C226=Tab_sel!$P$7,$D226=Tab_sel!$O$24,$E226=Tab_sel!$N$31,$F226=Tab_sel!$N$40,$I226=Tab_sel!$B$61),1,"")</f>
        <v>#N/A</v>
      </c>
      <c r="BQ226" s="355" t="e">
        <f>IF(AND($BC226=0,$C226=Tab_sel!$P$7,$D226=Tab_sel!$O$24,$E226=Tab_sel!$N$31,$F226=Tab_sel!$N$40,$I226=Tab_sel!$B$62),1,"")</f>
        <v>#N/A</v>
      </c>
      <c r="BR226" s="355" t="e">
        <f>IF(AND($BC226=0,$C226=Tab_sel!$P$7,$D226=Tab_sel!$O$24,$E226=Tab_sel!$N$31,$F226=Tab_sel!$N$40,$I226=Tab_sel!$B$63),1,"")</f>
        <v>#N/A</v>
      </c>
      <c r="BS226" s="355" t="e">
        <f>IF(AND($BC226=0,$C226=Tab_sel!$P$7,$D226=Tab_sel!$O$24,$E226=Tab_sel!$N$31,$F226=Tab_sel!$N$40,$I226=Tab_sel!$B$64),1,"")</f>
        <v>#N/A</v>
      </c>
      <c r="BT226" s="356" t="e">
        <f>IF(AND($BC226=0,$C226=Tab_sel!$P$7,$D226=Tab_sel!$O$24,$E226=Tab_sel!$N$31,$F226=Tab_sel!$N$40,$I226=Tab_sel!$B$65),1,"")</f>
        <v>#N/A</v>
      </c>
      <c r="BU226" s="856" t="e">
        <f>IF(AND($BC226=0,$C226=Tab_sel!$P$7,$D226=Tab_sel!$O$24,$E226=Tab_sel!$N$31,$F226=Tab_sel!$N$40,$I226=Tab_sel!$P$61,$H226=Tab_sel!$B$77),1,"")</f>
        <v>#N/A</v>
      </c>
      <c r="BV226" s="883" t="e">
        <f>IF(AND($BC226=0,$C226=Tab_sel!$P$7,$D226=Tab_sel!$O$24,$E226=Tab_sel!$N$31,$F226=Tab_sel!$N$40,$I226=Tab_sel!$P$61,$H226=Tab_sel!$B$78),1,"")</f>
        <v>#N/A</v>
      </c>
      <c r="BW226" s="883" t="e">
        <f>IF(AND($BC226=0,$C226=Tab_sel!$P$7,$D226=Tab_sel!$O$24,$E226=Tab_sel!$N$31,$F226=Tab_sel!$N$40,$I226=Tab_sel!$P$61,$H226=Tab_sel!$B$79),1,"")</f>
        <v>#N/A</v>
      </c>
      <c r="BX226" s="883" t="e">
        <f>IF(AND($BC226=0,$C226=Tab_sel!$P$7,$D226=Tab_sel!$O$24,$E226=Tab_sel!$N$31,$F226=Tab_sel!$N$40,$I226=Tab_sel!$P$61,$H226=Tab_sel!$B$80),1,"")</f>
        <v>#N/A</v>
      </c>
      <c r="BY226" s="883" t="e">
        <f>IF(AND($BC226=0,$C226=Tab_sel!$P$7,$D226=Tab_sel!$O$24,$E226=Tab_sel!$N$31,$F226=Tab_sel!$N$40,$I226=Tab_sel!$P$61,$H226=Tab_sel!$B$81),1,"")</f>
        <v>#N/A</v>
      </c>
      <c r="BZ226" s="857" t="e">
        <f>IF(AND($BC226=0,$C226=Tab_sel!$P$7,$D226=Tab_sel!$O$24,$E226=Tab_sel!$N$31,$F226=Tab_sel!$N$40,$I226=Tab_sel!$P$61,$H226=Tab_sel!$B$82),1,"")</f>
        <v>#N/A</v>
      </c>
      <c r="CA226" s="359"/>
      <c r="CC226">
        <f t="shared" si="77"/>
        <v>0</v>
      </c>
      <c r="CD226" s="882">
        <f t="shared" si="78"/>
        <v>0</v>
      </c>
      <c r="CE226" s="882">
        <f t="shared" si="79"/>
        <v>0</v>
      </c>
      <c r="CH226" t="s">
        <v>2684</v>
      </c>
    </row>
    <row r="227" spans="2:86" ht="81.75" customHeight="1" x14ac:dyDescent="0.25">
      <c r="B227" s="791" t="s">
        <v>1443</v>
      </c>
      <c r="C227" s="771" t="s">
        <v>1214</v>
      </c>
      <c r="D227" s="772" t="s">
        <v>41</v>
      </c>
      <c r="E227" s="771" t="str">
        <f>Pro</f>
        <v xml:space="preserve"> Procédure support des processus</v>
      </c>
      <c r="F227" s="784" t="str">
        <f>Napp</f>
        <v>Non application de la procédure adaptée</v>
      </c>
      <c r="G227" s="780" t="s">
        <v>2274</v>
      </c>
      <c r="H227" s="780"/>
      <c r="I227" s="771" t="s">
        <v>1188</v>
      </c>
      <c r="J227" s="771" t="s">
        <v>1370</v>
      </c>
      <c r="K227" s="781"/>
      <c r="L227" s="771"/>
      <c r="M227" s="832"/>
      <c r="N227" s="767"/>
      <c r="O227" s="767"/>
      <c r="P227" s="772"/>
      <c r="Q227" s="803"/>
      <c r="R227" s="803"/>
      <c r="S227" s="804"/>
      <c r="T227" s="772"/>
      <c r="U227" s="772"/>
      <c r="V227" s="805"/>
      <c r="W227" s="767"/>
      <c r="X227" s="767"/>
      <c r="Y227" s="772"/>
      <c r="Z227" s="772"/>
      <c r="AA227" s="772"/>
      <c r="AB227" s="805"/>
      <c r="AC227" s="806"/>
      <c r="AD227" s="806"/>
      <c r="AE227" s="806"/>
      <c r="AF227" s="806"/>
      <c r="AG227" s="806"/>
      <c r="AH227" s="805"/>
      <c r="AI227" s="807" t="str">
        <f t="shared" si="80"/>
        <v/>
      </c>
      <c r="AJ227" s="805"/>
      <c r="AK227" s="359"/>
      <c r="AM227" t="str">
        <f t="shared" si="86"/>
        <v/>
      </c>
      <c r="AN227">
        <f t="shared" si="87"/>
        <v>0</v>
      </c>
      <c r="AW227" s="882">
        <f t="shared" si="76"/>
        <v>0</v>
      </c>
      <c r="AX227" s="882">
        <f>VLOOKUP(E227,Tab_ActS,2,FALSE)</f>
        <v>1</v>
      </c>
      <c r="AY227" s="882">
        <f>VLOOKUP(F227,Tab_SDom,3,FALSE)</f>
        <v>1</v>
      </c>
      <c r="AZ227" s="927">
        <f>VLOOKUP($I227,Tabexpo,8,FALSE)</f>
        <v>1</v>
      </c>
      <c r="BA227" s="882">
        <v>1</v>
      </c>
      <c r="BB227" s="925">
        <f t="shared" si="88"/>
        <v>0</v>
      </c>
      <c r="BC227" s="882">
        <f>IF(IndS=FALSE,IF(BB227=1,0,1),IF(BB227=0,1,AV227))</f>
        <v>1</v>
      </c>
      <c r="BD227" s="342" t="e">
        <f>IF(AND($BC227=0,C227=Tab_sel!$P$7,$D227=Tab_sel!$O$24,$E227=Tab_sel!$B$31),1,"")</f>
        <v>#N/A</v>
      </c>
      <c r="BE227" s="322" t="e">
        <f>IF(AND($BC227=0,C227=Tab_sel!$P$7,$D227=Tab_sel!$O$24,$E227=Tab_sel!$B$32),1,"")</f>
        <v>#N/A</v>
      </c>
      <c r="BF227" s="322" t="e">
        <f>IF(AND($BC227=0,C227=Tab_sel!$P$7,$D227=Tab_sel!$O$24,$E227=Tab_sel!$B$33),1,"")</f>
        <v>#N/A</v>
      </c>
      <c r="BG227" s="322" t="e">
        <f>IF(AND($BC227=0,C227=Tab_sel!$P$7,$D227=Tab_sel!$O$24,$E227=Tab_sel!$B$34),1,"")</f>
        <v>#N/A</v>
      </c>
      <c r="BH227" s="322" t="e">
        <f>IF(AND($BC227=0,C227=Tab_sel!$P$7,$D227=Tab_sel!$O$24,$E227=Tab_sel!$B$35),1,"")</f>
        <v>#N/A</v>
      </c>
      <c r="BI227" s="343" t="e">
        <f>IF(AND($BC227=0,C227=Tab_sel!$P$7,$D227=Tab_sel!$O$24,$E227=Tab_sel!$B$36),1,"")</f>
        <v>#N/A</v>
      </c>
      <c r="BJ227" s="342" t="e">
        <f>IF(AND($BC227=0,$C227=Tab_sel!$P$7,$D227=Tab_sel!$O$24,$E227=Tab_sel!$N$31,$F227=Tab_sel!$B$40),1,"")</f>
        <v>#N/A</v>
      </c>
      <c r="BK227" s="322" t="e">
        <f>IF(AND($BC227=0,$C227=Tab_sel!$P$7,$D227=Tab_sel!$O$24,$E227=Tab_sel!$N$31,$F227=Tab_sel!$B$41),1,"")</f>
        <v>#N/A</v>
      </c>
      <c r="BL227" s="322" t="e">
        <f>IF(AND($BC227=0,$C227=Tab_sel!$P$7,$D227=Tab_sel!$O$24,$E227=Tab_sel!$N$31,$F227=Tab_sel!$B$42),1,"")</f>
        <v>#N/A</v>
      </c>
      <c r="BM227" s="322" t="e">
        <f>IF(AND($BC227=0,$C227=Tab_sel!$P$7,$D227=Tab_sel!$O$24,$E227=Tab_sel!$N$31,$F227=Tab_sel!$B$43),1,"")</f>
        <v>#N/A</v>
      </c>
      <c r="BN227" s="322" t="e">
        <f>IF(AND($BC227=0,$C227=Tab_sel!$P$7,$D227=Tab_sel!$O$24,$E227=Tab_sel!$N$31,$F227=Tab_sel!$B$44),1,"")</f>
        <v>#N/A</v>
      </c>
      <c r="BO227" s="343" t="e">
        <f>IF(AND($BC227=0,$C227=Tab_sel!$P$7,$D227=Tab_sel!$O$24,$E227=Tab_sel!$N$31,$F227=Tab_sel!$B$45),1,"")</f>
        <v>#N/A</v>
      </c>
      <c r="BP227" s="354" t="e">
        <f>IF(AND($BC227=0,$C227=Tab_sel!$P$7,$D227=Tab_sel!$O$24,$E227=Tab_sel!$N$31,$F227=Tab_sel!$N$40,$I227=Tab_sel!$B$61),1,"")</f>
        <v>#N/A</v>
      </c>
      <c r="BQ227" s="355" t="e">
        <f>IF(AND($BC227=0,$C227=Tab_sel!$P$7,$D227=Tab_sel!$O$24,$E227=Tab_sel!$N$31,$F227=Tab_sel!$N$40,$I227=Tab_sel!$B$62),1,"")</f>
        <v>#N/A</v>
      </c>
      <c r="BR227" s="355" t="e">
        <f>IF(AND($BC227=0,$C227=Tab_sel!$P$7,$D227=Tab_sel!$O$24,$E227=Tab_sel!$N$31,$F227=Tab_sel!$N$40,$I227=Tab_sel!$B$63),1,"")</f>
        <v>#N/A</v>
      </c>
      <c r="BS227" s="355" t="e">
        <f>IF(AND($BC227=0,$C227=Tab_sel!$P$7,$D227=Tab_sel!$O$24,$E227=Tab_sel!$N$31,$F227=Tab_sel!$N$40,$I227=Tab_sel!$B$64),1,"")</f>
        <v>#N/A</v>
      </c>
      <c r="BT227" s="356" t="e">
        <f>IF(AND($BC227=0,$C227=Tab_sel!$P$7,$D227=Tab_sel!$O$24,$E227=Tab_sel!$N$31,$F227=Tab_sel!$N$40,$I227=Tab_sel!$B$65),1,"")</f>
        <v>#N/A</v>
      </c>
      <c r="BU227" s="856" t="e">
        <f>IF(AND($BC227=0,$C227=Tab_sel!$P$7,$D227=Tab_sel!$O$24,$E227=Tab_sel!$N$31,$F227=Tab_sel!$N$40,$I227=Tab_sel!$P$61,$H227=Tab_sel!$B$77),1,"")</f>
        <v>#N/A</v>
      </c>
      <c r="BV227" s="883" t="e">
        <f>IF(AND($BC227=0,$C227=Tab_sel!$P$7,$D227=Tab_sel!$O$24,$E227=Tab_sel!$N$31,$F227=Tab_sel!$N$40,$I227=Tab_sel!$P$61,$H227=Tab_sel!$B$78),1,"")</f>
        <v>#N/A</v>
      </c>
      <c r="BW227" s="883" t="e">
        <f>IF(AND($BC227=0,$C227=Tab_sel!$P$7,$D227=Tab_sel!$O$24,$E227=Tab_sel!$N$31,$F227=Tab_sel!$N$40,$I227=Tab_sel!$P$61,$H227=Tab_sel!$B$79),1,"")</f>
        <v>#N/A</v>
      </c>
      <c r="BX227" s="883" t="e">
        <f>IF(AND($BC227=0,$C227=Tab_sel!$P$7,$D227=Tab_sel!$O$24,$E227=Tab_sel!$N$31,$F227=Tab_sel!$N$40,$I227=Tab_sel!$P$61,$H227=Tab_sel!$B$80),1,"")</f>
        <v>#N/A</v>
      </c>
      <c r="BY227" s="883" t="e">
        <f>IF(AND($BC227=0,$C227=Tab_sel!$P$7,$D227=Tab_sel!$O$24,$E227=Tab_sel!$N$31,$F227=Tab_sel!$N$40,$I227=Tab_sel!$P$61,$H227=Tab_sel!$B$81),1,"")</f>
        <v>#N/A</v>
      </c>
      <c r="BZ227" s="857" t="e">
        <f>IF(AND($BC227=0,$C227=Tab_sel!$P$7,$D227=Tab_sel!$O$24,$E227=Tab_sel!$N$31,$F227=Tab_sel!$N$40,$I227=Tab_sel!$P$61,$H227=Tab_sel!$B$82),1,"")</f>
        <v>#N/A</v>
      </c>
      <c r="CA227" s="359"/>
      <c r="CC227">
        <f t="shared" si="77"/>
        <v>0</v>
      </c>
      <c r="CD227" s="882">
        <f t="shared" si="78"/>
        <v>0</v>
      </c>
      <c r="CE227" s="882">
        <f t="shared" si="79"/>
        <v>0</v>
      </c>
      <c r="CG227" t="s">
        <v>2684</v>
      </c>
    </row>
    <row r="228" spans="2:86" ht="81.75" customHeight="1" x14ac:dyDescent="0.25">
      <c r="B228" s="791" t="s">
        <v>1444</v>
      </c>
      <c r="C228" s="771" t="s">
        <v>1214</v>
      </c>
      <c r="D228" s="772" t="s">
        <v>41</v>
      </c>
      <c r="E228" s="771" t="str">
        <f>Pro</f>
        <v xml:space="preserve"> Procédure support des processus</v>
      </c>
      <c r="F228" s="784" t="str">
        <f>Napp</f>
        <v>Non application de la procédure adaptée</v>
      </c>
      <c r="G228" s="780" t="s">
        <v>2275</v>
      </c>
      <c r="H228" s="780"/>
      <c r="I228" s="771" t="s">
        <v>1528</v>
      </c>
      <c r="J228" s="771"/>
      <c r="K228" s="781" t="s">
        <v>1370</v>
      </c>
      <c r="L228" s="771"/>
      <c r="M228" s="832"/>
      <c r="N228" s="767"/>
      <c r="O228" s="767"/>
      <c r="P228" s="772"/>
      <c r="Q228" s="803"/>
      <c r="R228" s="803"/>
      <c r="S228" s="804"/>
      <c r="T228" s="772"/>
      <c r="U228" s="772"/>
      <c r="V228" s="805"/>
      <c r="W228" s="767"/>
      <c r="X228" s="767"/>
      <c r="Y228" s="772"/>
      <c r="Z228" s="772"/>
      <c r="AA228" s="772"/>
      <c r="AB228" s="805"/>
      <c r="AC228" s="806"/>
      <c r="AD228" s="806"/>
      <c r="AE228" s="806"/>
      <c r="AF228" s="806"/>
      <c r="AG228" s="806"/>
      <c r="AH228" s="805"/>
      <c r="AI228" s="807" t="str">
        <f t="shared" si="80"/>
        <v/>
      </c>
      <c r="AJ228" s="805"/>
      <c r="AK228" s="359"/>
      <c r="AM228" t="str">
        <f t="shared" si="86"/>
        <v/>
      </c>
      <c r="AN228">
        <f t="shared" si="87"/>
        <v>0</v>
      </c>
      <c r="AW228" s="882">
        <f t="shared" si="76"/>
        <v>0</v>
      </c>
      <c r="AX228" s="882">
        <f>VLOOKUP(E228,Tab_ActS,2,FALSE)</f>
        <v>1</v>
      </c>
      <c r="AY228" s="882">
        <f>VLOOKUP(F228,Tab_SDom,3,FALSE)</f>
        <v>1</v>
      </c>
      <c r="AZ228" s="927">
        <f>VLOOKUP($I228,Tabexpo,8,FALSE)</f>
        <v>1</v>
      </c>
      <c r="BA228" s="882">
        <v>1</v>
      </c>
      <c r="BB228" s="925">
        <f t="shared" si="88"/>
        <v>0</v>
      </c>
      <c r="BC228" s="882">
        <f>IF(IndS=FALSE,IF(BB228=1,0,1),IF(BB228=0,1,AV228))</f>
        <v>1</v>
      </c>
      <c r="BD228" s="342" t="e">
        <f>IF(AND($BC228=0,C228=Tab_sel!$P$7,$D228=Tab_sel!$O$24,$E228=Tab_sel!$B$31),1,"")</f>
        <v>#N/A</v>
      </c>
      <c r="BE228" s="322" t="e">
        <f>IF(AND($BC228=0,C228=Tab_sel!$P$7,$D228=Tab_sel!$O$24,$E228=Tab_sel!$B$32),1,"")</f>
        <v>#N/A</v>
      </c>
      <c r="BF228" s="322" t="e">
        <f>IF(AND($BC228=0,C228=Tab_sel!$P$7,$D228=Tab_sel!$O$24,$E228=Tab_sel!$B$33),1,"")</f>
        <v>#N/A</v>
      </c>
      <c r="BG228" s="322" t="e">
        <f>IF(AND($BC228=0,C228=Tab_sel!$P$7,$D228=Tab_sel!$O$24,$E228=Tab_sel!$B$34),1,"")</f>
        <v>#N/A</v>
      </c>
      <c r="BH228" s="322" t="e">
        <f>IF(AND($BC228=0,C228=Tab_sel!$P$7,$D228=Tab_sel!$O$24,$E228=Tab_sel!$B$35),1,"")</f>
        <v>#N/A</v>
      </c>
      <c r="BI228" s="343" t="e">
        <f>IF(AND($BC228=0,C228=Tab_sel!$P$7,$D228=Tab_sel!$O$24,$E228=Tab_sel!$B$36),1,"")</f>
        <v>#N/A</v>
      </c>
      <c r="BJ228" s="342" t="e">
        <f>IF(AND($BC228=0,$C228=Tab_sel!$P$7,$D228=Tab_sel!$O$24,$E228=Tab_sel!$N$31,$F228=Tab_sel!$B$40),1,"")</f>
        <v>#N/A</v>
      </c>
      <c r="BK228" s="322" t="e">
        <f>IF(AND($BC228=0,$C228=Tab_sel!$P$7,$D228=Tab_sel!$O$24,$E228=Tab_sel!$N$31,$F228=Tab_sel!$B$41),1,"")</f>
        <v>#N/A</v>
      </c>
      <c r="BL228" s="322" t="e">
        <f>IF(AND($BC228=0,$C228=Tab_sel!$P$7,$D228=Tab_sel!$O$24,$E228=Tab_sel!$N$31,$F228=Tab_sel!$B$42),1,"")</f>
        <v>#N/A</v>
      </c>
      <c r="BM228" s="322" t="e">
        <f>IF(AND($BC228=0,$C228=Tab_sel!$P$7,$D228=Tab_sel!$O$24,$E228=Tab_sel!$N$31,$F228=Tab_sel!$B$43),1,"")</f>
        <v>#N/A</v>
      </c>
      <c r="BN228" s="322" t="e">
        <f>IF(AND($BC228=0,$C228=Tab_sel!$P$7,$D228=Tab_sel!$O$24,$E228=Tab_sel!$N$31,$F228=Tab_sel!$B$44),1,"")</f>
        <v>#N/A</v>
      </c>
      <c r="BO228" s="343" t="e">
        <f>IF(AND($BC228=0,$C228=Tab_sel!$P$7,$D228=Tab_sel!$O$24,$E228=Tab_sel!$N$31,$F228=Tab_sel!$B$45),1,"")</f>
        <v>#N/A</v>
      </c>
      <c r="BP228" s="354" t="e">
        <f>IF(AND($BC228=0,$C228=Tab_sel!$P$7,$D228=Tab_sel!$O$24,$E228=Tab_sel!$N$31,$F228=Tab_sel!$N$40,$I228=Tab_sel!$B$61),1,"")</f>
        <v>#N/A</v>
      </c>
      <c r="BQ228" s="355" t="e">
        <f>IF(AND($BC228=0,$C228=Tab_sel!$P$7,$D228=Tab_sel!$O$24,$E228=Tab_sel!$N$31,$F228=Tab_sel!$N$40,$I228=Tab_sel!$B$62),1,"")</f>
        <v>#N/A</v>
      </c>
      <c r="BR228" s="355" t="e">
        <f>IF(AND($BC228=0,$C228=Tab_sel!$P$7,$D228=Tab_sel!$O$24,$E228=Tab_sel!$N$31,$F228=Tab_sel!$N$40,$I228=Tab_sel!$B$63),1,"")</f>
        <v>#N/A</v>
      </c>
      <c r="BS228" s="355" t="e">
        <f>IF(AND($BC228=0,$C228=Tab_sel!$P$7,$D228=Tab_sel!$O$24,$E228=Tab_sel!$N$31,$F228=Tab_sel!$N$40,$I228=Tab_sel!$B$64),1,"")</f>
        <v>#N/A</v>
      </c>
      <c r="BT228" s="356" t="e">
        <f>IF(AND($BC228=0,$C228=Tab_sel!$P$7,$D228=Tab_sel!$O$24,$E228=Tab_sel!$N$31,$F228=Tab_sel!$N$40,$I228=Tab_sel!$B$65),1,"")</f>
        <v>#N/A</v>
      </c>
      <c r="BU228" s="856" t="e">
        <f>IF(AND($BC228=0,$C228=Tab_sel!$P$7,$D228=Tab_sel!$O$24,$E228=Tab_sel!$N$31,$F228=Tab_sel!$N$40,$I228=Tab_sel!$P$61,$H228=Tab_sel!$B$77),1,"")</f>
        <v>#N/A</v>
      </c>
      <c r="BV228" s="883" t="e">
        <f>IF(AND($BC228=0,$C228=Tab_sel!$P$7,$D228=Tab_sel!$O$24,$E228=Tab_sel!$N$31,$F228=Tab_sel!$N$40,$I228=Tab_sel!$P$61,$H228=Tab_sel!$B$78),1,"")</f>
        <v>#N/A</v>
      </c>
      <c r="BW228" s="883" t="e">
        <f>IF(AND($BC228=0,$C228=Tab_sel!$P$7,$D228=Tab_sel!$O$24,$E228=Tab_sel!$N$31,$F228=Tab_sel!$N$40,$I228=Tab_sel!$P$61,$H228=Tab_sel!$B$79),1,"")</f>
        <v>#N/A</v>
      </c>
      <c r="BX228" s="883" t="e">
        <f>IF(AND($BC228=0,$C228=Tab_sel!$P$7,$D228=Tab_sel!$O$24,$E228=Tab_sel!$N$31,$F228=Tab_sel!$N$40,$I228=Tab_sel!$P$61,$H228=Tab_sel!$B$80),1,"")</f>
        <v>#N/A</v>
      </c>
      <c r="BY228" s="883" t="e">
        <f>IF(AND($BC228=0,$C228=Tab_sel!$P$7,$D228=Tab_sel!$O$24,$E228=Tab_sel!$N$31,$F228=Tab_sel!$N$40,$I228=Tab_sel!$P$61,$H228=Tab_sel!$B$81),1,"")</f>
        <v>#N/A</v>
      </c>
      <c r="BZ228" s="857" t="e">
        <f>IF(AND($BC228=0,$C228=Tab_sel!$P$7,$D228=Tab_sel!$O$24,$E228=Tab_sel!$N$31,$F228=Tab_sel!$N$40,$I228=Tab_sel!$P$61,$H228=Tab_sel!$B$82),1,"")</f>
        <v>#N/A</v>
      </c>
      <c r="CA228" s="359"/>
      <c r="CC228">
        <f t="shared" si="77"/>
        <v>0</v>
      </c>
      <c r="CD228" s="882">
        <f t="shared" si="78"/>
        <v>0</v>
      </c>
      <c r="CE228" s="882">
        <f t="shared" si="79"/>
        <v>0</v>
      </c>
      <c r="CH228" t="s">
        <v>2684</v>
      </c>
    </row>
    <row r="229" spans="2:86" ht="20.25" customHeight="1" x14ac:dyDescent="0.25">
      <c r="B229" s="834" t="s">
        <v>2022</v>
      </c>
      <c r="C229" s="835" t="s">
        <v>1404</v>
      </c>
      <c r="D229" s="835"/>
      <c r="E229" s="835"/>
      <c r="F229" s="835"/>
      <c r="G229" s="835"/>
      <c r="H229" s="835"/>
      <c r="I229" s="835"/>
      <c r="J229" s="835"/>
      <c r="K229" s="835"/>
      <c r="L229" s="835"/>
      <c r="M229" s="836"/>
      <c r="N229" s="826"/>
      <c r="O229" s="826"/>
      <c r="P229" s="827"/>
      <c r="Q229" s="828"/>
      <c r="R229" s="828"/>
      <c r="S229" s="829"/>
      <c r="T229" s="827"/>
      <c r="U229" s="827"/>
      <c r="V229" s="830"/>
      <c r="W229" s="826"/>
      <c r="X229" s="826"/>
      <c r="Y229" s="827"/>
      <c r="Z229" s="827"/>
      <c r="AA229" s="827"/>
      <c r="AB229" s="830"/>
      <c r="AC229" s="831"/>
      <c r="AD229" s="831"/>
      <c r="AE229" s="831"/>
      <c r="AF229" s="831"/>
      <c r="AG229" s="831"/>
      <c r="AH229" s="830"/>
      <c r="AI229" s="807" t="str">
        <f t="shared" si="80"/>
        <v/>
      </c>
      <c r="AJ229" s="830"/>
      <c r="AK229" s="359"/>
      <c r="AW229" s="882"/>
      <c r="AX229" s="882"/>
      <c r="AY229" s="882"/>
      <c r="AZ229" s="927"/>
      <c r="BA229" s="882"/>
      <c r="BB229" s="925"/>
      <c r="BC229" s="882"/>
      <c r="BD229" s="342"/>
      <c r="BE229" s="322"/>
      <c r="BF229" s="322"/>
      <c r="BG229" s="322"/>
      <c r="BH229" s="322"/>
      <c r="BI229" s="343"/>
      <c r="BJ229" s="342"/>
      <c r="BK229" s="322"/>
      <c r="BL229" s="322"/>
      <c r="BM229" s="322"/>
      <c r="BN229" s="322"/>
      <c r="BO229" s="343"/>
      <c r="BP229" s="354"/>
      <c r="BQ229" s="355"/>
      <c r="BR229" s="355"/>
      <c r="BS229" s="355"/>
      <c r="BT229" s="356"/>
      <c r="BU229" s="856"/>
      <c r="BV229" s="883"/>
      <c r="BW229" s="883"/>
      <c r="BX229" s="883"/>
      <c r="BY229" s="883"/>
      <c r="BZ229" s="857"/>
      <c r="CA229" s="359"/>
      <c r="CC229">
        <f t="shared" si="77"/>
        <v>0</v>
      </c>
      <c r="CD229" s="882">
        <f t="shared" si="78"/>
        <v>0</v>
      </c>
      <c r="CE229" s="882">
        <f t="shared" si="79"/>
        <v>0</v>
      </c>
    </row>
    <row r="230" spans="2:86" ht="39.6" x14ac:dyDescent="0.25">
      <c r="B230" s="791" t="s">
        <v>1445</v>
      </c>
      <c r="C230" s="771" t="s">
        <v>1215</v>
      </c>
      <c r="D230" s="772" t="s">
        <v>41</v>
      </c>
      <c r="E230" s="771" t="str">
        <f>Pro</f>
        <v xml:space="preserve"> Procédure support des processus</v>
      </c>
      <c r="F230" s="784" t="str">
        <f>Napp</f>
        <v>Non application de la procédure adaptée</v>
      </c>
      <c r="G230" s="780" t="s">
        <v>2604</v>
      </c>
      <c r="H230" s="780"/>
      <c r="I230" s="771" t="s">
        <v>1524</v>
      </c>
      <c r="J230" s="771"/>
      <c r="K230" s="781" t="s">
        <v>2063</v>
      </c>
      <c r="L230" s="771"/>
      <c r="M230" s="832"/>
      <c r="N230" s="767"/>
      <c r="O230" s="767"/>
      <c r="P230" s="772"/>
      <c r="Q230" s="803"/>
      <c r="R230" s="803"/>
      <c r="S230" s="804"/>
      <c r="T230" s="772"/>
      <c r="U230" s="772"/>
      <c r="V230" s="805"/>
      <c r="W230" s="767"/>
      <c r="X230" s="767"/>
      <c r="Y230" s="772"/>
      <c r="Z230" s="772"/>
      <c r="AA230" s="772"/>
      <c r="AB230" s="805"/>
      <c r="AC230" s="806"/>
      <c r="AD230" s="806"/>
      <c r="AE230" s="806"/>
      <c r="AF230" s="806"/>
      <c r="AG230" s="806"/>
      <c r="AH230" s="805"/>
      <c r="AI230" s="807" t="str">
        <f t="shared" si="80"/>
        <v/>
      </c>
      <c r="AJ230" s="805"/>
      <c r="AK230" s="359"/>
      <c r="AM230" t="str">
        <f t="shared" si="86"/>
        <v/>
      </c>
      <c r="AN230">
        <f t="shared" si="87"/>
        <v>0</v>
      </c>
      <c r="AW230" s="882">
        <f t="shared" si="76"/>
        <v>0</v>
      </c>
      <c r="AX230" s="882">
        <f>VLOOKUP(E230,Tab_ActS,2,FALSE)</f>
        <v>1</v>
      </c>
      <c r="AY230" s="882">
        <f>VLOOKUP(F230,Tab_SDom,3,FALSE)</f>
        <v>1</v>
      </c>
      <c r="AZ230" s="927">
        <f>VLOOKUP($I230,Tabexpo,8,FALSE)</f>
        <v>1</v>
      </c>
      <c r="BA230" s="882">
        <v>1</v>
      </c>
      <c r="BB230" s="925">
        <f t="shared" si="88"/>
        <v>0</v>
      </c>
      <c r="BC230" s="882">
        <f>IF(IndS=FALSE,IF(BB230=1,0,1),IF(BB230=0,1,AV230))</f>
        <v>1</v>
      </c>
      <c r="BD230" s="342" t="e">
        <f>IF(AND($BC230=0,C230=Tab_sel!$P$7,$D230=Tab_sel!$O$24,$E230=Tab_sel!$B$31),1,"")</f>
        <v>#N/A</v>
      </c>
      <c r="BE230" s="322" t="e">
        <f>IF(AND($BC230=0,C230=Tab_sel!$P$7,$D230=Tab_sel!$O$24,$E230=Tab_sel!$B$32),1,"")</f>
        <v>#N/A</v>
      </c>
      <c r="BF230" s="322" t="e">
        <f>IF(AND($BC230=0,C230=Tab_sel!$P$7,$D230=Tab_sel!$O$24,$E230=Tab_sel!$B$33),1,"")</f>
        <v>#N/A</v>
      </c>
      <c r="BG230" s="322" t="e">
        <f>IF(AND($BC230=0,C230=Tab_sel!$P$7,$D230=Tab_sel!$O$24,$E230=Tab_sel!$B$34),1,"")</f>
        <v>#N/A</v>
      </c>
      <c r="BH230" s="322" t="e">
        <f>IF(AND($BC230=0,C230=Tab_sel!$P$7,$D230=Tab_sel!$O$24,$E230=Tab_sel!$B$35),1,"")</f>
        <v>#N/A</v>
      </c>
      <c r="BI230" s="343" t="e">
        <f>IF(AND($BC230=0,C230=Tab_sel!$P$7,$D230=Tab_sel!$O$24,$E230=Tab_sel!$B$36),1,"")</f>
        <v>#N/A</v>
      </c>
      <c r="BJ230" s="342" t="e">
        <f>IF(AND($BC230=0,$C230=Tab_sel!$P$7,$D230=Tab_sel!$O$24,$E230=Tab_sel!$N$31,$F230=Tab_sel!$B$40),1,"")</f>
        <v>#N/A</v>
      </c>
      <c r="BK230" s="322" t="e">
        <f>IF(AND($BC230=0,$C230=Tab_sel!$P$7,$D230=Tab_sel!$O$24,$E230=Tab_sel!$N$31,$F230=Tab_sel!$B$41),1,"")</f>
        <v>#N/A</v>
      </c>
      <c r="BL230" s="322" t="e">
        <f>IF(AND($BC230=0,$C230=Tab_sel!$P$7,$D230=Tab_sel!$O$24,$E230=Tab_sel!$N$31,$F230=Tab_sel!$B$42),1,"")</f>
        <v>#N/A</v>
      </c>
      <c r="BM230" s="322" t="e">
        <f>IF(AND($BC230=0,$C230=Tab_sel!$P$7,$D230=Tab_sel!$O$24,$E230=Tab_sel!$N$31,$F230=Tab_sel!$B$43),1,"")</f>
        <v>#N/A</v>
      </c>
      <c r="BN230" s="322" t="e">
        <f>IF(AND($BC230=0,$C230=Tab_sel!$P$7,$D230=Tab_sel!$O$24,$E230=Tab_sel!$N$31,$F230=Tab_sel!$B$44),1,"")</f>
        <v>#N/A</v>
      </c>
      <c r="BO230" s="343" t="e">
        <f>IF(AND($BC230=0,$C230=Tab_sel!$P$7,$D230=Tab_sel!$O$24,$E230=Tab_sel!$N$31,$F230=Tab_sel!$B$45),1,"")</f>
        <v>#N/A</v>
      </c>
      <c r="BP230" s="354" t="e">
        <f>IF(AND($BC230=0,$C230=Tab_sel!$P$7,$D230=Tab_sel!$O$24,$E230=Tab_sel!$N$31,$F230=Tab_sel!$N$40,$I230=Tab_sel!$B$61),1,"")</f>
        <v>#N/A</v>
      </c>
      <c r="BQ230" s="355" t="e">
        <f>IF(AND($BC230=0,$C230=Tab_sel!$P$7,$D230=Tab_sel!$O$24,$E230=Tab_sel!$N$31,$F230=Tab_sel!$N$40,$I230=Tab_sel!$B$62),1,"")</f>
        <v>#N/A</v>
      </c>
      <c r="BR230" s="355" t="e">
        <f>IF(AND($BC230=0,$C230=Tab_sel!$P$7,$D230=Tab_sel!$O$24,$E230=Tab_sel!$N$31,$F230=Tab_sel!$N$40,$I230=Tab_sel!$B$63),1,"")</f>
        <v>#N/A</v>
      </c>
      <c r="BS230" s="355" t="e">
        <f>IF(AND($BC230=0,$C230=Tab_sel!$P$7,$D230=Tab_sel!$O$24,$E230=Tab_sel!$N$31,$F230=Tab_sel!$N$40,$I230=Tab_sel!$B$64),1,"")</f>
        <v>#N/A</v>
      </c>
      <c r="BT230" s="356" t="e">
        <f>IF(AND($BC230=0,$C230=Tab_sel!$P$7,$D230=Tab_sel!$O$24,$E230=Tab_sel!$N$31,$F230=Tab_sel!$N$40,$I230=Tab_sel!$B$65),1,"")</f>
        <v>#N/A</v>
      </c>
      <c r="BU230" s="856" t="e">
        <f>IF(AND($BC230=0,$C230=Tab_sel!$P$7,$D230=Tab_sel!$O$24,$E230=Tab_sel!$N$31,$F230=Tab_sel!$N$40,$I230=Tab_sel!$P$61,$H230=Tab_sel!$B$77),1,"")</f>
        <v>#N/A</v>
      </c>
      <c r="BV230" s="883" t="e">
        <f>IF(AND($BC230=0,$C230=Tab_sel!$P$7,$D230=Tab_sel!$O$24,$E230=Tab_sel!$N$31,$F230=Tab_sel!$N$40,$I230=Tab_sel!$P$61,$H230=Tab_sel!$B$78),1,"")</f>
        <v>#N/A</v>
      </c>
      <c r="BW230" s="883" t="e">
        <f>IF(AND($BC230=0,$C230=Tab_sel!$P$7,$D230=Tab_sel!$O$24,$E230=Tab_sel!$N$31,$F230=Tab_sel!$N$40,$I230=Tab_sel!$P$61,$H230=Tab_sel!$B$79),1,"")</f>
        <v>#N/A</v>
      </c>
      <c r="BX230" s="883" t="e">
        <f>IF(AND($BC230=0,$C230=Tab_sel!$P$7,$D230=Tab_sel!$O$24,$E230=Tab_sel!$N$31,$F230=Tab_sel!$N$40,$I230=Tab_sel!$P$61,$H230=Tab_sel!$B$80),1,"")</f>
        <v>#N/A</v>
      </c>
      <c r="BY230" s="883" t="e">
        <f>IF(AND($BC230=0,$C230=Tab_sel!$P$7,$D230=Tab_sel!$O$24,$E230=Tab_sel!$N$31,$F230=Tab_sel!$N$40,$I230=Tab_sel!$P$61,$H230=Tab_sel!$B$81),1,"")</f>
        <v>#N/A</v>
      </c>
      <c r="BZ230" s="857" t="e">
        <f>IF(AND($BC230=0,$C230=Tab_sel!$P$7,$D230=Tab_sel!$O$24,$E230=Tab_sel!$N$31,$F230=Tab_sel!$N$40,$I230=Tab_sel!$P$61,$H230=Tab_sel!$B$82),1,"")</f>
        <v>#N/A</v>
      </c>
      <c r="CA230" s="359"/>
      <c r="CC230">
        <f t="shared" si="77"/>
        <v>0</v>
      </c>
      <c r="CD230" s="882">
        <f t="shared" si="78"/>
        <v>0</v>
      </c>
      <c r="CE230" s="882">
        <f t="shared" si="79"/>
        <v>0</v>
      </c>
      <c r="CH230" t="s">
        <v>2685</v>
      </c>
    </row>
    <row r="231" spans="2:86" ht="39.6" x14ac:dyDescent="0.25">
      <c r="B231" s="791" t="s">
        <v>1526</v>
      </c>
      <c r="C231" s="771" t="s">
        <v>1215</v>
      </c>
      <c r="D231" s="772" t="s">
        <v>41</v>
      </c>
      <c r="E231" s="771" t="str">
        <f>Pro</f>
        <v xml:space="preserve"> Procédure support des processus</v>
      </c>
      <c r="F231" s="784" t="str">
        <f>Napp</f>
        <v>Non application de la procédure adaptée</v>
      </c>
      <c r="G231" s="780" t="s">
        <v>2605</v>
      </c>
      <c r="H231" s="780"/>
      <c r="I231" s="771" t="s">
        <v>1188</v>
      </c>
      <c r="J231" s="771" t="s">
        <v>2063</v>
      </c>
      <c r="K231" s="781"/>
      <c r="L231" s="771"/>
      <c r="M231" s="832"/>
      <c r="N231" s="767"/>
      <c r="O231" s="767"/>
      <c r="P231" s="772"/>
      <c r="Q231" s="803"/>
      <c r="R231" s="803"/>
      <c r="S231" s="804"/>
      <c r="T231" s="772"/>
      <c r="U231" s="772"/>
      <c r="V231" s="805"/>
      <c r="W231" s="767"/>
      <c r="X231" s="767"/>
      <c r="Y231" s="772"/>
      <c r="Z231" s="772"/>
      <c r="AA231" s="772"/>
      <c r="AB231" s="805"/>
      <c r="AC231" s="806"/>
      <c r="AD231" s="806"/>
      <c r="AE231" s="806"/>
      <c r="AF231" s="806"/>
      <c r="AG231" s="806"/>
      <c r="AH231" s="805"/>
      <c r="AI231" s="807" t="str">
        <f t="shared" si="80"/>
        <v/>
      </c>
      <c r="AJ231" s="805"/>
      <c r="AK231" s="359"/>
      <c r="AM231" t="str">
        <f t="shared" si="86"/>
        <v/>
      </c>
      <c r="AN231">
        <f t="shared" si="87"/>
        <v>0</v>
      </c>
      <c r="AW231" s="882">
        <f t="shared" si="76"/>
        <v>0</v>
      </c>
      <c r="AX231" s="882">
        <f>VLOOKUP(E231,Tab_ActS,2,FALSE)</f>
        <v>1</v>
      </c>
      <c r="AY231" s="882">
        <f>VLOOKUP(F231,Tab_SDom,3,FALSE)</f>
        <v>1</v>
      </c>
      <c r="AZ231" s="927">
        <f>VLOOKUP($I231,Tabexpo,8,FALSE)</f>
        <v>1</v>
      </c>
      <c r="BA231" s="882">
        <v>1</v>
      </c>
      <c r="BB231" s="925">
        <f t="shared" si="88"/>
        <v>0</v>
      </c>
      <c r="BC231" s="882">
        <f>IF(IndS=FALSE,IF(BB231=1,0,1),IF(BB231=0,1,AV231))</f>
        <v>1</v>
      </c>
      <c r="BD231" s="342" t="e">
        <f>IF(AND($BC231=0,C231=Tab_sel!$P$7,$D231=Tab_sel!$O$24,$E231=Tab_sel!$B$31),1,"")</f>
        <v>#N/A</v>
      </c>
      <c r="BE231" s="322" t="e">
        <f>IF(AND($BC231=0,C231=Tab_sel!$P$7,$D231=Tab_sel!$O$24,$E231=Tab_sel!$B$32),1,"")</f>
        <v>#N/A</v>
      </c>
      <c r="BF231" s="322" t="e">
        <f>IF(AND($BC231=0,C231=Tab_sel!$P$7,$D231=Tab_sel!$O$24,$E231=Tab_sel!$B$33),1,"")</f>
        <v>#N/A</v>
      </c>
      <c r="BG231" s="322" t="e">
        <f>IF(AND($BC231=0,C231=Tab_sel!$P$7,$D231=Tab_sel!$O$24,$E231=Tab_sel!$B$34),1,"")</f>
        <v>#N/A</v>
      </c>
      <c r="BH231" s="322" t="e">
        <f>IF(AND($BC231=0,C231=Tab_sel!$P$7,$D231=Tab_sel!$O$24,$E231=Tab_sel!$B$35),1,"")</f>
        <v>#N/A</v>
      </c>
      <c r="BI231" s="343" t="e">
        <f>IF(AND($BC231=0,C231=Tab_sel!$P$7,$D231=Tab_sel!$O$24,$E231=Tab_sel!$B$36),1,"")</f>
        <v>#N/A</v>
      </c>
      <c r="BJ231" s="342" t="e">
        <f>IF(AND($BC231=0,$C231=Tab_sel!$P$7,$D231=Tab_sel!$O$24,$E231=Tab_sel!$N$31,$F231=Tab_sel!$B$40),1,"")</f>
        <v>#N/A</v>
      </c>
      <c r="BK231" s="322" t="e">
        <f>IF(AND($BC231=0,$C231=Tab_sel!$P$7,$D231=Tab_sel!$O$24,$E231=Tab_sel!$N$31,$F231=Tab_sel!$B$41),1,"")</f>
        <v>#N/A</v>
      </c>
      <c r="BL231" s="322" t="e">
        <f>IF(AND($BC231=0,$C231=Tab_sel!$P$7,$D231=Tab_sel!$O$24,$E231=Tab_sel!$N$31,$F231=Tab_sel!$B$42),1,"")</f>
        <v>#N/A</v>
      </c>
      <c r="BM231" s="322" t="e">
        <f>IF(AND($BC231=0,$C231=Tab_sel!$P$7,$D231=Tab_sel!$O$24,$E231=Tab_sel!$N$31,$F231=Tab_sel!$B$43),1,"")</f>
        <v>#N/A</v>
      </c>
      <c r="BN231" s="322" t="e">
        <f>IF(AND($BC231=0,$C231=Tab_sel!$P$7,$D231=Tab_sel!$O$24,$E231=Tab_sel!$N$31,$F231=Tab_sel!$B$44),1,"")</f>
        <v>#N/A</v>
      </c>
      <c r="BO231" s="343" t="e">
        <f>IF(AND($BC231=0,$C231=Tab_sel!$P$7,$D231=Tab_sel!$O$24,$E231=Tab_sel!$N$31,$F231=Tab_sel!$B$45),1,"")</f>
        <v>#N/A</v>
      </c>
      <c r="BP231" s="354" t="e">
        <f>IF(AND($BC231=0,$C231=Tab_sel!$P$7,$D231=Tab_sel!$O$24,$E231=Tab_sel!$N$31,$F231=Tab_sel!$N$40,$I231=Tab_sel!$B$61),1,"")</f>
        <v>#N/A</v>
      </c>
      <c r="BQ231" s="355" t="e">
        <f>IF(AND($BC231=0,$C231=Tab_sel!$P$7,$D231=Tab_sel!$O$24,$E231=Tab_sel!$N$31,$F231=Tab_sel!$N$40,$I231=Tab_sel!$B$62),1,"")</f>
        <v>#N/A</v>
      </c>
      <c r="BR231" s="355" t="e">
        <f>IF(AND($BC231=0,$C231=Tab_sel!$P$7,$D231=Tab_sel!$O$24,$E231=Tab_sel!$N$31,$F231=Tab_sel!$N$40,$I231=Tab_sel!$B$63),1,"")</f>
        <v>#N/A</v>
      </c>
      <c r="BS231" s="355" t="e">
        <f>IF(AND($BC231=0,$C231=Tab_sel!$P$7,$D231=Tab_sel!$O$24,$E231=Tab_sel!$N$31,$F231=Tab_sel!$N$40,$I231=Tab_sel!$B$64),1,"")</f>
        <v>#N/A</v>
      </c>
      <c r="BT231" s="356" t="e">
        <f>IF(AND($BC231=0,$C231=Tab_sel!$P$7,$D231=Tab_sel!$O$24,$E231=Tab_sel!$N$31,$F231=Tab_sel!$N$40,$I231=Tab_sel!$B$65),1,"")</f>
        <v>#N/A</v>
      </c>
      <c r="BU231" s="856" t="e">
        <f>IF(AND($BC231=0,$C231=Tab_sel!$P$7,$D231=Tab_sel!$O$24,$E231=Tab_sel!$N$31,$F231=Tab_sel!$N$40,$I231=Tab_sel!$P$61,$H231=Tab_sel!$B$77),1,"")</f>
        <v>#N/A</v>
      </c>
      <c r="BV231" s="883" t="e">
        <f>IF(AND($BC231=0,$C231=Tab_sel!$P$7,$D231=Tab_sel!$O$24,$E231=Tab_sel!$N$31,$F231=Tab_sel!$N$40,$I231=Tab_sel!$P$61,$H231=Tab_sel!$B$78),1,"")</f>
        <v>#N/A</v>
      </c>
      <c r="BW231" s="883" t="e">
        <f>IF(AND($BC231=0,$C231=Tab_sel!$P$7,$D231=Tab_sel!$O$24,$E231=Tab_sel!$N$31,$F231=Tab_sel!$N$40,$I231=Tab_sel!$P$61,$H231=Tab_sel!$B$79),1,"")</f>
        <v>#N/A</v>
      </c>
      <c r="BX231" s="883" t="e">
        <f>IF(AND($BC231=0,$C231=Tab_sel!$P$7,$D231=Tab_sel!$O$24,$E231=Tab_sel!$N$31,$F231=Tab_sel!$N$40,$I231=Tab_sel!$P$61,$H231=Tab_sel!$B$80),1,"")</f>
        <v>#N/A</v>
      </c>
      <c r="BY231" s="883" t="e">
        <f>IF(AND($BC231=0,$C231=Tab_sel!$P$7,$D231=Tab_sel!$O$24,$E231=Tab_sel!$N$31,$F231=Tab_sel!$N$40,$I231=Tab_sel!$P$61,$H231=Tab_sel!$B$81),1,"")</f>
        <v>#N/A</v>
      </c>
      <c r="BZ231" s="857" t="e">
        <f>IF(AND($BC231=0,$C231=Tab_sel!$P$7,$D231=Tab_sel!$O$24,$E231=Tab_sel!$N$31,$F231=Tab_sel!$N$40,$I231=Tab_sel!$P$61,$H231=Tab_sel!$B$82),1,"")</f>
        <v>#N/A</v>
      </c>
      <c r="CA231" s="359"/>
      <c r="CC231">
        <f t="shared" si="77"/>
        <v>0</v>
      </c>
      <c r="CD231" s="882">
        <f t="shared" si="78"/>
        <v>0</v>
      </c>
      <c r="CE231" s="882">
        <f t="shared" si="79"/>
        <v>0</v>
      </c>
      <c r="CG231" t="s">
        <v>2685</v>
      </c>
    </row>
    <row r="232" spans="2:86" ht="53.4" thickBot="1" x14ac:dyDescent="0.3">
      <c r="B232" s="797" t="s">
        <v>1527</v>
      </c>
      <c r="C232" s="798" t="s">
        <v>1215</v>
      </c>
      <c r="D232" s="772" t="s">
        <v>41</v>
      </c>
      <c r="E232" s="798" t="str">
        <f>Pro</f>
        <v xml:space="preserve"> Procédure support des processus</v>
      </c>
      <c r="F232" s="800" t="str">
        <f>Napp</f>
        <v>Non application de la procédure adaptée</v>
      </c>
      <c r="G232" s="801" t="s">
        <v>2606</v>
      </c>
      <c r="H232" s="801"/>
      <c r="I232" s="798" t="s">
        <v>1528</v>
      </c>
      <c r="J232" s="798"/>
      <c r="K232" s="802" t="s">
        <v>2063</v>
      </c>
      <c r="L232" s="798"/>
      <c r="M232" s="837"/>
      <c r="N232" s="838"/>
      <c r="O232" s="838"/>
      <c r="P232" s="799"/>
      <c r="Q232" s="839"/>
      <c r="R232" s="839"/>
      <c r="S232" s="840"/>
      <c r="T232" s="799"/>
      <c r="U232" s="799"/>
      <c r="V232" s="841"/>
      <c r="W232" s="838"/>
      <c r="X232" s="838"/>
      <c r="Y232" s="799"/>
      <c r="Z232" s="799"/>
      <c r="AA232" s="799"/>
      <c r="AB232" s="841"/>
      <c r="AC232" s="842"/>
      <c r="AD232" s="842"/>
      <c r="AE232" s="842"/>
      <c r="AF232" s="842"/>
      <c r="AG232" s="842"/>
      <c r="AH232" s="841"/>
      <c r="AI232" s="807" t="str">
        <f t="shared" si="80"/>
        <v/>
      </c>
      <c r="AJ232" s="841"/>
      <c r="AK232" s="359"/>
      <c r="AM232" t="str">
        <f t="shared" si="86"/>
        <v/>
      </c>
      <c r="AN232">
        <f t="shared" si="87"/>
        <v>0</v>
      </c>
      <c r="AW232" s="882">
        <f t="shared" si="76"/>
        <v>0</v>
      </c>
      <c r="AX232" s="882">
        <f>VLOOKUP(E232,Tab_ActS,2,FALSE)</f>
        <v>1</v>
      </c>
      <c r="AY232" s="882">
        <f>VLOOKUP(F232,Tab_SDom,3,FALSE)</f>
        <v>1</v>
      </c>
      <c r="AZ232" s="927">
        <f>VLOOKUP($I232,Tabexpo,8,FALSE)</f>
        <v>1</v>
      </c>
      <c r="BA232" s="882">
        <v>1</v>
      </c>
      <c r="BB232" s="925">
        <f t="shared" si="88"/>
        <v>0</v>
      </c>
      <c r="BC232" s="882">
        <f>IF(IndS=FALSE,IF(BB232=1,0,1),IF(BB232=0,1,AV232))</f>
        <v>1</v>
      </c>
      <c r="BD232" s="342" t="e">
        <f>IF(AND($BC232=0,C232=Tab_sel!$P$7,$D232=Tab_sel!$O$24,$E232=Tab_sel!$B$31),1,"")</f>
        <v>#N/A</v>
      </c>
      <c r="BE232" s="322" t="e">
        <f>IF(AND($BC232=0,C232=Tab_sel!$P$7,$D232=Tab_sel!$O$24,$E232=Tab_sel!$B$32),1,"")</f>
        <v>#N/A</v>
      </c>
      <c r="BF232" s="322" t="e">
        <f>IF(AND($BC232=0,C232=Tab_sel!$P$7,$D232=Tab_sel!$O$24,$E232=Tab_sel!$B$33),1,"")</f>
        <v>#N/A</v>
      </c>
      <c r="BG232" s="322" t="e">
        <f>IF(AND($BC232=0,C232=Tab_sel!$P$7,$D232=Tab_sel!$O$24,$E232=Tab_sel!$B$34),1,"")</f>
        <v>#N/A</v>
      </c>
      <c r="BH232" s="322" t="e">
        <f>IF(AND($BC232=0,C232=Tab_sel!$P$7,$D232=Tab_sel!$O$24,$E232=Tab_sel!$B$35),1,"")</f>
        <v>#N/A</v>
      </c>
      <c r="BI232" s="343" t="e">
        <f>IF(AND($BC232=0,C232=Tab_sel!$P$7,$D232=Tab_sel!$O$24,$E232=Tab_sel!$B$36),1,"")</f>
        <v>#N/A</v>
      </c>
      <c r="BJ232" s="342" t="e">
        <f>IF(AND($BC232=0,$C232=Tab_sel!$P$7,$D232=Tab_sel!$O$24,$E232=Tab_sel!$N$31,$F232=Tab_sel!$B$40),1,"")</f>
        <v>#N/A</v>
      </c>
      <c r="BK232" s="322" t="e">
        <f>IF(AND($BC232=0,$C232=Tab_sel!$P$7,$D232=Tab_sel!$O$24,$E232=Tab_sel!$N$31,$F232=Tab_sel!$B$41),1,"")</f>
        <v>#N/A</v>
      </c>
      <c r="BL232" s="322" t="e">
        <f>IF(AND($BC232=0,$C232=Tab_sel!$P$7,$D232=Tab_sel!$O$24,$E232=Tab_sel!$N$31,$F232=Tab_sel!$B$42),1,"")</f>
        <v>#N/A</v>
      </c>
      <c r="BM232" s="322" t="e">
        <f>IF(AND($BC232=0,$C232=Tab_sel!$P$7,$D232=Tab_sel!$O$24,$E232=Tab_sel!$N$31,$F232=Tab_sel!$B$43),1,"")</f>
        <v>#N/A</v>
      </c>
      <c r="BN232" s="322" t="e">
        <f>IF(AND($BC232=0,$C232=Tab_sel!$P$7,$D232=Tab_sel!$O$24,$E232=Tab_sel!$N$31,$F232=Tab_sel!$B$44),1,"")</f>
        <v>#N/A</v>
      </c>
      <c r="BO232" s="343" t="e">
        <f>IF(AND($BC232=0,$C232=Tab_sel!$P$7,$D232=Tab_sel!$O$24,$E232=Tab_sel!$N$31,$F232=Tab_sel!$B$45),1,"")</f>
        <v>#N/A</v>
      </c>
      <c r="BP232" s="354" t="e">
        <f>IF(AND($BC232=0,$C232=Tab_sel!$P$7,$D232=Tab_sel!$O$24,$E232=Tab_sel!$N$31,$F232=Tab_sel!$N$40,$I232=Tab_sel!$B$61),1,"")</f>
        <v>#N/A</v>
      </c>
      <c r="BQ232" s="355" t="e">
        <f>IF(AND($BC232=0,$C232=Tab_sel!$P$7,$D232=Tab_sel!$O$24,$E232=Tab_sel!$N$31,$F232=Tab_sel!$N$40,$I232=Tab_sel!$B$62),1,"")</f>
        <v>#N/A</v>
      </c>
      <c r="BR232" s="355" t="e">
        <f>IF(AND($BC232=0,$C232=Tab_sel!$P$7,$D232=Tab_sel!$O$24,$E232=Tab_sel!$N$31,$F232=Tab_sel!$N$40,$I232=Tab_sel!$B$63),1,"")</f>
        <v>#N/A</v>
      </c>
      <c r="BS232" s="355" t="e">
        <f>IF(AND($BC232=0,$C232=Tab_sel!$P$7,$D232=Tab_sel!$O$24,$E232=Tab_sel!$N$31,$F232=Tab_sel!$N$40,$I232=Tab_sel!$B$64),1,"")</f>
        <v>#N/A</v>
      </c>
      <c r="BT232" s="356" t="e">
        <f>IF(AND($BC232=0,$C232=Tab_sel!$P$7,$D232=Tab_sel!$O$24,$E232=Tab_sel!$N$31,$F232=Tab_sel!$N$40,$I232=Tab_sel!$B$65),1,"")</f>
        <v>#N/A</v>
      </c>
      <c r="BU232" s="856" t="e">
        <f>IF(AND($BC232=0,$C232=Tab_sel!$P$7,$D232=Tab_sel!$O$24,$E232=Tab_sel!$N$31,$F232=Tab_sel!$N$40,$I232=Tab_sel!$P$61,$H232=Tab_sel!$B$77),1,"")</f>
        <v>#N/A</v>
      </c>
      <c r="BV232" s="883" t="e">
        <f>IF(AND($BC232=0,$C232=Tab_sel!$P$7,$D232=Tab_sel!$O$24,$E232=Tab_sel!$N$31,$F232=Tab_sel!$N$40,$I232=Tab_sel!$P$61,$H232=Tab_sel!$B$78),1,"")</f>
        <v>#N/A</v>
      </c>
      <c r="BW232" s="883" t="e">
        <f>IF(AND($BC232=0,$C232=Tab_sel!$P$7,$D232=Tab_sel!$O$24,$E232=Tab_sel!$N$31,$F232=Tab_sel!$N$40,$I232=Tab_sel!$P$61,$H232=Tab_sel!$B$79),1,"")</f>
        <v>#N/A</v>
      </c>
      <c r="BX232" s="883" t="e">
        <f>IF(AND($BC232=0,$C232=Tab_sel!$P$7,$D232=Tab_sel!$O$24,$E232=Tab_sel!$N$31,$F232=Tab_sel!$N$40,$I232=Tab_sel!$P$61,$H232=Tab_sel!$B$80),1,"")</f>
        <v>#N/A</v>
      </c>
      <c r="BY232" s="883" t="e">
        <f>IF(AND($BC232=0,$C232=Tab_sel!$P$7,$D232=Tab_sel!$O$24,$E232=Tab_sel!$N$31,$F232=Tab_sel!$N$40,$I232=Tab_sel!$P$61,$H232=Tab_sel!$B$81),1,"")</f>
        <v>#N/A</v>
      </c>
      <c r="BZ232" s="857" t="e">
        <f>IF(AND($BC232=0,$C232=Tab_sel!$P$7,$D232=Tab_sel!$O$24,$E232=Tab_sel!$N$31,$F232=Tab_sel!$N$40,$I232=Tab_sel!$P$61,$H232=Tab_sel!$B$82),1,"")</f>
        <v>#N/A</v>
      </c>
      <c r="CA232" s="359"/>
      <c r="CC232">
        <f t="shared" si="77"/>
        <v>0</v>
      </c>
      <c r="CD232" s="882">
        <f t="shared" si="78"/>
        <v>0</v>
      </c>
      <c r="CE232" s="882">
        <f t="shared" si="79"/>
        <v>0</v>
      </c>
      <c r="CH232" t="s">
        <v>2685</v>
      </c>
    </row>
    <row r="233" spans="2:86" x14ac:dyDescent="0.25">
      <c r="AW233" s="882"/>
      <c r="AX233" s="882"/>
      <c r="AY233" s="882"/>
      <c r="BA233" s="882"/>
      <c r="BB233" s="882"/>
      <c r="BC233" s="882"/>
      <c r="BD233" s="342"/>
      <c r="BE233" s="322"/>
      <c r="BF233" s="322"/>
      <c r="BG233" s="322"/>
      <c r="BH233" s="322"/>
      <c r="BI233" s="343"/>
      <c r="BJ233" s="342"/>
      <c r="BK233" s="322"/>
      <c r="BL233" s="322"/>
      <c r="BM233" s="322"/>
      <c r="BN233" s="322"/>
      <c r="BO233" s="343"/>
      <c r="BP233" s="354"/>
      <c r="BQ233" s="355"/>
      <c r="BR233" s="355"/>
      <c r="BS233" s="355"/>
      <c r="BT233" s="356"/>
      <c r="BU233" s="856"/>
      <c r="BV233" s="883"/>
      <c r="BW233" s="883"/>
      <c r="BX233" s="883"/>
      <c r="BY233" s="883"/>
      <c r="BZ233" s="857"/>
      <c r="CA233" s="359"/>
      <c r="CC233">
        <f t="shared" si="77"/>
        <v>0</v>
      </c>
      <c r="CD233" s="882">
        <f t="shared" si="78"/>
        <v>0</v>
      </c>
      <c r="CE233" s="882">
        <f t="shared" si="79"/>
        <v>0</v>
      </c>
    </row>
    <row r="234" spans="2:86" x14ac:dyDescent="0.25">
      <c r="BA234" s="882">
        <f>SUM(BA7:BA233)</f>
        <v>133</v>
      </c>
      <c r="BB234" s="397">
        <f>SUM(BB7:BB233)</f>
        <v>0</v>
      </c>
      <c r="BC234" s="397">
        <f>COUNTIF(BC7:BC232,0)</f>
        <v>0</v>
      </c>
      <c r="BU234" t="e">
        <f t="shared" ref="BU234:BZ234" si="90">SUM(BU13:BU233)</f>
        <v>#N/A</v>
      </c>
      <c r="BV234" t="e">
        <f t="shared" si="90"/>
        <v>#N/A</v>
      </c>
      <c r="BW234" t="e">
        <f t="shared" si="90"/>
        <v>#N/A</v>
      </c>
      <c r="BX234" t="e">
        <f t="shared" si="90"/>
        <v>#N/A</v>
      </c>
      <c r="BY234" t="e">
        <f t="shared" si="90"/>
        <v>#N/A</v>
      </c>
      <c r="BZ234" t="e">
        <f t="shared" si="90"/>
        <v>#N/A</v>
      </c>
    </row>
    <row r="235" spans="2:86" x14ac:dyDescent="0.25">
      <c r="CC235" s="861">
        <f>SUM(CC7:CC234)</f>
        <v>0</v>
      </c>
      <c r="CD235" s="861">
        <f>SUM(CD7:CD234)</f>
        <v>0</v>
      </c>
    </row>
    <row r="238" spans="2:86" ht="12.75" customHeight="1" x14ac:dyDescent="0.25">
      <c r="F238" s="252"/>
      <c r="I238" s="249"/>
      <c r="J238" s="249"/>
      <c r="K238" s="249"/>
      <c r="L238" s="249"/>
      <c r="M238" s="249"/>
    </row>
    <row r="239" spans="2:86" x14ac:dyDescent="0.25">
      <c r="G239" s="249"/>
      <c r="H239" s="249"/>
    </row>
    <row r="240" spans="2:86" ht="8.25" customHeight="1" x14ac:dyDescent="0.25"/>
  </sheetData>
  <sheetProtection sheet="1" objects="1" scenarios="1"/>
  <mergeCells count="21">
    <mergeCell ref="BU5:BZ5"/>
    <mergeCell ref="BD5:BI5"/>
    <mergeCell ref="AO2:AT2"/>
    <mergeCell ref="BJ5:BO5"/>
    <mergeCell ref="BP5:BT5"/>
    <mergeCell ref="AV2:BT2"/>
    <mergeCell ref="AW5:BB6"/>
    <mergeCell ref="AW3:BB3"/>
    <mergeCell ref="N3:AB3"/>
    <mergeCell ref="D3:F3"/>
    <mergeCell ref="C6:M6"/>
    <mergeCell ref="J3:M3"/>
    <mergeCell ref="AV5:AV6"/>
    <mergeCell ref="C146:M146"/>
    <mergeCell ref="C158:M158"/>
    <mergeCell ref="C215:M215"/>
    <mergeCell ref="C54:M54"/>
    <mergeCell ref="C101:M101"/>
    <mergeCell ref="C115:M115"/>
    <mergeCell ref="C128:M128"/>
    <mergeCell ref="C141:M141"/>
  </mergeCells>
  <phoneticPr fontId="5" type="noConversion"/>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O96"/>
  <sheetViews>
    <sheetView showGridLines="0" showRowColHeaders="0" zoomScaleNormal="100" zoomScaleSheetLayoutView="100" workbookViewId="0">
      <pane ySplit="1" topLeftCell="A2" activePane="bottomLeft" state="frozen"/>
      <selection activeCell="J10" sqref="J10"/>
      <selection pane="bottomLeft" activeCell="C8" sqref="C8:D8"/>
    </sheetView>
  </sheetViews>
  <sheetFormatPr baseColWidth="10" defaultColWidth="0" defaultRowHeight="13.8" x14ac:dyDescent="0.25"/>
  <cols>
    <col min="1" max="1" width="11.109375" customWidth="1"/>
    <col min="2" max="2" width="41.5546875" customWidth="1"/>
    <col min="3" max="3" width="22.88671875" style="215" customWidth="1"/>
    <col min="4" max="4" width="76.5546875" style="215" customWidth="1"/>
    <col min="5" max="5" width="10" style="215" customWidth="1"/>
    <col min="6" max="6" width="43.44140625" customWidth="1"/>
    <col min="7" max="7" width="13.88671875" customWidth="1"/>
    <col min="8" max="8" width="11.44140625" hidden="1" customWidth="1"/>
    <col min="9" max="9" width="32" hidden="1" customWidth="1"/>
    <col min="10" max="10" width="11.44140625" hidden="1" customWidth="1"/>
    <col min="11" max="11" width="12.5546875" hidden="1" customWidth="1"/>
    <col min="12" max="12" width="12.33203125" hidden="1" customWidth="1"/>
    <col min="13" max="15" width="0" hidden="1" customWidth="1"/>
    <col min="16" max="16384" width="11.44140625" hidden="1"/>
  </cols>
  <sheetData>
    <row r="1" spans="1:15" ht="81.75" customHeight="1" x14ac:dyDescent="0.3">
      <c r="A1" s="753" t="str">
        <f>IF(ISERROR(Tab_sel!C69)," ''Fiche d'analyse de risque vierge ou non cohérente'' ",IF(Tab_sel!C69&lt;=0," ''Nouvelle fiche d'analyse de risque'' "," ''Fiche d'analyse de risque en cours de modification'' "))</f>
        <v xml:space="preserve"> ''Fiche d'analyse de risque vierge ou non cohérente'' </v>
      </c>
      <c r="B1" s="633"/>
      <c r="C1" s="752"/>
      <c r="D1" s="752"/>
      <c r="E1" s="752"/>
      <c r="F1" s="633"/>
      <c r="G1" s="633"/>
    </row>
    <row r="2" spans="1:15" ht="24" customHeight="1" x14ac:dyDescent="0.25">
      <c r="A2" s="1043"/>
      <c r="B2" s="1043"/>
      <c r="C2" s="1043"/>
      <c r="D2" s="1048" t="s">
        <v>2240</v>
      </c>
      <c r="E2" s="1049" t="str">
        <f>IF(ISERROR(Tab_sel!C69),"",IF(Tab_sel!C69&lt;=0,"R"&amp;(MAX(Scénarios!AH6:AH232)+1),"R"&amp;Tab_sel!C69))</f>
        <v/>
      </c>
      <c r="F2" s="416"/>
      <c r="G2" s="417"/>
    </row>
    <row r="3" spans="1:15" ht="25.5" customHeight="1" x14ac:dyDescent="0.25">
      <c r="A3" s="1043"/>
      <c r="B3" s="1043"/>
      <c r="C3" s="1043"/>
      <c r="D3" s="1048"/>
      <c r="E3" s="1049"/>
      <c r="F3" s="416"/>
      <c r="G3" s="417"/>
      <c r="I3" s="403"/>
      <c r="J3" s="403"/>
      <c r="K3" s="403"/>
      <c r="L3" s="403"/>
      <c r="M3" s="403"/>
      <c r="N3" s="403"/>
      <c r="O3" s="403"/>
    </row>
    <row r="4" spans="1:15" ht="22.5" customHeight="1" x14ac:dyDescent="0.25">
      <c r="A4" s="407" t="s">
        <v>1082</v>
      </c>
      <c r="B4" s="407"/>
      <c r="C4" s="409"/>
      <c r="D4" s="409"/>
      <c r="E4" s="409"/>
      <c r="F4" s="416"/>
      <c r="G4" s="417"/>
      <c r="H4" s="65"/>
      <c r="I4" s="403"/>
      <c r="J4" s="403"/>
      <c r="K4" s="403"/>
      <c r="L4" s="403"/>
      <c r="M4" s="403"/>
      <c r="N4" s="403"/>
      <c r="O4" s="403"/>
    </row>
    <row r="5" spans="1:15" ht="14.25" customHeight="1" x14ac:dyDescent="0.25">
      <c r="A5" s="408"/>
      <c r="B5" s="412"/>
      <c r="C5" s="412"/>
      <c r="D5" s="412"/>
      <c r="E5" s="410"/>
      <c r="F5" s="416"/>
      <c r="G5" s="417"/>
      <c r="I5" s="403"/>
      <c r="J5" s="403"/>
      <c r="K5" s="403"/>
      <c r="L5" s="403"/>
      <c r="M5" s="403"/>
      <c r="N5" s="403"/>
      <c r="O5" s="403"/>
    </row>
    <row r="6" spans="1:15" ht="30" customHeight="1" x14ac:dyDescent="0.25">
      <c r="A6" s="408"/>
      <c r="B6" s="415" t="s">
        <v>1083</v>
      </c>
      <c r="C6" s="1044" t="str">
        <f>IF(Dysf ="","",Dysf)</f>
        <v/>
      </c>
      <c r="D6" s="1042"/>
      <c r="E6" s="410"/>
      <c r="F6" s="416"/>
      <c r="G6" s="417"/>
      <c r="I6" s="403"/>
      <c r="J6" s="403"/>
      <c r="K6" s="403"/>
      <c r="L6" s="403"/>
      <c r="M6" s="403"/>
      <c r="N6" s="403"/>
      <c r="O6" s="403"/>
    </row>
    <row r="7" spans="1:15" ht="12" customHeight="1" x14ac:dyDescent="0.25">
      <c r="A7" s="408"/>
      <c r="B7" s="412"/>
      <c r="C7" s="1045"/>
      <c r="D7" s="1045"/>
      <c r="E7" s="410"/>
      <c r="F7" s="416"/>
      <c r="G7" s="417"/>
      <c r="I7" s="403"/>
      <c r="J7" s="403"/>
      <c r="K7" s="403"/>
      <c r="L7" s="403"/>
      <c r="M7" s="403"/>
      <c r="N7" s="403"/>
      <c r="O7" s="403"/>
    </row>
    <row r="8" spans="1:15" ht="30" customHeight="1" x14ac:dyDescent="0.25">
      <c r="A8" s="408"/>
      <c r="B8" s="415" t="s">
        <v>1084</v>
      </c>
      <c r="C8" s="1035"/>
      <c r="D8" s="1036"/>
      <c r="E8" s="410"/>
      <c r="F8" s="416"/>
      <c r="G8" s="417"/>
      <c r="I8" s="403"/>
      <c r="J8" s="403"/>
      <c r="K8" s="403"/>
      <c r="L8" s="403"/>
      <c r="M8" s="403"/>
      <c r="N8" s="403"/>
      <c r="O8" s="403"/>
    </row>
    <row r="9" spans="1:15" ht="12" customHeight="1" x14ac:dyDescent="0.25">
      <c r="A9" s="408"/>
      <c r="B9" s="412"/>
      <c r="C9" s="1045"/>
      <c r="D9" s="1045"/>
      <c r="E9" s="410"/>
      <c r="F9" s="416"/>
      <c r="G9" s="417"/>
      <c r="I9" s="403"/>
      <c r="J9" s="403"/>
      <c r="K9" s="403"/>
      <c r="L9" s="403"/>
      <c r="M9" s="403"/>
      <c r="N9" s="403"/>
      <c r="O9" s="403"/>
    </row>
    <row r="10" spans="1:15" ht="30" customHeight="1" x14ac:dyDescent="0.25">
      <c r="A10" s="408"/>
      <c r="B10" s="415" t="s">
        <v>1705</v>
      </c>
      <c r="C10" s="1035"/>
      <c r="D10" s="1036"/>
      <c r="E10" s="410"/>
      <c r="F10" s="416"/>
      <c r="G10" s="417"/>
      <c r="I10" s="403"/>
      <c r="J10" s="403"/>
      <c r="K10" s="403"/>
      <c r="L10" s="403"/>
      <c r="M10" s="403"/>
      <c r="N10" s="403"/>
      <c r="O10" s="403"/>
    </row>
    <row r="11" spans="1:15" ht="12" customHeight="1" x14ac:dyDescent="0.25">
      <c r="A11" s="408"/>
      <c r="B11" s="412"/>
      <c r="C11" s="1045"/>
      <c r="D11" s="1045"/>
      <c r="E11" s="410"/>
      <c r="F11" s="416"/>
      <c r="G11" s="417"/>
      <c r="I11" s="403"/>
      <c r="J11" s="403"/>
      <c r="K11" s="403"/>
      <c r="L11" s="403"/>
      <c r="M11" s="403"/>
      <c r="N11" s="403"/>
      <c r="O11" s="403"/>
    </row>
    <row r="12" spans="1:15" ht="30" customHeight="1" x14ac:dyDescent="0.25">
      <c r="A12" s="408"/>
      <c r="B12" s="415" t="s">
        <v>1706</v>
      </c>
      <c r="C12" s="1035"/>
      <c r="D12" s="1036"/>
      <c r="E12" s="410"/>
      <c r="F12" s="416"/>
      <c r="G12" s="417"/>
      <c r="I12" s="439"/>
      <c r="J12" s="403"/>
      <c r="K12" s="403"/>
      <c r="L12" s="403"/>
      <c r="M12" s="403"/>
      <c r="N12" s="403"/>
      <c r="O12" s="403"/>
    </row>
    <row r="13" spans="1:15" ht="12" customHeight="1" x14ac:dyDescent="0.25">
      <c r="A13" s="408"/>
      <c r="B13" s="412"/>
      <c r="C13" s="412"/>
      <c r="D13" s="412"/>
      <c r="E13" s="410"/>
      <c r="F13" s="416"/>
      <c r="G13" s="417"/>
      <c r="I13" s="403"/>
      <c r="J13" s="403"/>
      <c r="K13" s="403"/>
      <c r="L13" s="403"/>
      <c r="M13" s="403"/>
      <c r="N13" s="403"/>
      <c r="O13" s="403"/>
    </row>
    <row r="14" spans="1:15" ht="30" customHeight="1" x14ac:dyDescent="0.25">
      <c r="A14" s="408"/>
      <c r="B14" s="420" t="s">
        <v>1849</v>
      </c>
      <c r="C14" s="418" t="str">
        <f>IFERROR(IF(OR(ISBLANK(C8), ISBLANK(C10)),"",IF(Tab_sel!P24="Erreur","",IF(INDEX(Actifs_P,Tab_sel!$O$7,2+Tab_sel!$O25)="","Aucun impact évalué pour ces éléments",INDEX(Actifs_P,Tab_sel!$O$7,2+Tab_sel!$O25)))),"")</f>
        <v/>
      </c>
      <c r="D14" s="419" t="str">
        <f>IF(ISNA(VLOOKUP(C14,Param!C$40:D$43,2,FALSE)),"",VLOOKUP(C14,Param!C$40:D$43,2,FALSE))</f>
        <v/>
      </c>
      <c r="E14" s="411"/>
      <c r="F14" s="416"/>
      <c r="G14" s="417"/>
      <c r="I14" s="403"/>
      <c r="J14" s="403"/>
      <c r="K14" s="403"/>
      <c r="L14" s="403"/>
      <c r="M14" s="403"/>
      <c r="N14" s="403"/>
      <c r="O14" s="403"/>
    </row>
    <row r="15" spans="1:15" ht="22.5" customHeight="1" x14ac:dyDescent="0.25">
      <c r="A15" s="408"/>
      <c r="B15" s="458" t="s">
        <v>1920</v>
      </c>
      <c r="C15" s="463" t="s">
        <v>1861</v>
      </c>
      <c r="D15" s="844" t="str">
        <f>IF(ISNA(VLOOKUP(C15,Param!C$40:D$43,2,FALSE)),"",VLOOKUP(C15,Param!C$40:D$43,2,FALSE))</f>
        <v/>
      </c>
      <c r="E15" s="411"/>
      <c r="F15" s="416"/>
      <c r="G15" s="417"/>
      <c r="I15" s="441"/>
      <c r="J15" s="441"/>
      <c r="K15" s="441"/>
      <c r="L15" s="441"/>
      <c r="M15" s="441"/>
      <c r="N15" s="441"/>
      <c r="O15" s="441"/>
    </row>
    <row r="16" spans="1:15" ht="12" customHeight="1" x14ac:dyDescent="0.25">
      <c r="A16" s="408"/>
      <c r="B16" s="454"/>
      <c r="C16" s="1045"/>
      <c r="D16" s="1045"/>
      <c r="E16" s="410"/>
      <c r="F16" s="416"/>
      <c r="G16" s="417"/>
      <c r="I16" s="403"/>
      <c r="J16" s="403"/>
      <c r="K16" s="403"/>
      <c r="L16" s="403"/>
      <c r="M16" s="403"/>
      <c r="N16" s="403"/>
      <c r="O16" s="403"/>
    </row>
    <row r="17" spans="1:15" ht="30" customHeight="1" x14ac:dyDescent="0.25">
      <c r="A17" s="408"/>
      <c r="B17" s="415" t="s">
        <v>1106</v>
      </c>
      <c r="C17" s="1035"/>
      <c r="D17" s="1036"/>
      <c r="E17" s="410"/>
      <c r="F17" s="416"/>
      <c r="G17" s="417"/>
      <c r="I17" s="435"/>
      <c r="J17" s="403"/>
      <c r="K17" s="403"/>
      <c r="L17" s="403"/>
      <c r="M17" s="403"/>
      <c r="N17" s="403"/>
      <c r="O17" s="403"/>
    </row>
    <row r="18" spans="1:15" ht="12" customHeight="1" x14ac:dyDescent="0.25">
      <c r="A18" s="408"/>
      <c r="B18" s="412"/>
      <c r="C18" s="1045"/>
      <c r="D18" s="1045"/>
      <c r="E18" s="410"/>
      <c r="F18" s="416"/>
      <c r="G18" s="417"/>
      <c r="I18" s="403"/>
      <c r="J18" s="403"/>
      <c r="K18" s="403"/>
      <c r="L18" s="403"/>
      <c r="M18" s="403"/>
      <c r="N18" s="403"/>
      <c r="O18" s="403"/>
    </row>
    <row r="19" spans="1:15" ht="30" customHeight="1" x14ac:dyDescent="0.25">
      <c r="A19" s="408"/>
      <c r="B19" s="415" t="s">
        <v>1411</v>
      </c>
      <c r="C19" s="1046"/>
      <c r="D19" s="1047"/>
      <c r="E19" s="410"/>
      <c r="F19" s="416"/>
      <c r="G19" s="417"/>
      <c r="I19" s="403"/>
      <c r="J19" s="403"/>
      <c r="K19" s="403"/>
      <c r="L19" s="403"/>
      <c r="M19" s="403"/>
      <c r="N19" s="403"/>
      <c r="O19" s="403"/>
    </row>
    <row r="20" spans="1:15" ht="12" customHeight="1" x14ac:dyDescent="0.25">
      <c r="A20" s="408"/>
      <c r="B20" s="412"/>
      <c r="C20" s="412"/>
      <c r="D20" s="412"/>
      <c r="E20" s="410"/>
      <c r="F20" s="416"/>
      <c r="G20" s="417"/>
      <c r="I20" s="403"/>
      <c r="J20" s="403"/>
      <c r="K20" s="403"/>
      <c r="L20" s="403"/>
      <c r="M20" s="403"/>
      <c r="N20" s="403"/>
      <c r="O20" s="403"/>
    </row>
    <row r="21" spans="1:15" ht="40.5" customHeight="1" x14ac:dyDescent="0.25">
      <c r="A21" s="408"/>
      <c r="B21" s="415" t="s">
        <v>1410</v>
      </c>
      <c r="C21" s="1044" t="str" cm="1">
        <f t="array" ref="C21">IF(ISNA(INDEX(Scen,Tab_sel!H50-1+Tab_sel!O61,6))," ",INDEX(Scen,INDEX(Tab_sel_event,Sel_Num_event,2),6))</f>
        <v xml:space="preserve"> </v>
      </c>
      <c r="D21" s="1042"/>
      <c r="E21" s="409"/>
      <c r="F21" s="416"/>
      <c r="G21" s="417"/>
      <c r="I21" s="403"/>
      <c r="J21" s="403"/>
      <c r="K21" s="403"/>
      <c r="L21" s="403"/>
      <c r="M21" s="403"/>
      <c r="N21" s="403"/>
      <c r="O21" s="403"/>
    </row>
    <row r="22" spans="1:15" ht="12" customHeight="1" x14ac:dyDescent="0.25">
      <c r="A22" s="408"/>
      <c r="B22" s="412"/>
      <c r="C22" s="412"/>
      <c r="D22" s="412"/>
      <c r="E22" s="410"/>
      <c r="F22" s="416"/>
      <c r="G22" s="416"/>
      <c r="I22" s="403"/>
      <c r="J22" s="403"/>
      <c r="K22" s="403"/>
      <c r="L22" s="403"/>
      <c r="M22" s="403"/>
      <c r="N22" s="403"/>
      <c r="O22" s="403"/>
    </row>
    <row r="23" spans="1:15" ht="46.95" customHeight="1" x14ac:dyDescent="0.25">
      <c r="A23" s="408"/>
      <c r="B23" s="1034" t="s">
        <v>2309</v>
      </c>
      <c r="C23" s="1034"/>
      <c r="D23" s="855" t="s">
        <v>2311</v>
      </c>
      <c r="E23" s="410"/>
      <c r="F23" s="416"/>
      <c r="G23" s="416"/>
      <c r="I23" s="441"/>
      <c r="J23" s="441"/>
      <c r="K23" s="441"/>
      <c r="L23" s="441"/>
      <c r="M23" s="441"/>
      <c r="N23" s="441"/>
      <c r="O23" s="441"/>
    </row>
    <row r="24" spans="1:15" ht="12" customHeight="1" x14ac:dyDescent="0.25">
      <c r="A24" s="408"/>
      <c r="B24" s="412"/>
      <c r="C24" s="412"/>
      <c r="D24" s="412"/>
      <c r="E24" s="410"/>
      <c r="F24" s="416"/>
      <c r="G24" s="416"/>
      <c r="I24" s="441"/>
      <c r="J24" s="441"/>
      <c r="K24" s="441"/>
      <c r="L24" s="441"/>
      <c r="M24" s="441"/>
      <c r="N24" s="441"/>
      <c r="O24" s="441"/>
    </row>
    <row r="25" spans="1:15" ht="47.1" hidden="1" customHeight="1" x14ac:dyDescent="0.25">
      <c r="A25" s="408"/>
      <c r="B25" s="415" t="s">
        <v>2313</v>
      </c>
      <c r="C25" s="1035" t="s">
        <v>2350</v>
      </c>
      <c r="D25" s="1036"/>
      <c r="E25" s="410"/>
      <c r="F25" s="416"/>
      <c r="G25" s="416"/>
      <c r="I25" s="441"/>
      <c r="J25" s="441"/>
      <c r="K25" s="441"/>
      <c r="L25" s="441"/>
      <c r="M25" s="441"/>
      <c r="N25" s="441"/>
      <c r="O25" s="441"/>
    </row>
    <row r="26" spans="1:15" ht="12" hidden="1" customHeight="1" x14ac:dyDescent="0.25">
      <c r="A26" s="408"/>
      <c r="B26" s="412"/>
      <c r="C26" s="412"/>
      <c r="D26" s="412"/>
      <c r="E26" s="410"/>
      <c r="F26" s="416"/>
      <c r="G26" s="416"/>
      <c r="I26" s="441"/>
      <c r="J26" s="441"/>
      <c r="K26" s="441"/>
      <c r="L26" s="441"/>
      <c r="M26" s="441"/>
      <c r="N26" s="441"/>
      <c r="O26" s="441"/>
    </row>
    <row r="27" spans="1:15" ht="30" customHeight="1" x14ac:dyDescent="0.25">
      <c r="A27" s="408"/>
      <c r="B27" s="420" t="s">
        <v>1848</v>
      </c>
      <c r="C27" s="418" t="str">
        <f>IF(ISNA(VLOOKUP(Tab_sel!C68,Tabexpo,5)),"",VLOOKUP(Tab_sel!C68,Tabexpo,5))</f>
        <v/>
      </c>
      <c r="D27" s="419" t="str">
        <f>IF(ISNA(VLOOKUP(C27,Param!C$48:D$51,2,FALSE)),"",VLOOKUP(C27,Param!C$48:D$51,2,FALSE))</f>
        <v/>
      </c>
      <c r="E27" s="411"/>
      <c r="F27" s="416"/>
      <c r="G27" s="416"/>
      <c r="I27" s="403"/>
      <c r="J27" s="403"/>
      <c r="K27" s="403"/>
      <c r="L27" s="403"/>
      <c r="M27" s="403"/>
      <c r="N27" s="403"/>
      <c r="O27" s="403"/>
    </row>
    <row r="28" spans="1:15" ht="27.75" customHeight="1" x14ac:dyDescent="0.25">
      <c r="A28" s="408"/>
      <c r="B28" s="458" t="s">
        <v>1921</v>
      </c>
      <c r="C28" s="920" t="s">
        <v>1861</v>
      </c>
      <c r="D28" s="844" t="str">
        <f>IF(ISNA(VLOOKUP(C28,Param!C$48:D$51,2,FALSE)),"",VLOOKUP(C28,Param!C$48:D$51,2,FALSE))</f>
        <v/>
      </c>
      <c r="E28" s="411"/>
      <c r="F28" s="416"/>
      <c r="G28" s="416"/>
      <c r="I28" s="441"/>
      <c r="J28" s="441"/>
      <c r="K28" s="441"/>
      <c r="L28" s="441"/>
      <c r="M28" s="441"/>
      <c r="N28" s="441"/>
      <c r="O28" s="441"/>
    </row>
    <row r="29" spans="1:15" ht="12" customHeight="1" x14ac:dyDescent="0.25">
      <c r="A29" s="408"/>
      <c r="B29" s="412"/>
      <c r="C29" s="412"/>
      <c r="D29" s="412"/>
      <c r="E29" s="410"/>
      <c r="F29" s="416"/>
      <c r="G29" s="416"/>
      <c r="I29" s="403"/>
      <c r="J29" s="403"/>
      <c r="K29" s="403"/>
      <c r="L29" s="403"/>
      <c r="M29" s="403"/>
      <c r="N29" s="403"/>
      <c r="O29" s="403"/>
    </row>
    <row r="30" spans="1:15" ht="33" customHeight="1" x14ac:dyDescent="0.25">
      <c r="A30" s="408"/>
      <c r="B30" s="420" t="s">
        <v>1923</v>
      </c>
      <c r="C30" s="418" t="str">
        <f>IF(AND(ISNUMBER(FAR_Ii),ISNUMBER(FAR_Pi)),INDEX(base_g,5-IF(FAR_Ii_perso="-",FAR_Ii,FAR_Ii_perso),IF(FAR_Pi_perso="-",FAR_Pi,FAR_Pi_perso)),"")</f>
        <v/>
      </c>
      <c r="D30" s="419" t="str">
        <f>IF(ISNA(VLOOKUP(C30,Param!C$56:E$59,2,FALSE)),"",VLOOKUP(C30,Param!C$56:E$59,2,FALSE))</f>
        <v/>
      </c>
      <c r="E30" s="411"/>
      <c r="F30" s="416"/>
      <c r="G30" s="416"/>
      <c r="I30" s="403"/>
      <c r="J30" s="403"/>
      <c r="K30" s="403"/>
      <c r="L30" s="403"/>
      <c r="M30" s="403"/>
      <c r="N30" s="403"/>
      <c r="O30" s="403"/>
    </row>
    <row r="31" spans="1:15" ht="21" customHeight="1" x14ac:dyDescent="0.25">
      <c r="A31" s="408"/>
      <c r="B31" s="412"/>
      <c r="C31" s="1041" t="str">
        <f>IF(ISNA(VLOOKUP(C30,Param!C$56:E$59,3,FALSE)),"",VLOOKUP(C30,Param!C$56:E$59,3,FALSE))</f>
        <v/>
      </c>
      <c r="D31" s="1042"/>
      <c r="E31" s="410"/>
      <c r="F31" s="416"/>
      <c r="G31" s="416"/>
      <c r="I31" s="403"/>
      <c r="J31" s="403"/>
      <c r="K31" s="403"/>
      <c r="L31" s="403"/>
      <c r="M31" s="403"/>
      <c r="N31" s="403"/>
      <c r="O31" s="403"/>
    </row>
    <row r="32" spans="1:15" ht="24" customHeight="1" x14ac:dyDescent="0.25">
      <c r="A32" s="408"/>
      <c r="B32" s="412"/>
      <c r="C32" s="412"/>
      <c r="D32" s="412"/>
      <c r="E32" s="410"/>
      <c r="F32" s="416"/>
      <c r="G32" s="416"/>
      <c r="I32" s="403"/>
      <c r="J32" s="403"/>
      <c r="K32" s="403"/>
      <c r="L32" s="403"/>
      <c r="M32" s="403"/>
      <c r="N32" s="403"/>
      <c r="O32" s="403"/>
    </row>
    <row r="33" spans="1:15" ht="19.5" customHeight="1" x14ac:dyDescent="0.25">
      <c r="A33" s="421" t="s">
        <v>1413</v>
      </c>
      <c r="B33" s="422"/>
      <c r="C33" s="422"/>
      <c r="D33" s="423"/>
      <c r="E33" s="423"/>
      <c r="H33" s="65"/>
      <c r="I33" s="403"/>
      <c r="J33" s="403"/>
      <c r="K33" s="403"/>
      <c r="L33" s="403"/>
      <c r="M33" s="403"/>
      <c r="N33" s="403"/>
      <c r="O33" s="403"/>
    </row>
    <row r="34" spans="1:15" ht="10.5" customHeight="1" x14ac:dyDescent="0.25">
      <c r="A34" s="422"/>
      <c r="B34" s="424"/>
      <c r="C34" s="424"/>
      <c r="D34" s="424"/>
      <c r="E34" s="425"/>
      <c r="F34" s="416"/>
      <c r="G34" s="416"/>
      <c r="I34" s="403"/>
      <c r="J34" s="403"/>
      <c r="K34" s="403"/>
      <c r="L34" s="403"/>
      <c r="M34" s="403"/>
      <c r="N34" s="403"/>
      <c r="O34" s="403"/>
    </row>
    <row r="35" spans="1:15" x14ac:dyDescent="0.25">
      <c r="A35" s="422"/>
      <c r="B35" s="426" t="s">
        <v>1414</v>
      </c>
      <c r="C35" s="423"/>
      <c r="D35" s="423"/>
      <c r="E35" s="423"/>
      <c r="I35" s="403"/>
      <c r="J35" s="403"/>
      <c r="K35" s="403"/>
      <c r="L35" s="403"/>
      <c r="M35" s="403"/>
      <c r="N35" s="403"/>
      <c r="O35" s="403"/>
    </row>
    <row r="36" spans="1:15" ht="14.25" customHeight="1" x14ac:dyDescent="0.25">
      <c r="A36" s="422"/>
      <c r="B36" s="424"/>
      <c r="C36" s="424"/>
      <c r="D36" s="424"/>
      <c r="E36" s="425"/>
      <c r="F36" s="416"/>
      <c r="G36" s="416"/>
      <c r="I36" s="403"/>
      <c r="J36" s="403"/>
      <c r="K36" s="403"/>
      <c r="L36" s="403"/>
      <c r="M36" s="403"/>
      <c r="N36" s="403"/>
      <c r="O36" s="403"/>
    </row>
    <row r="37" spans="1:15" ht="27" customHeight="1" x14ac:dyDescent="0.25">
      <c r="A37" s="422"/>
      <c r="B37" s="425" t="s">
        <v>1446</v>
      </c>
      <c r="C37" s="1039"/>
      <c r="D37" s="1039"/>
      <c r="E37" s="423"/>
      <c r="I37" s="403"/>
      <c r="J37" s="403"/>
      <c r="K37" s="403"/>
      <c r="L37" s="403"/>
      <c r="M37" s="403"/>
      <c r="N37" s="403"/>
      <c r="O37" s="403"/>
    </row>
    <row r="38" spans="1:15" ht="14.25" customHeight="1" x14ac:dyDescent="0.25">
      <c r="A38" s="422"/>
      <c r="B38" s="424"/>
      <c r="C38" s="424"/>
      <c r="D38" s="424"/>
      <c r="E38" s="425"/>
      <c r="F38" s="416"/>
      <c r="G38" s="416"/>
      <c r="I38" s="403"/>
      <c r="J38" s="403"/>
      <c r="K38" s="403"/>
      <c r="L38" s="403"/>
      <c r="M38" s="403"/>
      <c r="N38" s="403"/>
      <c r="O38" s="403"/>
    </row>
    <row r="39" spans="1:15" ht="60.75" customHeight="1" x14ac:dyDescent="0.25">
      <c r="A39" s="422"/>
      <c r="B39" s="415" t="s">
        <v>1531</v>
      </c>
      <c r="C39" s="1040" t="str" cm="1">
        <f t="array" ref="C39">IF(ISNA(Tab_sel!$C$84),"",IF(INDEX(Mesures,Tab_sel!$C$86,1)="","Il n'y a pas d'exemple de mesures dissuasives, pour ce scénario, dans la base Méhari",INDEX(Mesures,Tab_sel!$C$86,1)))</f>
        <v/>
      </c>
      <c r="D39" s="1038"/>
      <c r="E39" s="428"/>
      <c r="I39" s="403"/>
      <c r="J39" s="403"/>
      <c r="K39" s="403"/>
      <c r="L39" s="403"/>
      <c r="M39" s="403"/>
      <c r="N39" s="403"/>
      <c r="O39" s="403"/>
    </row>
    <row r="40" spans="1:15" ht="14.25" customHeight="1" x14ac:dyDescent="0.25">
      <c r="A40" s="422"/>
      <c r="B40" s="424"/>
      <c r="C40" s="424"/>
      <c r="D40" s="424"/>
      <c r="E40" s="425"/>
      <c r="F40" s="416"/>
      <c r="G40" s="416"/>
      <c r="I40" s="403"/>
      <c r="J40" s="403"/>
      <c r="K40" s="403"/>
      <c r="L40" s="403"/>
      <c r="M40" s="403"/>
      <c r="N40" s="403"/>
      <c r="O40" s="403"/>
    </row>
    <row r="41" spans="1:15" ht="30" customHeight="1" x14ac:dyDescent="0.25">
      <c r="A41" s="422"/>
      <c r="B41" s="415" t="s">
        <v>1863</v>
      </c>
      <c r="C41" s="1035"/>
      <c r="D41" s="1036"/>
      <c r="E41" s="423"/>
      <c r="I41" s="403"/>
      <c r="J41" s="403"/>
      <c r="K41" s="403"/>
      <c r="L41" s="403"/>
      <c r="M41" s="403"/>
      <c r="N41" s="403"/>
      <c r="O41" s="403"/>
    </row>
    <row r="42" spans="1:15" ht="43.5" customHeight="1" x14ac:dyDescent="0.25">
      <c r="A42" s="422"/>
      <c r="B42" s="423"/>
      <c r="C42" s="1037" t="str">
        <f>IF(ISNA(VLOOKUP(C41,Tab_diss,2,FALSE)),"",VLOOKUP(C41,Tab_diss,2,FALSE))</f>
        <v/>
      </c>
      <c r="D42" s="1038"/>
      <c r="E42" s="423"/>
      <c r="F42" s="215"/>
      <c r="I42" s="403"/>
      <c r="J42" s="403"/>
      <c r="K42" s="403"/>
      <c r="L42" s="403"/>
      <c r="M42" s="403"/>
      <c r="N42" s="403"/>
      <c r="O42" s="403"/>
    </row>
    <row r="43" spans="1:15" ht="14.25" customHeight="1" x14ac:dyDescent="0.25">
      <c r="A43" s="422"/>
      <c r="B43" s="424"/>
      <c r="C43" s="424"/>
      <c r="D43" s="424"/>
      <c r="E43" s="425"/>
      <c r="F43" s="416"/>
      <c r="G43" s="416"/>
      <c r="I43" s="403"/>
      <c r="J43" s="403"/>
      <c r="K43" s="403"/>
      <c r="L43" s="403"/>
      <c r="M43" s="403"/>
      <c r="N43" s="403"/>
      <c r="O43" s="403"/>
    </row>
    <row r="44" spans="1:15" ht="51.75" customHeight="1" x14ac:dyDescent="0.25">
      <c r="A44" s="422"/>
      <c r="B44" s="415" t="s">
        <v>1864</v>
      </c>
      <c r="C44" s="1035"/>
      <c r="D44" s="1036"/>
      <c r="E44" s="425"/>
      <c r="F44" s="416"/>
      <c r="G44" s="416"/>
      <c r="I44" s="403"/>
      <c r="J44" s="403"/>
      <c r="K44" s="403"/>
      <c r="L44" s="403"/>
      <c r="M44" s="403"/>
      <c r="N44" s="403"/>
      <c r="O44" s="403"/>
    </row>
    <row r="45" spans="1:15" ht="14.25" customHeight="1" x14ac:dyDescent="0.25">
      <c r="A45" s="422"/>
      <c r="B45" s="424"/>
      <c r="C45" s="424"/>
      <c r="D45" s="424"/>
      <c r="E45" s="425"/>
      <c r="F45" s="416"/>
      <c r="G45" s="416"/>
      <c r="I45" s="403"/>
      <c r="J45" s="403"/>
      <c r="K45" s="403"/>
      <c r="L45" s="403"/>
      <c r="M45" s="403"/>
      <c r="N45" s="403"/>
      <c r="O45" s="403"/>
    </row>
    <row r="46" spans="1:15" ht="27.75" customHeight="1" x14ac:dyDescent="0.25">
      <c r="A46" s="422"/>
      <c r="B46" s="425" t="s">
        <v>1455</v>
      </c>
      <c r="C46" s="1039"/>
      <c r="D46" s="1039"/>
      <c r="E46" s="423"/>
      <c r="I46" s="403"/>
      <c r="J46" s="403"/>
      <c r="K46" s="403"/>
      <c r="L46" s="403"/>
      <c r="M46" s="403"/>
      <c r="N46" s="403"/>
      <c r="O46" s="403"/>
    </row>
    <row r="47" spans="1:15" ht="14.25" customHeight="1" x14ac:dyDescent="0.25">
      <c r="A47" s="422"/>
      <c r="B47" s="424"/>
      <c r="C47" s="424"/>
      <c r="D47" s="424"/>
      <c r="E47" s="425"/>
      <c r="F47" s="416"/>
      <c r="G47" s="416"/>
      <c r="I47" s="403"/>
      <c r="J47" s="403"/>
      <c r="K47" s="403"/>
      <c r="L47" s="403"/>
      <c r="M47" s="403"/>
      <c r="N47" s="403"/>
      <c r="O47" s="403"/>
    </row>
    <row r="48" spans="1:15" ht="69" customHeight="1" x14ac:dyDescent="0.25">
      <c r="A48" s="422"/>
      <c r="B48" s="415" t="s">
        <v>1532</v>
      </c>
      <c r="C48" s="1040" t="str" cm="1">
        <f t="array" ref="C48">IF(ISNA(Tab_sel!$C$84),"",IF(INDEX(Mesures,Tab_sel!$C$86,2)="","Il n'y a pas d'exemple de mesures préventives, pour ce scénario, dans la base Méhari",INDEX(Mesures,Tab_sel!$C$86,2)))</f>
        <v/>
      </c>
      <c r="D48" s="1038"/>
      <c r="E48" s="428"/>
      <c r="I48" s="403"/>
      <c r="J48" s="403"/>
      <c r="K48" s="403"/>
      <c r="L48" s="403"/>
      <c r="M48" s="403"/>
      <c r="N48" s="403"/>
      <c r="O48" s="403"/>
    </row>
    <row r="49" spans="1:15" ht="12" customHeight="1" x14ac:dyDescent="0.25">
      <c r="A49" s="422"/>
      <c r="B49" s="424"/>
      <c r="C49" s="424"/>
      <c r="D49" s="424"/>
      <c r="E49" s="425"/>
      <c r="F49" s="416"/>
      <c r="G49" s="416"/>
      <c r="I49" s="403"/>
      <c r="J49" s="403"/>
      <c r="K49" s="403"/>
      <c r="L49" s="403"/>
      <c r="M49" s="403"/>
      <c r="N49" s="403"/>
      <c r="O49" s="403"/>
    </row>
    <row r="50" spans="1:15" ht="12" customHeight="1" x14ac:dyDescent="0.25">
      <c r="A50" s="422"/>
      <c r="B50" s="424"/>
      <c r="C50" s="424"/>
      <c r="D50" s="424"/>
      <c r="E50" s="425"/>
      <c r="F50" s="416"/>
      <c r="G50" s="416"/>
      <c r="I50" s="403"/>
      <c r="J50" s="403"/>
      <c r="K50" s="403"/>
      <c r="L50" s="403"/>
      <c r="M50" s="403"/>
      <c r="N50" s="403"/>
      <c r="O50" s="403"/>
    </row>
    <row r="51" spans="1:15" ht="30" customHeight="1" x14ac:dyDescent="0.25">
      <c r="A51" s="422"/>
      <c r="B51" s="415" t="s">
        <v>1863</v>
      </c>
      <c r="C51" s="1035"/>
      <c r="D51" s="1036"/>
      <c r="E51" s="423"/>
      <c r="I51" s="403"/>
      <c r="J51" s="403"/>
      <c r="K51" s="403"/>
      <c r="L51" s="403"/>
      <c r="M51" s="403"/>
      <c r="N51" s="403"/>
      <c r="O51" s="403"/>
    </row>
    <row r="52" spans="1:15" ht="59.25" customHeight="1" x14ac:dyDescent="0.25">
      <c r="A52" s="422"/>
      <c r="B52" s="423"/>
      <c r="C52" s="1037" t="str">
        <f>IF(ISNA(VLOOKUP(C51,Tab_prev,2,FALSE)),"",VLOOKUP(C51,Tab_prev,2,FALSE))</f>
        <v/>
      </c>
      <c r="D52" s="1038"/>
      <c r="E52" s="423"/>
      <c r="I52" s="403"/>
      <c r="J52" s="403"/>
      <c r="K52" s="403"/>
      <c r="L52" s="403"/>
      <c r="M52" s="403"/>
      <c r="N52" s="403"/>
      <c r="O52" s="403"/>
    </row>
    <row r="53" spans="1:15" ht="14.25" customHeight="1" x14ac:dyDescent="0.25">
      <c r="A53" s="422"/>
      <c r="B53" s="424"/>
      <c r="C53" s="424"/>
      <c r="D53" s="424"/>
      <c r="E53" s="425"/>
      <c r="F53" s="416"/>
      <c r="G53" s="416"/>
      <c r="I53" s="403"/>
      <c r="J53" s="403"/>
      <c r="K53" s="403"/>
      <c r="L53" s="403"/>
      <c r="M53" s="403"/>
      <c r="N53" s="403"/>
      <c r="O53" s="403"/>
    </row>
    <row r="54" spans="1:15" ht="55.5" customHeight="1" x14ac:dyDescent="0.25">
      <c r="A54" s="422"/>
      <c r="B54" s="415" t="s">
        <v>1864</v>
      </c>
      <c r="C54" s="1035"/>
      <c r="D54" s="1036"/>
      <c r="E54" s="425"/>
      <c r="F54" s="416"/>
      <c r="G54" s="416"/>
      <c r="I54" s="403"/>
      <c r="J54" s="403"/>
      <c r="K54" s="403"/>
      <c r="L54" s="403"/>
      <c r="M54" s="403"/>
      <c r="N54" s="403"/>
      <c r="O54" s="403"/>
    </row>
    <row r="55" spans="1:15" ht="14.25" customHeight="1" x14ac:dyDescent="0.25">
      <c r="A55" s="422"/>
      <c r="B55" s="424"/>
      <c r="C55" s="424"/>
      <c r="D55" s="424"/>
      <c r="E55" s="425"/>
      <c r="F55" s="416"/>
      <c r="G55" s="416"/>
      <c r="I55" s="403"/>
      <c r="J55" s="403"/>
      <c r="K55" s="403"/>
      <c r="L55" s="403"/>
      <c r="M55" s="403"/>
      <c r="N55" s="403"/>
      <c r="O55" s="403"/>
    </row>
    <row r="56" spans="1:15" ht="30" customHeight="1" x14ac:dyDescent="0.25">
      <c r="A56" s="422"/>
      <c r="B56" s="420" t="s">
        <v>1865</v>
      </c>
      <c r="C56" s="418" t="str" cm="1">
        <f t="array" ref="C56">IFERROR(IF(ISNA(Tab_sel!C68),"",IF(VLOOKUP(Tab_sel!C68,Tabexpo,6)="A",INDEX(base_p,4,7*(IF($C$28="-",$C$27,$C$28)-1)+IF(Param!$C$9="0",1,Param!$C$9)),IF(VLOOKUP(Tab_sel!C68,Tabexpo,6)="E",INDEX(base_p,15,7*(IF($C$28="-",$C$27,$C$28)-1)+IF(Param!$C$9="0",1,Param!$C$9)),INDEX(base_p,27-IF(Param!$C$2="0",1,Param!$C$2),7*(IF($C$28="-",$C$27,$C$28)-1)+IF(Param!$C$9="0",1,Param!$C$9))))),"")</f>
        <v/>
      </c>
      <c r="D56" s="844" t="str">
        <f>IF(ISNA(VLOOKUP(C56,Param!C$48:D$51,2,FALSE)),"",VLOOKUP(C56,Param!C$48:D$51,2,FALSE))</f>
        <v/>
      </c>
      <c r="E56" s="429"/>
      <c r="F56" s="416"/>
      <c r="I56" s="403"/>
      <c r="J56" s="403"/>
      <c r="K56" s="403"/>
      <c r="L56" s="403"/>
      <c r="M56" s="403"/>
      <c r="N56" s="403"/>
      <c r="O56" s="403"/>
    </row>
    <row r="57" spans="1:15" ht="30" customHeight="1" x14ac:dyDescent="0.25">
      <c r="A57" s="408"/>
      <c r="B57" s="458" t="s">
        <v>1922</v>
      </c>
      <c r="C57" s="463" t="s">
        <v>1861</v>
      </c>
      <c r="D57" s="844" t="str">
        <f>IF(ISNA(VLOOKUP(C57,Param!C$48:D$51,2,FALSE)),"",VLOOKUP(C57,Param!C$48:D$51,2,FALSE))</f>
        <v/>
      </c>
      <c r="E57" s="411"/>
      <c r="F57" s="416"/>
      <c r="G57" s="416"/>
      <c r="I57" s="441"/>
      <c r="J57" s="441"/>
      <c r="K57" s="441"/>
      <c r="L57" s="441"/>
      <c r="M57" s="441"/>
      <c r="N57" s="441"/>
      <c r="O57" s="441"/>
    </row>
    <row r="58" spans="1:15" ht="14.25" customHeight="1" x14ac:dyDescent="0.25">
      <c r="A58" s="422"/>
      <c r="B58" s="424"/>
      <c r="C58" s="424"/>
      <c r="D58" s="424"/>
      <c r="E58" s="425"/>
      <c r="F58" s="416"/>
      <c r="G58" s="416"/>
      <c r="I58" s="403"/>
      <c r="J58" s="403"/>
      <c r="K58" s="403"/>
      <c r="L58" s="403"/>
      <c r="M58" s="403"/>
      <c r="N58" s="403"/>
      <c r="O58" s="403"/>
    </row>
    <row r="59" spans="1:15" x14ac:dyDescent="0.25">
      <c r="A59" s="422"/>
      <c r="B59" s="422"/>
      <c r="C59" s="423"/>
      <c r="D59" s="423"/>
      <c r="E59" s="430"/>
      <c r="F59" s="416"/>
      <c r="I59" s="403"/>
      <c r="J59" s="403"/>
      <c r="K59" s="403"/>
      <c r="L59" s="403"/>
      <c r="M59" s="403"/>
      <c r="N59" s="403"/>
      <c r="O59" s="403"/>
    </row>
    <row r="60" spans="1:15" ht="28.5" customHeight="1" x14ac:dyDescent="0.25">
      <c r="A60" s="422"/>
      <c r="B60" s="426" t="s">
        <v>1463</v>
      </c>
      <c r="C60" s="423"/>
      <c r="D60" s="423"/>
      <c r="E60" s="423"/>
      <c r="F60" s="416"/>
      <c r="I60" s="403"/>
      <c r="J60" s="403"/>
      <c r="K60" s="403"/>
      <c r="L60" s="403"/>
      <c r="M60" s="403"/>
      <c r="N60" s="403"/>
      <c r="O60" s="403"/>
    </row>
    <row r="61" spans="1:15" ht="14.25" customHeight="1" x14ac:dyDescent="0.25">
      <c r="A61" s="422"/>
      <c r="B61" s="424"/>
      <c r="C61" s="424"/>
      <c r="D61" s="424"/>
      <c r="E61" s="425"/>
      <c r="F61" s="416"/>
      <c r="G61" s="416"/>
      <c r="I61" s="403"/>
      <c r="J61" s="403"/>
      <c r="K61" s="403"/>
      <c r="L61" s="403"/>
      <c r="M61" s="403"/>
      <c r="N61" s="403"/>
      <c r="O61" s="403"/>
    </row>
    <row r="62" spans="1:15" ht="48.75" customHeight="1" x14ac:dyDescent="0.25">
      <c r="A62" s="422"/>
      <c r="B62" s="427" t="s">
        <v>1464</v>
      </c>
      <c r="C62" s="1039"/>
      <c r="D62" s="1039"/>
      <c r="E62" s="423"/>
      <c r="I62" s="403"/>
      <c r="J62" s="403"/>
      <c r="K62" s="403"/>
      <c r="L62" s="403"/>
      <c r="M62" s="403"/>
      <c r="N62" s="403"/>
      <c r="O62" s="403"/>
    </row>
    <row r="63" spans="1:15" ht="14.25" customHeight="1" x14ac:dyDescent="0.25">
      <c r="A63" s="422"/>
      <c r="B63" s="424"/>
      <c r="C63" s="424"/>
      <c r="D63" s="424"/>
      <c r="E63" s="425"/>
      <c r="F63" s="416"/>
      <c r="G63" s="416"/>
      <c r="I63" s="403"/>
      <c r="J63" s="403"/>
      <c r="K63" s="403"/>
      <c r="L63" s="403"/>
      <c r="M63" s="403"/>
      <c r="N63" s="403"/>
      <c r="O63" s="403"/>
    </row>
    <row r="64" spans="1:15" ht="58.5" customHeight="1" x14ac:dyDescent="0.25">
      <c r="A64" s="422"/>
      <c r="B64" s="415" t="s">
        <v>1533</v>
      </c>
      <c r="C64" s="1040" t="str" cm="1">
        <f t="array" ref="C64">IF(ISNA(Tab_sel!$C$84),"",IF(INDEX(Mesures,Tab_sel!$C$86,3)="","Il n'y a pas d'exemple de mesures de confinement, pour ce scénario, dans la base Méhari",INDEX(Mesures,Tab_sel!$C$86,3)))</f>
        <v/>
      </c>
      <c r="D64" s="1038"/>
      <c r="E64" s="428"/>
      <c r="I64" s="403"/>
      <c r="J64" s="403"/>
      <c r="K64" s="403"/>
      <c r="L64" s="403"/>
      <c r="M64" s="403"/>
      <c r="N64" s="403"/>
      <c r="O64" s="403"/>
    </row>
    <row r="65" spans="1:15" ht="14.25" customHeight="1" x14ac:dyDescent="0.25">
      <c r="A65" s="422"/>
      <c r="B65" s="424"/>
      <c r="C65" s="424"/>
      <c r="D65" s="424"/>
      <c r="E65" s="425"/>
      <c r="F65" s="416"/>
      <c r="G65" s="416"/>
      <c r="I65" s="403"/>
      <c r="J65" s="403"/>
      <c r="K65" s="403"/>
      <c r="L65" s="403"/>
      <c r="M65" s="403"/>
      <c r="N65" s="403"/>
      <c r="O65" s="403"/>
    </row>
    <row r="66" spans="1:15" ht="14.25" customHeight="1" x14ac:dyDescent="0.25">
      <c r="A66" s="422"/>
      <c r="B66" s="424"/>
      <c r="C66" s="424"/>
      <c r="D66" s="424"/>
      <c r="E66" s="425"/>
      <c r="F66" s="416"/>
      <c r="G66" s="416"/>
      <c r="I66" s="403"/>
      <c r="J66" s="403"/>
      <c r="K66" s="403"/>
      <c r="L66" s="403"/>
      <c r="M66" s="403"/>
      <c r="N66" s="403"/>
      <c r="O66" s="403"/>
    </row>
    <row r="67" spans="1:15" ht="30" customHeight="1" x14ac:dyDescent="0.25">
      <c r="A67" s="422"/>
      <c r="B67" s="415" t="s">
        <v>1863</v>
      </c>
      <c r="C67" s="1035"/>
      <c r="D67" s="1036"/>
      <c r="E67" s="423"/>
      <c r="I67" s="403"/>
      <c r="J67" s="403"/>
      <c r="K67" s="403"/>
      <c r="L67" s="403"/>
      <c r="M67" s="403"/>
      <c r="N67" s="403"/>
      <c r="O67" s="403"/>
    </row>
    <row r="68" spans="1:15" ht="51" customHeight="1" x14ac:dyDescent="0.25">
      <c r="A68" s="422"/>
      <c r="B68" s="423"/>
      <c r="C68" s="1037" t="str">
        <f>IF(ISNA(VLOOKUP(C67,Tab_conf,2,FALSE)),"",VLOOKUP(C67,Tab_conf,2,FALSE))</f>
        <v/>
      </c>
      <c r="D68" s="1038"/>
      <c r="E68" s="423"/>
      <c r="I68" s="403"/>
      <c r="J68" s="403"/>
      <c r="K68" s="403"/>
      <c r="L68" s="403"/>
      <c r="M68" s="403"/>
      <c r="N68" s="403"/>
      <c r="O68" s="403"/>
    </row>
    <row r="69" spans="1:15" ht="14.25" customHeight="1" x14ac:dyDescent="0.25">
      <c r="A69" s="422"/>
      <c r="B69" s="424"/>
      <c r="C69" s="424"/>
      <c r="D69" s="424"/>
      <c r="E69" s="425"/>
      <c r="F69" s="416"/>
      <c r="G69" s="416"/>
      <c r="I69" s="403"/>
      <c r="J69" s="403"/>
      <c r="K69" s="403"/>
      <c r="L69" s="403"/>
      <c r="M69" s="403"/>
      <c r="N69" s="403"/>
      <c r="O69" s="403"/>
    </row>
    <row r="70" spans="1:15" ht="55.5" customHeight="1" x14ac:dyDescent="0.25">
      <c r="A70" s="422"/>
      <c r="B70" s="415" t="s">
        <v>1864</v>
      </c>
      <c r="C70" s="1035"/>
      <c r="D70" s="1036"/>
      <c r="E70" s="425"/>
      <c r="F70" s="416"/>
      <c r="G70" s="416"/>
      <c r="I70" s="403"/>
      <c r="J70" s="403"/>
      <c r="K70" s="403"/>
      <c r="L70" s="403"/>
      <c r="M70" s="403"/>
      <c r="N70" s="403"/>
      <c r="O70" s="403"/>
    </row>
    <row r="71" spans="1:15" ht="9.75" customHeight="1" x14ac:dyDescent="0.25">
      <c r="A71" s="422"/>
      <c r="B71" s="426"/>
      <c r="C71" s="423"/>
      <c r="D71" s="423"/>
      <c r="E71" s="423"/>
      <c r="I71" s="403"/>
      <c r="J71" s="403"/>
      <c r="K71" s="403"/>
      <c r="L71" s="403"/>
      <c r="M71" s="403"/>
      <c r="N71" s="403"/>
      <c r="O71" s="403"/>
    </row>
    <row r="72" spans="1:15" ht="53.25" customHeight="1" x14ac:dyDescent="0.25">
      <c r="A72" s="422"/>
      <c r="B72" s="427" t="s">
        <v>1465</v>
      </c>
      <c r="C72" s="1039"/>
      <c r="D72" s="1039"/>
      <c r="E72" s="423"/>
      <c r="I72" s="403"/>
      <c r="J72" s="403"/>
      <c r="K72" s="403"/>
      <c r="L72" s="403"/>
      <c r="M72" s="403"/>
      <c r="N72" s="403"/>
      <c r="O72" s="403"/>
    </row>
    <row r="73" spans="1:15" ht="14.25" customHeight="1" x14ac:dyDescent="0.25">
      <c r="A73" s="422"/>
      <c r="B73" s="424"/>
      <c r="C73" s="424"/>
      <c r="D73" s="424"/>
      <c r="E73" s="425"/>
      <c r="F73" s="416"/>
      <c r="G73" s="416"/>
      <c r="I73" s="403"/>
      <c r="J73" s="403"/>
      <c r="K73" s="403"/>
      <c r="L73" s="403"/>
      <c r="M73" s="403"/>
      <c r="N73" s="403"/>
      <c r="O73" s="403"/>
    </row>
    <row r="74" spans="1:15" ht="46.5" customHeight="1" x14ac:dyDescent="0.25">
      <c r="A74" s="422"/>
      <c r="B74" s="415" t="s">
        <v>1534</v>
      </c>
      <c r="C74" s="1040" t="str" cm="1">
        <f t="array" ref="C74">IF(ISNA(Tab_sel!$C$84),"",IF(INDEX(Mesures,Tab_sel!$C$86,4)="","Il n'y a pas d'exemple de mesures palliatives pour ce scénario, dans la base Méhari",INDEX(Mesures,Tab_sel!$C$86,4)))</f>
        <v/>
      </c>
      <c r="D74" s="1038"/>
      <c r="E74" s="428"/>
      <c r="I74" s="403"/>
      <c r="J74" s="403"/>
      <c r="K74" s="403"/>
      <c r="L74" s="403"/>
      <c r="M74" s="403"/>
      <c r="N74" s="403"/>
      <c r="O74" s="403"/>
    </row>
    <row r="75" spans="1:15" ht="14.25" customHeight="1" x14ac:dyDescent="0.25">
      <c r="A75" s="422"/>
      <c r="B75" s="424"/>
      <c r="C75" s="424"/>
      <c r="D75" s="424"/>
      <c r="E75" s="425"/>
      <c r="F75" s="416"/>
      <c r="G75" s="416"/>
      <c r="I75" s="403"/>
      <c r="J75" s="403"/>
      <c r="K75" s="403"/>
      <c r="L75" s="403"/>
      <c r="M75" s="403"/>
      <c r="N75" s="403"/>
      <c r="O75" s="403"/>
    </row>
    <row r="76" spans="1:15" ht="14.25" customHeight="1" x14ac:dyDescent="0.25">
      <c r="A76" s="422"/>
      <c r="B76" s="424"/>
      <c r="C76" s="424"/>
      <c r="D76" s="424"/>
      <c r="E76" s="425"/>
      <c r="F76" s="416"/>
      <c r="G76" s="416"/>
      <c r="I76" s="403"/>
      <c r="J76" s="403"/>
      <c r="K76" s="403"/>
      <c r="L76" s="403"/>
      <c r="M76" s="403"/>
      <c r="N76" s="403"/>
      <c r="O76" s="403"/>
    </row>
    <row r="77" spans="1:15" ht="30" customHeight="1" x14ac:dyDescent="0.25">
      <c r="A77" s="422"/>
      <c r="B77" s="415" t="s">
        <v>1863</v>
      </c>
      <c r="C77" s="1035"/>
      <c r="D77" s="1036"/>
      <c r="E77" s="423"/>
      <c r="I77" s="403"/>
      <c r="J77" s="403"/>
      <c r="K77" s="403"/>
      <c r="L77" s="403"/>
      <c r="M77" s="403"/>
      <c r="N77" s="403"/>
      <c r="O77" s="403"/>
    </row>
    <row r="78" spans="1:15" ht="77.25" customHeight="1" x14ac:dyDescent="0.25">
      <c r="A78" s="422"/>
      <c r="B78" s="423"/>
      <c r="C78" s="1037" t="str">
        <f>IF(ISNA(VLOOKUP(C77,Tab_pall,2,FALSE)),"",VLOOKUP(C77,Tab_pall,2,FALSE))</f>
        <v/>
      </c>
      <c r="D78" s="1038"/>
      <c r="E78" s="423"/>
      <c r="I78" s="403"/>
      <c r="J78" s="403"/>
      <c r="K78" s="403"/>
      <c r="L78" s="403"/>
      <c r="M78" s="403"/>
      <c r="N78" s="403"/>
      <c r="O78" s="403"/>
    </row>
    <row r="79" spans="1:15" ht="14.25" customHeight="1" x14ac:dyDescent="0.25">
      <c r="A79" s="422"/>
      <c r="B79" s="424"/>
      <c r="C79" s="424"/>
      <c r="D79" s="424"/>
      <c r="E79" s="425"/>
      <c r="F79" s="416"/>
      <c r="G79" s="416"/>
      <c r="I79" s="433"/>
      <c r="J79" s="433"/>
      <c r="K79" s="433"/>
      <c r="L79" s="433"/>
      <c r="M79" s="433"/>
      <c r="N79" s="433"/>
      <c r="O79" s="433"/>
    </row>
    <row r="80" spans="1:15" ht="55.5" customHeight="1" x14ac:dyDescent="0.25">
      <c r="A80" s="422"/>
      <c r="B80" s="415" t="s">
        <v>1864</v>
      </c>
      <c r="C80" s="1035"/>
      <c r="D80" s="1036"/>
      <c r="E80" s="425"/>
      <c r="F80" s="416"/>
      <c r="G80" s="416"/>
      <c r="I80" s="433"/>
      <c r="J80" s="433"/>
      <c r="K80" s="433"/>
      <c r="L80" s="433"/>
      <c r="M80" s="433"/>
      <c r="N80" s="433"/>
      <c r="O80" s="433"/>
    </row>
    <row r="81" spans="1:15" ht="14.25" customHeight="1" x14ac:dyDescent="0.25">
      <c r="A81" s="422"/>
      <c r="B81" s="424"/>
      <c r="C81" s="424"/>
      <c r="D81" s="424"/>
      <c r="E81" s="425"/>
      <c r="F81" s="416"/>
      <c r="G81" s="416"/>
      <c r="I81" s="403"/>
      <c r="J81" s="403"/>
      <c r="K81" s="403"/>
      <c r="L81" s="403"/>
      <c r="M81" s="403"/>
      <c r="N81" s="403"/>
      <c r="O81" s="403"/>
    </row>
    <row r="82" spans="1:15" ht="30" customHeight="1" x14ac:dyDescent="0.25">
      <c r="A82" s="422"/>
      <c r="B82" s="420" t="s">
        <v>1869</v>
      </c>
      <c r="C82" s="418" t="str" cm="1">
        <f t="array" ref="C82">IFERROR(IF(Tab_sel!P24="Erreur","",IF(Tab_sel!O24="D",INDEX(base_i,5-IF(Param!$C$16="0",1,Param!$C$16),7*(IF($C$15="-",$C$14,$C$15)-1)+IF(Param!$C$23="0",1,Param!$C$23)),IF(Tab_sel!O24="I",INDEX(base_i,16-IF(Param!$C$16="0",1,Param!$C$16),7*(IF($C$15="-",$C$14,$C$15)-1)+IF(Param!$C$23="0",1,Param!$C$23)),IF(Tab_sel!O24="C",INDEX(base_i,27-IF(Param!$C$16="0",1,Param!$C$16),7*(IF($C$15="-",$C$14,$C$15)-1)+1),INDEX(base_i,38-IF(Param!$C$16="0",1,Param!$C$16),7*(IF($C$15="-",$C$14,$C$15)-1)+IF(Param!$C$23="0",1,Param!$C$23)))))),"")</f>
        <v/>
      </c>
      <c r="D82" s="844" t="str">
        <f>IF(ISNA(VLOOKUP(C82,Param!C$40:D$43,2,FALSE)),"",VLOOKUP(C82,Param!C$40:D$43,2,FALSE))</f>
        <v/>
      </c>
      <c r="E82" s="429"/>
      <c r="F82" s="416"/>
      <c r="I82" s="223"/>
    </row>
    <row r="83" spans="1:15" ht="30" customHeight="1" x14ac:dyDescent="0.25">
      <c r="A83" s="408"/>
      <c r="B83" s="458" t="s">
        <v>1918</v>
      </c>
      <c r="C83" s="463" t="s">
        <v>1861</v>
      </c>
      <c r="D83" s="844" t="str">
        <f>IF(ISNA(VLOOKUP(C83,Param!C$40:D$43,2,FALSE)),"",VLOOKUP(C83,Param!C$40:D$43,2,FALSE))</f>
        <v/>
      </c>
      <c r="E83" s="411"/>
      <c r="F83" s="416"/>
      <c r="G83" s="416"/>
      <c r="I83" s="441"/>
      <c r="J83" s="441"/>
      <c r="K83" s="441"/>
      <c r="L83" s="441"/>
      <c r="M83" s="441"/>
      <c r="N83" s="441"/>
      <c r="O83" s="441"/>
    </row>
    <row r="84" spans="1:15" ht="21" customHeight="1" x14ac:dyDescent="0.25">
      <c r="A84" s="422"/>
      <c r="B84" s="432"/>
      <c r="C84" s="413"/>
      <c r="D84" s="414"/>
      <c r="E84" s="429"/>
      <c r="F84" s="265"/>
      <c r="I84" s="223"/>
    </row>
    <row r="85" spans="1:15" ht="27.75" customHeight="1" x14ac:dyDescent="0.25">
      <c r="A85" s="422"/>
      <c r="B85" s="424"/>
      <c r="C85" s="424"/>
      <c r="D85" s="424"/>
      <c r="E85" s="425"/>
      <c r="F85" s="416"/>
      <c r="G85" s="416"/>
      <c r="I85" s="403"/>
      <c r="J85" s="403"/>
      <c r="K85" s="403"/>
      <c r="L85" s="403"/>
      <c r="M85" s="403"/>
      <c r="N85" s="403"/>
      <c r="O85" s="403"/>
    </row>
    <row r="86" spans="1:15" ht="35.25" customHeight="1" x14ac:dyDescent="0.25">
      <c r="A86" s="422"/>
      <c r="B86" s="420" t="s">
        <v>1919</v>
      </c>
      <c r="C86" s="418" t="str" cm="1">
        <f t="array" ref="C86">IF(AND(ISNUMBER(FAR_Ir),ISNUMBER(FAR_Pr)),INDEX(base_g,5-IF(FAR_Ir_perso="-",FAR_Ir,FAR_Ir_perso),IF(FAR_Pr_perso="-",FAR_Pr,FAR_Pr_perso)),"")</f>
        <v/>
      </c>
      <c r="D86" s="844" t="str">
        <f>IF(ISNA(VLOOKUP(C86,Param!C$56:E$59,2,FALSE)),"",VLOOKUP(C86,Param!C$56:E$59,2,FALSE))</f>
        <v/>
      </c>
      <c r="E86" s="431"/>
    </row>
    <row r="87" spans="1:15" ht="38.25" customHeight="1" x14ac:dyDescent="0.25">
      <c r="A87" s="422"/>
      <c r="B87" s="412"/>
      <c r="C87" s="1041" t="str">
        <f>IF(ISNA(VLOOKUP(C86,Param!C$56:E$59,3,FALSE)),"",VLOOKUP(C86,Param!C$56:E$59,3,FALSE))</f>
        <v/>
      </c>
      <c r="D87" s="1042"/>
      <c r="E87" s="423"/>
    </row>
    <row r="88" spans="1:15" ht="21" customHeight="1" x14ac:dyDescent="0.25">
      <c r="A88" s="422"/>
      <c r="B88" s="424"/>
      <c r="C88" s="424"/>
      <c r="D88" s="424"/>
      <c r="E88" s="425"/>
      <c r="F88" s="416"/>
      <c r="G88" s="416"/>
      <c r="I88" s="403"/>
      <c r="J88" s="403"/>
      <c r="K88" s="403"/>
      <c r="L88" s="403"/>
      <c r="M88" s="403"/>
      <c r="N88" s="403"/>
      <c r="O88" s="403"/>
    </row>
    <row r="89" spans="1:15" ht="15.6" x14ac:dyDescent="0.25">
      <c r="A89" s="421" t="s">
        <v>2249</v>
      </c>
      <c r="B89" s="422"/>
      <c r="C89" s="422"/>
      <c r="D89" s="422"/>
      <c r="E89" s="423"/>
      <c r="H89" s="65"/>
    </row>
    <row r="90" spans="1:15" ht="14.25" customHeight="1" x14ac:dyDescent="0.25">
      <c r="A90" s="422"/>
      <c r="B90" s="424"/>
      <c r="C90" s="424"/>
      <c r="D90" s="424"/>
      <c r="E90" s="425"/>
      <c r="F90" s="416"/>
      <c r="G90" s="416"/>
      <c r="I90" s="403"/>
      <c r="J90" s="403"/>
      <c r="K90" s="403"/>
      <c r="L90" s="403"/>
      <c r="M90" s="403"/>
      <c r="N90" s="403"/>
      <c r="O90" s="403"/>
    </row>
    <row r="91" spans="1:15" ht="30" customHeight="1" x14ac:dyDescent="0.25">
      <c r="A91" s="422"/>
      <c r="B91" s="415" t="s">
        <v>1866</v>
      </c>
      <c r="C91" s="1035"/>
      <c r="D91" s="1036"/>
      <c r="E91" s="423"/>
    </row>
    <row r="92" spans="1:15" x14ac:dyDescent="0.25">
      <c r="A92" s="422"/>
      <c r="B92" s="422"/>
      <c r="C92" s="423"/>
      <c r="D92" s="423"/>
      <c r="E92" s="423"/>
    </row>
    <row r="93" spans="1:15" ht="15.6" x14ac:dyDescent="0.25">
      <c r="A93" s="421" t="s">
        <v>1783</v>
      </c>
      <c r="B93" s="422"/>
      <c r="C93" s="423"/>
      <c r="D93" s="423"/>
      <c r="E93" s="423"/>
      <c r="H93" s="65"/>
    </row>
    <row r="94" spans="1:15" ht="14.25" customHeight="1" x14ac:dyDescent="0.25">
      <c r="A94" s="422"/>
      <c r="B94" s="424"/>
      <c r="C94" s="424"/>
      <c r="D94" s="424"/>
      <c r="E94" s="425"/>
      <c r="F94" s="416"/>
      <c r="G94" s="416"/>
      <c r="I94" s="403"/>
      <c r="J94" s="403"/>
      <c r="K94" s="403"/>
      <c r="L94" s="403"/>
      <c r="M94" s="403"/>
      <c r="N94" s="403"/>
      <c r="O94" s="403"/>
    </row>
    <row r="95" spans="1:15" ht="59.25" customHeight="1" x14ac:dyDescent="0.25">
      <c r="A95" s="422"/>
      <c r="B95" s="415" t="s">
        <v>1871</v>
      </c>
      <c r="C95" s="1035"/>
      <c r="D95" s="1036"/>
      <c r="E95" s="423"/>
      <c r="I95" s="333"/>
    </row>
    <row r="96" spans="1:15" x14ac:dyDescent="0.25">
      <c r="A96" s="422"/>
      <c r="B96" s="422"/>
      <c r="C96" s="423"/>
      <c r="D96" s="423"/>
      <c r="E96" s="423"/>
    </row>
  </sheetData>
  <sheetProtection sheet="1" objects="1" scenarios="1" selectLockedCells="1"/>
  <mergeCells count="43">
    <mergeCell ref="C16:D16"/>
    <mergeCell ref="C18:D18"/>
    <mergeCell ref="D2:D3"/>
    <mergeCell ref="E2:E3"/>
    <mergeCell ref="C6:D6"/>
    <mergeCell ref="C8:D8"/>
    <mergeCell ref="C10:D10"/>
    <mergeCell ref="C12:D12"/>
    <mergeCell ref="C7:D7"/>
    <mergeCell ref="C11:D11"/>
    <mergeCell ref="C17:D17"/>
    <mergeCell ref="C48:D48"/>
    <mergeCell ref="A2:A3"/>
    <mergeCell ref="B2:B3"/>
    <mergeCell ref="C2:C3"/>
    <mergeCell ref="C80:D80"/>
    <mergeCell ref="C46:D46"/>
    <mergeCell ref="C31:D31"/>
    <mergeCell ref="C44:D44"/>
    <mergeCell ref="C52:D52"/>
    <mergeCell ref="C68:D68"/>
    <mergeCell ref="C21:D21"/>
    <mergeCell ref="C74:D74"/>
    <mergeCell ref="C42:D42"/>
    <mergeCell ref="C41:D41"/>
    <mergeCell ref="C9:D9"/>
    <mergeCell ref="C19:D19"/>
    <mergeCell ref="B23:C23"/>
    <mergeCell ref="C25:D25"/>
    <mergeCell ref="C78:D78"/>
    <mergeCell ref="C91:D91"/>
    <mergeCell ref="C95:D95"/>
    <mergeCell ref="C37:D37"/>
    <mergeCell ref="C39:D39"/>
    <mergeCell ref="C51:D51"/>
    <mergeCell ref="C67:D67"/>
    <mergeCell ref="C77:D77"/>
    <mergeCell ref="C62:D62"/>
    <mergeCell ref="C64:D64"/>
    <mergeCell ref="C72:D72"/>
    <mergeCell ref="C87:D87"/>
    <mergeCell ref="C54:D54"/>
    <mergeCell ref="C70:D70"/>
  </mergeCells>
  <conditionalFormatting sqref="C10:D10">
    <cfRule type="expression" dxfId="19" priority="11">
      <formula>AND(ISERROR(Sel_ID_risk &gt;0),ISERROR(VLOOKUP($C$10,Type_de_conséquence_à_sélectionner,1,FALSE)))</formula>
    </cfRule>
  </conditionalFormatting>
  <conditionalFormatting sqref="C8 C10 C12 C17 C19 C41 C51 C67 C77 C91">
    <cfRule type="containsBlanks" dxfId="18" priority="3">
      <formula>LEN(TRIM(C8))=0</formula>
    </cfRule>
  </conditionalFormatting>
  <conditionalFormatting sqref="C12">
    <cfRule type="expression" dxfId="17" priority="4">
      <formula>AND(ISERROR(Sel_ID_risk &gt;0),ISERROR(VLOOKUP($C$12,Actif_support_à_sélectionner,1,FALSE)))</formula>
    </cfRule>
  </conditionalFormatting>
  <conditionalFormatting sqref="C17">
    <cfRule type="expression" dxfId="16" priority="14">
      <formula>AND(ISERROR(Sel_ID_risk &gt;0),ISERROR(VLOOKUP($C$17,Dommage_à_sélectionner,1,FALSE)))</formula>
    </cfRule>
  </conditionalFormatting>
  <conditionalFormatting sqref="C19">
    <cfRule type="expression" dxfId="15" priority="16">
      <formula>AND(ISERROR(Sel_ID_risk &gt;0),ISERROR(VLOOKUP($C$19,Type_d_événement_à_sélectionner,1,FALSE)))</formula>
    </cfRule>
  </conditionalFormatting>
  <conditionalFormatting sqref="C25">
    <cfRule type="containsBlanks" dxfId="14" priority="1">
      <formula>LEN(TRIM(C25))=0</formula>
    </cfRule>
  </conditionalFormatting>
  <conditionalFormatting sqref="C25">
    <cfRule type="expression" dxfId="13" priority="2">
      <formula>AND(ISERROR(Sel_ID_risk &gt;0),ISERROR(VLOOKUP($C$25, Circonstance_à_sélectionner,1,FALSE)))</formula>
    </cfRule>
  </conditionalFormatting>
  <dataValidations count="13">
    <dataValidation type="list" allowBlank="1" showInputMessage="1" showErrorMessage="1" sqref="C8" xr:uid="{2EB846C4-71BD-4FB2-AB9A-52E0EA66DE06}">
      <formula1>Actifs_à_sélectionner</formula1>
    </dataValidation>
    <dataValidation type="list" allowBlank="1" showInputMessage="1" showErrorMessage="1" sqref="C10" xr:uid="{78CD1282-3056-4B7D-A714-CEF76DDBA7D1}">
      <formula1>Type_de_conséquence_à_sélectionner</formula1>
    </dataValidation>
    <dataValidation type="list" allowBlank="1" showInputMessage="1" showErrorMessage="1" sqref="C12" xr:uid="{50451DCA-BC2F-4B66-A543-CAF8F0895BB6}">
      <formula1>Actif_support_à_sélectionner</formula1>
    </dataValidation>
    <dataValidation type="list" allowBlank="1" showInputMessage="1" showErrorMessage="1" sqref="C17" xr:uid="{EEAB4AD7-459F-4039-A794-BF286680F580}">
      <formula1>Dommage_à_sélectionner</formula1>
    </dataValidation>
    <dataValidation type="list" allowBlank="1" showInputMessage="1" showErrorMessage="1" sqref="C41:D41" xr:uid="{240E0544-FC26-4187-9B9D-E37B651BEA32}">
      <formula1>Mes_Diss_à_sélectionner</formula1>
    </dataValidation>
    <dataValidation type="list" allowBlank="1" showInputMessage="1" showErrorMessage="1" sqref="C51:D51" xr:uid="{E9F12580-2D4B-4B51-81C1-D67F26BD8646}">
      <formula1>Mes_Prev_à_sélectionner</formula1>
    </dataValidation>
    <dataValidation type="list" allowBlank="1" showInputMessage="1" showErrorMessage="1" sqref="C67:D67" xr:uid="{F4CF9F54-E379-455C-A3E2-8EDF31396F53}">
      <formula1>Mes_Conf_à_sélectionner</formula1>
    </dataValidation>
    <dataValidation type="list" allowBlank="1" showInputMessage="1" showErrorMessage="1" sqref="C77:D77" xr:uid="{3C250551-FF8D-4C12-9276-B9D00D623F84}">
      <formula1>Mes_Pall_à_sélectionner</formula1>
    </dataValidation>
    <dataValidation type="list" allowBlank="1" showInputMessage="1" showErrorMessage="1" sqref="C91:D91" xr:uid="{1922B7F9-72D5-4603-AD46-C129C8577C10}">
      <formula1>Dec_et_Pac</formula1>
    </dataValidation>
    <dataValidation type="list" allowBlank="1" showInputMessage="1" showErrorMessage="1" sqref="C19" xr:uid="{4EE56605-9B12-4F5B-BC25-3B79D9E14A66}">
      <formula1>Type_d_événement_à_sélectionner</formula1>
    </dataValidation>
    <dataValidation type="list" showInputMessage="1" showErrorMessage="1" sqref="C83 C28 C57 C15" xr:uid="{C133FF5D-A242-4FCA-9BA7-70CC31CBDD59}">
      <formula1>"-,1,2,3,4"</formula1>
    </dataValidation>
    <dataValidation type="list" allowBlank="1" showInputMessage="1" showErrorMessage="1" sqref="D23" xr:uid="{07F9ACC3-47BA-4340-A6F4-74483288052A}">
      <formula1>Type_analyse_scénario</formula1>
    </dataValidation>
    <dataValidation type="list" allowBlank="1" showInputMessage="1" showErrorMessage="1" sqref="C25" xr:uid="{F749611D-E40E-42BC-AA07-573E4914490B}">
      <formula1>Circonstance_à_sélectionner</formula1>
    </dataValidation>
  </dataValidations>
  <printOptions horizontalCentered="1"/>
  <pageMargins left="0.31496062992125984" right="0.31496062992125984" top="0.35433070866141736" bottom="0.35433070866141736" header="0" footer="0"/>
  <pageSetup paperSize="9" scale="56" fitToHeight="3" orientation="portrait" r:id="rId1"/>
  <rowBreaks count="1" manualBreakCount="1">
    <brk id="59" max="4"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7A5C3-9D82-4923-A642-C5EAC3781754}">
  <sheetPr codeName="Feuil12"/>
  <dimension ref="A1:O105"/>
  <sheetViews>
    <sheetView showGridLines="0" showRowColHeaders="0" zoomScaleNormal="100" zoomScaleSheetLayoutView="70" workbookViewId="0">
      <pane xSplit="5" ySplit="1" topLeftCell="F15" activePane="bottomRight" state="frozen"/>
      <selection activeCell="J10" sqref="J10"/>
      <selection pane="topRight" activeCell="J10" sqref="J10"/>
      <selection pane="bottomLeft" activeCell="J10" sqref="J10"/>
      <selection pane="bottomRight" activeCell="A23" sqref="A23:XFD24"/>
    </sheetView>
  </sheetViews>
  <sheetFormatPr baseColWidth="10" defaultColWidth="0" defaultRowHeight="13.8" x14ac:dyDescent="0.25"/>
  <cols>
    <col min="1" max="1" width="11.109375" customWidth="1"/>
    <col min="2" max="2" width="41.5546875" customWidth="1"/>
    <col min="3" max="3" width="22.88671875" style="215" customWidth="1"/>
    <col min="4" max="4" width="76.5546875" style="215" customWidth="1"/>
    <col min="5" max="5" width="12.6640625" style="215" customWidth="1"/>
    <col min="6" max="6" width="26.109375" customWidth="1"/>
    <col min="7" max="7" width="14.88671875" customWidth="1"/>
    <col min="8" max="8" width="11.44140625" hidden="1" customWidth="1"/>
    <col min="9" max="9" width="32" hidden="1" customWidth="1"/>
    <col min="10" max="10" width="11.44140625" hidden="1" customWidth="1"/>
    <col min="11" max="11" width="12.5546875" hidden="1" customWidth="1"/>
    <col min="12" max="12" width="12.33203125" hidden="1" customWidth="1"/>
    <col min="13" max="15" width="0" hidden="1" customWidth="1"/>
    <col min="16" max="16384" width="11.44140625" hidden="1"/>
  </cols>
  <sheetData>
    <row r="1" spans="1:15" ht="71.25" customHeight="1" x14ac:dyDescent="0.3">
      <c r="A1" s="756" t="s">
        <v>2251</v>
      </c>
      <c r="B1" s="633"/>
      <c r="C1" s="752"/>
      <c r="D1" s="752"/>
      <c r="E1" s="752"/>
    </row>
    <row r="2" spans="1:15" ht="24" customHeight="1" x14ac:dyDescent="0.25">
      <c r="A2" s="1063" t="s">
        <v>2239</v>
      </c>
      <c r="B2" s="1063"/>
      <c r="C2" s="1063"/>
      <c r="D2" s="1063"/>
      <c r="E2" s="1064"/>
      <c r="F2" s="416"/>
      <c r="G2" s="416"/>
    </row>
    <row r="3" spans="1:15" ht="25.5" customHeight="1" x14ac:dyDescent="0.25">
      <c r="A3" s="1063"/>
      <c r="B3" s="1063"/>
      <c r="C3" s="1063"/>
      <c r="D3" s="1063"/>
      <c r="E3" s="1064"/>
      <c r="F3" s="416"/>
      <c r="G3" s="416"/>
      <c r="I3" s="441"/>
      <c r="J3" s="441"/>
      <c r="K3" s="441"/>
      <c r="L3" s="441"/>
      <c r="M3" s="441"/>
      <c r="N3" s="441"/>
      <c r="O3" s="441"/>
    </row>
    <row r="4" spans="1:15" ht="22.5" customHeight="1" x14ac:dyDescent="0.25">
      <c r="A4" s="407" t="s">
        <v>1082</v>
      </c>
      <c r="B4" s="407"/>
      <c r="C4" s="409"/>
      <c r="D4" s="409"/>
      <c r="E4" s="409"/>
      <c r="F4" s="416"/>
      <c r="G4" s="417"/>
      <c r="H4" s="65"/>
      <c r="I4" s="441"/>
      <c r="J4" s="441"/>
      <c r="K4" s="441"/>
      <c r="L4" s="441"/>
      <c r="M4" s="441"/>
      <c r="N4" s="441"/>
      <c r="O4" s="441"/>
    </row>
    <row r="5" spans="1:15" ht="14.25" customHeight="1" x14ac:dyDescent="0.25">
      <c r="A5" s="408"/>
      <c r="B5" s="865"/>
      <c r="C5" s="865"/>
      <c r="D5" s="865"/>
      <c r="E5" s="410"/>
      <c r="F5" s="416"/>
      <c r="G5" s="417"/>
      <c r="I5" s="441"/>
      <c r="J5" s="441"/>
      <c r="K5" s="441"/>
      <c r="L5" s="441"/>
      <c r="M5" s="441"/>
      <c r="N5" s="441"/>
      <c r="O5" s="441"/>
    </row>
    <row r="6" spans="1:15" ht="30" customHeight="1" x14ac:dyDescent="0.25">
      <c r="A6" s="408"/>
      <c r="B6" s="866" t="s">
        <v>1083</v>
      </c>
      <c r="C6" s="1044" t="str">
        <f>IF([2]Actifs_primaires!D3="","",[2]Actifs_primaires!D3)</f>
        <v/>
      </c>
      <c r="D6" s="1042"/>
      <c r="E6" s="410"/>
      <c r="F6" s="416"/>
      <c r="G6" s="417"/>
      <c r="I6" s="441"/>
      <c r="J6" s="441"/>
      <c r="K6" s="441"/>
      <c r="L6" s="441"/>
      <c r="M6" s="441"/>
      <c r="N6" s="441"/>
      <c r="O6" s="441"/>
    </row>
    <row r="7" spans="1:15" ht="12" customHeight="1" x14ac:dyDescent="0.25">
      <c r="A7" s="408"/>
      <c r="B7" s="865"/>
      <c r="C7" s="1045"/>
      <c r="D7" s="1045"/>
      <c r="E7" s="410"/>
      <c r="F7" s="416"/>
      <c r="G7" s="417"/>
      <c r="I7" s="441"/>
      <c r="J7" s="441"/>
      <c r="K7" s="441"/>
      <c r="L7" s="441"/>
      <c r="M7" s="441"/>
      <c r="N7" s="441"/>
      <c r="O7" s="441"/>
    </row>
    <row r="8" spans="1:15" ht="30" customHeight="1" x14ac:dyDescent="0.25">
      <c r="A8" s="408"/>
      <c r="B8" s="866" t="s">
        <v>1084</v>
      </c>
      <c r="C8" s="1058"/>
      <c r="D8" s="1059"/>
      <c r="E8" s="410"/>
      <c r="F8" s="416"/>
      <c r="G8" s="417"/>
      <c r="I8" s="441"/>
      <c r="J8" s="441"/>
      <c r="K8" s="441"/>
      <c r="L8" s="441"/>
      <c r="M8" s="441"/>
      <c r="N8" s="441"/>
      <c r="O8" s="441"/>
    </row>
    <row r="9" spans="1:15" ht="12" customHeight="1" x14ac:dyDescent="0.25">
      <c r="A9" s="408"/>
      <c r="B9" s="865"/>
      <c r="C9" s="1045"/>
      <c r="D9" s="1045"/>
      <c r="E9" s="410"/>
      <c r="F9" s="416"/>
      <c r="G9" s="417"/>
      <c r="I9" s="441"/>
      <c r="J9" s="441"/>
      <c r="K9" s="441"/>
      <c r="L9" s="441"/>
      <c r="M9" s="441"/>
      <c r="N9" s="441"/>
      <c r="O9" s="441"/>
    </row>
    <row r="10" spans="1:15" ht="30" customHeight="1" x14ac:dyDescent="0.25">
      <c r="A10" s="408"/>
      <c r="B10" s="866" t="s">
        <v>1705</v>
      </c>
      <c r="C10" s="1058"/>
      <c r="D10" s="1059"/>
      <c r="E10" s="410"/>
      <c r="F10" s="416"/>
      <c r="G10" s="417"/>
      <c r="I10" s="441"/>
      <c r="J10" s="441"/>
      <c r="K10" s="441"/>
      <c r="L10" s="441"/>
      <c r="M10" s="441"/>
      <c r="N10" s="441"/>
      <c r="O10" s="441"/>
    </row>
    <row r="11" spans="1:15" ht="12" customHeight="1" x14ac:dyDescent="0.25">
      <c r="A11" s="408"/>
      <c r="B11" s="865"/>
      <c r="C11" s="1045"/>
      <c r="D11" s="1045"/>
      <c r="E11" s="410"/>
      <c r="F11" s="416"/>
      <c r="G11" s="417"/>
      <c r="I11" s="441"/>
      <c r="J11" s="441"/>
      <c r="K11" s="441"/>
      <c r="L11" s="441"/>
      <c r="M11" s="441"/>
      <c r="N11" s="441"/>
      <c r="O11" s="441"/>
    </row>
    <row r="12" spans="1:15" ht="30" customHeight="1" x14ac:dyDescent="0.25">
      <c r="A12" s="408"/>
      <c r="B12" s="866" t="s">
        <v>1706</v>
      </c>
      <c r="C12" s="1058"/>
      <c r="D12" s="1059"/>
      <c r="E12" s="410"/>
      <c r="F12" s="416"/>
      <c r="G12" s="417"/>
      <c r="I12" s="439"/>
      <c r="J12" s="441"/>
      <c r="K12" s="441"/>
      <c r="L12" s="441"/>
      <c r="M12" s="441"/>
      <c r="N12" s="441"/>
      <c r="O12" s="441"/>
    </row>
    <row r="13" spans="1:15" ht="12" customHeight="1" x14ac:dyDescent="0.25">
      <c r="A13" s="408"/>
      <c r="B13" s="865"/>
      <c r="C13" s="865"/>
      <c r="D13" s="865"/>
      <c r="E13" s="410"/>
      <c r="F13" s="416"/>
      <c r="G13" s="417"/>
      <c r="I13" s="441"/>
      <c r="J13" s="441"/>
      <c r="K13" s="441"/>
      <c r="L13" s="441"/>
      <c r="M13" s="441"/>
      <c r="N13" s="441"/>
      <c r="O13" s="441"/>
    </row>
    <row r="14" spans="1:15" ht="30" customHeight="1" x14ac:dyDescent="0.25">
      <c r="A14" s="408"/>
      <c r="B14" s="867" t="s">
        <v>1849</v>
      </c>
      <c r="C14" s="418">
        <v>4</v>
      </c>
      <c r="D14" s="862" t="str">
        <f>IF(ISNA(VLOOKUP(C14,Param!C40:D43,2,FALSE)),"",VLOOKUP(C14,Param!C40:D43,2,FALSE))</f>
        <v>(Vital)</v>
      </c>
      <c r="E14" s="411"/>
      <c r="F14" s="416"/>
      <c r="G14" s="417"/>
      <c r="I14" s="441"/>
      <c r="J14" s="441"/>
      <c r="K14" s="441"/>
      <c r="L14" s="441"/>
      <c r="M14" s="441"/>
      <c r="N14" s="441"/>
      <c r="O14" s="441"/>
    </row>
    <row r="15" spans="1:15" ht="22.5" customHeight="1" x14ac:dyDescent="0.25">
      <c r="A15" s="408"/>
      <c r="B15" s="868" t="s">
        <v>1920</v>
      </c>
      <c r="C15" s="869" t="s">
        <v>1861</v>
      </c>
      <c r="D15" s="862" t="str">
        <f>IF(ISNA(VLOOKUP(C15,Param!C40:D43,2,FALSE)),"",VLOOKUP(C15,Param!C40:D43,2,FALSE))</f>
        <v/>
      </c>
      <c r="E15" s="411"/>
      <c r="F15" s="416"/>
      <c r="G15" s="417"/>
      <c r="I15" s="441"/>
      <c r="J15" s="441"/>
      <c r="K15" s="441"/>
      <c r="L15" s="441"/>
      <c r="M15" s="441"/>
      <c r="N15" s="441"/>
      <c r="O15" s="441"/>
    </row>
    <row r="16" spans="1:15" ht="12" customHeight="1" x14ac:dyDescent="0.25">
      <c r="A16" s="408"/>
      <c r="B16" s="870"/>
      <c r="C16" s="1045"/>
      <c r="D16" s="1045"/>
      <c r="E16" s="410"/>
      <c r="F16" s="416"/>
      <c r="G16" s="417"/>
      <c r="I16" s="441"/>
      <c r="J16" s="441"/>
      <c r="K16" s="441"/>
      <c r="L16" s="441"/>
      <c r="M16" s="441"/>
      <c r="N16" s="441"/>
      <c r="O16" s="441"/>
    </row>
    <row r="17" spans="1:15" ht="30" customHeight="1" x14ac:dyDescent="0.25">
      <c r="A17" s="408"/>
      <c r="B17" s="866" t="s">
        <v>1106</v>
      </c>
      <c r="C17" s="1058"/>
      <c r="D17" s="1059"/>
      <c r="E17" s="410"/>
      <c r="F17" s="416"/>
      <c r="G17" s="417"/>
      <c r="I17" s="441"/>
      <c r="J17" s="441"/>
      <c r="K17" s="441"/>
      <c r="L17" s="441"/>
      <c r="M17" s="441"/>
      <c r="N17" s="441"/>
      <c r="O17" s="441"/>
    </row>
    <row r="18" spans="1:15" ht="12" customHeight="1" x14ac:dyDescent="0.25">
      <c r="A18" s="408"/>
      <c r="B18" s="865"/>
      <c r="C18" s="1045"/>
      <c r="D18" s="1045"/>
      <c r="E18" s="410"/>
      <c r="F18" s="416"/>
      <c r="G18" s="417"/>
      <c r="I18" s="441"/>
      <c r="J18" s="441"/>
      <c r="K18" s="441"/>
      <c r="L18" s="441"/>
      <c r="M18" s="441"/>
      <c r="N18" s="441"/>
      <c r="O18" s="441"/>
    </row>
    <row r="19" spans="1:15" ht="40.5" customHeight="1" x14ac:dyDescent="0.25">
      <c r="A19" s="408"/>
      <c r="B19" s="866" t="s">
        <v>1410</v>
      </c>
      <c r="C19" s="1058"/>
      <c r="D19" s="1059"/>
      <c r="E19" s="409"/>
      <c r="F19" s="416"/>
      <c r="G19" s="417"/>
      <c r="I19" s="441"/>
      <c r="J19" s="441"/>
      <c r="K19" s="441"/>
      <c r="L19" s="441"/>
      <c r="M19" s="441"/>
      <c r="N19" s="441"/>
      <c r="O19" s="441"/>
    </row>
    <row r="20" spans="1:15" ht="12" customHeight="1" x14ac:dyDescent="0.25">
      <c r="A20" s="408"/>
      <c r="B20" s="412"/>
      <c r="C20" s="412"/>
      <c r="D20" s="412"/>
      <c r="E20" s="410"/>
      <c r="F20" s="416"/>
      <c r="G20" s="416"/>
      <c r="I20" s="441"/>
      <c r="J20" s="441"/>
      <c r="K20" s="441"/>
      <c r="L20" s="441"/>
      <c r="M20" s="441"/>
      <c r="N20" s="441"/>
      <c r="O20" s="441"/>
    </row>
    <row r="21" spans="1:15" ht="27" customHeight="1" x14ac:dyDescent="0.25">
      <c r="A21" s="408"/>
      <c r="B21" s="1060" t="s">
        <v>2355</v>
      </c>
      <c r="C21" s="1061"/>
      <c r="D21" s="1062"/>
      <c r="E21" s="410"/>
      <c r="F21" s="416"/>
      <c r="G21" s="416"/>
      <c r="I21" s="441"/>
      <c r="J21" s="441"/>
      <c r="K21" s="441"/>
      <c r="L21" s="441"/>
      <c r="M21" s="441"/>
      <c r="N21" s="441"/>
      <c r="O21" s="441"/>
    </row>
    <row r="22" spans="1:15" ht="12" customHeight="1" x14ac:dyDescent="0.25">
      <c r="A22" s="408"/>
      <c r="B22" s="412"/>
      <c r="C22" s="412"/>
      <c r="D22" s="412"/>
      <c r="E22" s="410"/>
      <c r="F22" s="416"/>
      <c r="G22" s="416"/>
      <c r="I22" s="441"/>
      <c r="J22" s="441"/>
      <c r="K22" s="441"/>
      <c r="L22" s="441"/>
      <c r="M22" s="441"/>
      <c r="N22" s="441"/>
      <c r="O22" s="441"/>
    </row>
    <row r="23" spans="1:15" ht="47.1" hidden="1" customHeight="1" x14ac:dyDescent="0.25">
      <c r="A23" s="408"/>
      <c r="B23" s="415" t="s">
        <v>2313</v>
      </c>
      <c r="C23" s="1050"/>
      <c r="D23" s="1051"/>
      <c r="E23" s="410"/>
      <c r="F23" s="416"/>
      <c r="G23" s="416"/>
      <c r="I23" s="441"/>
      <c r="J23" s="441"/>
      <c r="K23" s="441"/>
      <c r="L23" s="441"/>
      <c r="M23" s="441"/>
      <c r="N23" s="441"/>
      <c r="O23" s="441"/>
    </row>
    <row r="24" spans="1:15" ht="12" hidden="1" customHeight="1" x14ac:dyDescent="0.25">
      <c r="A24" s="408"/>
      <c r="B24" s="412"/>
      <c r="C24" s="412"/>
      <c r="D24" s="412"/>
      <c r="E24" s="410"/>
      <c r="F24" s="416"/>
      <c r="G24" s="416"/>
      <c r="I24" s="441"/>
      <c r="J24" s="441"/>
      <c r="K24" s="441"/>
      <c r="L24" s="441"/>
      <c r="M24" s="441"/>
      <c r="N24" s="441"/>
      <c r="O24" s="441"/>
    </row>
    <row r="25" spans="1:15" ht="30" customHeight="1" x14ac:dyDescent="0.25">
      <c r="A25" s="408"/>
      <c r="B25" s="867" t="s">
        <v>1848</v>
      </c>
      <c r="C25" s="418">
        <v>3</v>
      </c>
      <c r="D25" s="862" t="str">
        <f>IF(ISNA(VLOOKUP(C25,Param!C48:D51,2,FALSE)),"",VLOOKUP(C25,Param!C48:D51,2,FALSE))</f>
        <v>(Probable)</v>
      </c>
      <c r="E25" s="411"/>
      <c r="F25" s="416"/>
      <c r="G25" s="416"/>
      <c r="I25" s="441"/>
      <c r="J25" s="441"/>
      <c r="K25" s="441"/>
      <c r="L25" s="441"/>
      <c r="M25" s="441"/>
      <c r="N25" s="441"/>
      <c r="O25" s="441"/>
    </row>
    <row r="26" spans="1:15" ht="27.75" customHeight="1" x14ac:dyDescent="0.25">
      <c r="A26" s="408"/>
      <c r="B26" s="868" t="s">
        <v>1921</v>
      </c>
      <c r="C26" s="869" t="s">
        <v>1861</v>
      </c>
      <c r="D26" s="862" t="str">
        <f>IF(ISNA(VLOOKUP(C26,Param!C48:D51,2,FALSE)),"",VLOOKUP(C26,Param!C48:D51,2,FALSE))</f>
        <v/>
      </c>
      <c r="E26" s="411"/>
      <c r="F26" s="416"/>
      <c r="G26" s="416"/>
      <c r="I26" s="441"/>
      <c r="J26" s="441"/>
      <c r="K26" s="441"/>
      <c r="L26" s="441"/>
      <c r="M26" s="441"/>
      <c r="N26" s="441"/>
      <c r="O26" s="441"/>
    </row>
    <row r="27" spans="1:15" ht="12" customHeight="1" x14ac:dyDescent="0.25">
      <c r="A27" s="408"/>
      <c r="B27" s="865"/>
      <c r="C27" s="865"/>
      <c r="D27" s="865"/>
      <c r="E27" s="410"/>
      <c r="F27" s="416"/>
      <c r="G27" s="416"/>
      <c r="I27" s="441"/>
      <c r="J27" s="441"/>
      <c r="K27" s="441"/>
      <c r="L27" s="441"/>
      <c r="M27" s="441"/>
      <c r="N27" s="441"/>
      <c r="O27" s="441"/>
    </row>
    <row r="28" spans="1:15" ht="33" customHeight="1" x14ac:dyDescent="0.25">
      <c r="A28" s="408"/>
      <c r="B28" s="867" t="s">
        <v>1923</v>
      </c>
      <c r="C28" s="418">
        <v>4</v>
      </c>
      <c r="D28" s="862" t="str">
        <f>IF(ISNA(VLOOKUP(C28,Param!C56:D59,2,FALSE)),"",VLOOKUP(C28,Param!C56:D59,2,FALSE))</f>
        <v>Risque insupportable</v>
      </c>
      <c r="E28" s="411"/>
      <c r="F28" s="416"/>
      <c r="G28" s="416"/>
      <c r="I28" s="441"/>
      <c r="J28" s="441"/>
      <c r="K28" s="441"/>
      <c r="L28" s="441"/>
      <c r="M28" s="441"/>
      <c r="N28" s="441"/>
      <c r="O28" s="441"/>
    </row>
    <row r="29" spans="1:15" ht="21" customHeight="1" x14ac:dyDescent="0.25">
      <c r="A29" s="408"/>
      <c r="B29" s="865"/>
      <c r="C29" s="1041" t="str">
        <f>IF(ISNA(VLOOKUP(C28,[2]Param!C60:E63,3,FALSE)),"",VLOOKUP(C28,[2]Param!C60:E63,3,FALSE))</f>
        <v/>
      </c>
      <c r="D29" s="1042"/>
      <c r="E29" s="410"/>
      <c r="F29" s="416"/>
      <c r="G29" s="416"/>
      <c r="I29" s="441"/>
      <c r="J29" s="441"/>
      <c r="K29" s="441"/>
      <c r="L29" s="441"/>
      <c r="M29" s="441"/>
      <c r="N29" s="441"/>
      <c r="O29" s="441"/>
    </row>
    <row r="30" spans="1:15" ht="24" customHeight="1" x14ac:dyDescent="0.25">
      <c r="A30" s="408"/>
      <c r="B30" s="865"/>
      <c r="C30" s="865"/>
      <c r="D30" s="865"/>
      <c r="E30" s="410"/>
      <c r="F30" s="416"/>
      <c r="G30" s="416"/>
      <c r="I30" s="441"/>
      <c r="J30" s="441"/>
      <c r="K30" s="441"/>
      <c r="L30" s="441"/>
      <c r="M30" s="441"/>
      <c r="N30" s="441"/>
      <c r="O30" s="441"/>
    </row>
    <row r="31" spans="1:15" ht="27" customHeight="1" x14ac:dyDescent="0.25">
      <c r="A31" s="571" t="s">
        <v>1413</v>
      </c>
      <c r="B31" s="572"/>
      <c r="C31" s="572"/>
      <c r="D31" s="573"/>
      <c r="E31" s="573"/>
      <c r="H31" s="65"/>
      <c r="I31" s="441"/>
      <c r="J31" s="441"/>
      <c r="K31" s="441"/>
      <c r="L31" s="441"/>
      <c r="M31" s="441"/>
      <c r="N31" s="441"/>
      <c r="O31" s="441"/>
    </row>
    <row r="32" spans="1:15" ht="14.25" customHeight="1" x14ac:dyDescent="0.25">
      <c r="A32" s="572"/>
      <c r="B32" s="574"/>
      <c r="C32" s="574"/>
      <c r="D32" s="574"/>
      <c r="E32" s="575"/>
      <c r="F32" s="416"/>
      <c r="G32" s="416"/>
      <c r="I32" s="441"/>
      <c r="J32" s="441"/>
      <c r="K32" s="441"/>
      <c r="L32" s="441"/>
      <c r="M32" s="441"/>
      <c r="N32" s="441"/>
      <c r="O32" s="441"/>
    </row>
    <row r="33" spans="1:15" x14ac:dyDescent="0.25">
      <c r="A33" s="572"/>
      <c r="B33" s="576" t="s">
        <v>1414</v>
      </c>
      <c r="C33" s="573"/>
      <c r="D33" s="573"/>
      <c r="E33" s="573"/>
      <c r="I33" s="441"/>
      <c r="J33" s="441"/>
      <c r="K33" s="441"/>
      <c r="L33" s="441"/>
      <c r="M33" s="441"/>
      <c r="N33" s="441"/>
      <c r="O33" s="441"/>
    </row>
    <row r="34" spans="1:15" ht="14.25" customHeight="1" x14ac:dyDescent="0.25">
      <c r="A34" s="572"/>
      <c r="B34" s="574"/>
      <c r="C34" s="574"/>
      <c r="D34" s="574"/>
      <c r="E34" s="575"/>
      <c r="F34" s="416"/>
      <c r="G34" s="416"/>
      <c r="I34" s="441"/>
      <c r="J34" s="441"/>
      <c r="K34" s="441"/>
      <c r="L34" s="441"/>
      <c r="M34" s="441"/>
      <c r="N34" s="441"/>
      <c r="O34" s="441"/>
    </row>
    <row r="35" spans="1:15" ht="18" customHeight="1" x14ac:dyDescent="0.25">
      <c r="A35" s="572"/>
      <c r="B35" s="575" t="s">
        <v>1446</v>
      </c>
      <c r="C35" s="1052"/>
      <c r="D35" s="1052"/>
      <c r="E35" s="573"/>
      <c r="I35" s="441"/>
      <c r="J35" s="441"/>
      <c r="K35" s="441"/>
      <c r="L35" s="441"/>
      <c r="M35" s="441"/>
      <c r="N35" s="441"/>
      <c r="O35" s="441"/>
    </row>
    <row r="36" spans="1:15" ht="14.25" customHeight="1" x14ac:dyDescent="0.25">
      <c r="A36" s="572"/>
      <c r="B36" s="574"/>
      <c r="C36" s="574"/>
      <c r="D36" s="574"/>
      <c r="E36" s="575"/>
      <c r="F36" s="416"/>
      <c r="G36" s="416"/>
      <c r="I36" s="441"/>
      <c r="J36" s="441"/>
      <c r="K36" s="441"/>
      <c r="L36" s="441"/>
      <c r="M36" s="441"/>
      <c r="N36" s="441"/>
      <c r="O36" s="441"/>
    </row>
    <row r="37" spans="1:15" ht="60.75" customHeight="1" x14ac:dyDescent="0.25">
      <c r="A37" s="572"/>
      <c r="B37" s="564" t="s">
        <v>1531</v>
      </c>
      <c r="C37" s="1053"/>
      <c r="D37" s="1054"/>
      <c r="E37" s="577"/>
      <c r="I37" s="441"/>
      <c r="J37" s="441"/>
      <c r="K37" s="441"/>
      <c r="L37" s="441"/>
      <c r="M37" s="441"/>
      <c r="N37" s="441"/>
      <c r="O37" s="441"/>
    </row>
    <row r="38" spans="1:15" ht="14.25" customHeight="1" x14ac:dyDescent="0.25">
      <c r="A38" s="572"/>
      <c r="B38" s="574"/>
      <c r="C38" s="574"/>
      <c r="D38" s="574"/>
      <c r="E38" s="575"/>
      <c r="F38" s="416"/>
      <c r="G38" s="416"/>
      <c r="I38" s="441"/>
      <c r="J38" s="441"/>
      <c r="K38" s="441"/>
      <c r="L38" s="441"/>
      <c r="M38" s="441"/>
      <c r="N38" s="441"/>
      <c r="O38" s="441"/>
    </row>
    <row r="39" spans="1:15" ht="30" customHeight="1" x14ac:dyDescent="0.25">
      <c r="A39" s="572"/>
      <c r="B39" s="564" t="s">
        <v>1863</v>
      </c>
      <c r="C39" s="1050"/>
      <c r="D39" s="1051"/>
      <c r="E39" s="573"/>
      <c r="I39" s="441"/>
      <c r="J39" s="441"/>
      <c r="K39" s="441"/>
      <c r="L39" s="441"/>
      <c r="M39" s="441"/>
      <c r="N39" s="441"/>
      <c r="O39" s="441"/>
    </row>
    <row r="40" spans="1:15" ht="43.5" customHeight="1" x14ac:dyDescent="0.25">
      <c r="A40" s="572"/>
      <c r="B40" s="573"/>
      <c r="C40" s="1055" t="str">
        <f>IF(ISNA(VLOOKUP(C39,Tab_diss,2,FALSE)),"",VLOOKUP(C39,Tab_diss,2,FALSE))</f>
        <v/>
      </c>
      <c r="D40" s="1054"/>
      <c r="E40" s="573"/>
      <c r="F40" s="215"/>
      <c r="I40" s="441"/>
      <c r="J40" s="441"/>
      <c r="K40" s="441"/>
      <c r="L40" s="441"/>
      <c r="M40" s="441"/>
      <c r="N40" s="441"/>
      <c r="O40" s="441"/>
    </row>
    <row r="41" spans="1:15" ht="14.25" customHeight="1" x14ac:dyDescent="0.25">
      <c r="A41" s="572"/>
      <c r="B41" s="574"/>
      <c r="C41" s="574"/>
      <c r="D41" s="574"/>
      <c r="E41" s="575"/>
      <c r="F41" s="416"/>
      <c r="G41" s="416"/>
      <c r="I41" s="441"/>
      <c r="J41" s="441"/>
      <c r="K41" s="441"/>
      <c r="L41" s="441"/>
      <c r="M41" s="441"/>
      <c r="N41" s="441"/>
      <c r="O41" s="441"/>
    </row>
    <row r="42" spans="1:15" ht="51.75" customHeight="1" x14ac:dyDescent="0.25">
      <c r="A42" s="572"/>
      <c r="B42" s="564" t="s">
        <v>2356</v>
      </c>
      <c r="C42" s="1050"/>
      <c r="D42" s="1051"/>
      <c r="E42" s="575"/>
      <c r="F42" s="416"/>
      <c r="G42" s="416"/>
      <c r="I42" s="441"/>
      <c r="J42" s="441"/>
      <c r="K42" s="441"/>
      <c r="L42" s="441"/>
      <c r="M42" s="441"/>
      <c r="N42" s="441"/>
      <c r="O42" s="441"/>
    </row>
    <row r="43" spans="1:15" ht="9" customHeight="1" x14ac:dyDescent="0.25">
      <c r="A43" s="572"/>
      <c r="B43" s="574"/>
      <c r="C43" s="574"/>
      <c r="D43" s="574"/>
      <c r="E43" s="575"/>
      <c r="F43" s="416"/>
      <c r="G43" s="416"/>
      <c r="I43" s="441"/>
      <c r="J43" s="441"/>
      <c r="K43" s="441"/>
      <c r="L43" s="441"/>
      <c r="M43" s="441"/>
      <c r="N43" s="441"/>
      <c r="O43" s="441"/>
    </row>
    <row r="44" spans="1:15" ht="20.25" customHeight="1" x14ac:dyDescent="0.25">
      <c r="A44" s="572"/>
      <c r="B44" s="575" t="s">
        <v>1455</v>
      </c>
      <c r="C44" s="1052"/>
      <c r="D44" s="1052"/>
      <c r="E44" s="573"/>
      <c r="I44" s="441"/>
      <c r="J44" s="441"/>
      <c r="K44" s="441"/>
      <c r="L44" s="441"/>
      <c r="M44" s="441"/>
      <c r="N44" s="441"/>
      <c r="O44" s="441"/>
    </row>
    <row r="45" spans="1:15" ht="9" customHeight="1" x14ac:dyDescent="0.25">
      <c r="A45" s="572"/>
      <c r="B45" s="574"/>
      <c r="C45" s="574"/>
      <c r="D45" s="574"/>
      <c r="E45" s="575"/>
      <c r="F45" s="416"/>
      <c r="G45" s="416"/>
      <c r="I45" s="441"/>
      <c r="J45" s="441"/>
      <c r="K45" s="441"/>
      <c r="L45" s="441"/>
      <c r="M45" s="441"/>
      <c r="N45" s="441"/>
      <c r="O45" s="441"/>
    </row>
    <row r="46" spans="1:15" ht="69" customHeight="1" x14ac:dyDescent="0.25">
      <c r="A46" s="572"/>
      <c r="B46" s="564" t="s">
        <v>1532</v>
      </c>
      <c r="C46" s="1053" t="s">
        <v>2621</v>
      </c>
      <c r="D46" s="1054"/>
      <c r="E46" s="577"/>
      <c r="I46" s="441"/>
      <c r="J46" s="441"/>
      <c r="K46" s="441"/>
      <c r="L46" s="441"/>
      <c r="M46" s="441"/>
      <c r="N46" s="441"/>
      <c r="O46" s="441"/>
    </row>
    <row r="47" spans="1:15" ht="14.25" customHeight="1" x14ac:dyDescent="0.25">
      <c r="A47" s="572"/>
      <c r="B47" s="574"/>
      <c r="C47" s="574"/>
      <c r="D47" s="574"/>
      <c r="E47" s="575"/>
      <c r="F47" s="416"/>
      <c r="G47" s="416"/>
      <c r="I47" s="441"/>
      <c r="J47" s="441"/>
      <c r="K47" s="441"/>
      <c r="L47" s="441"/>
      <c r="M47" s="441"/>
      <c r="N47" s="441"/>
      <c r="O47" s="441"/>
    </row>
    <row r="48" spans="1:15" ht="14.25" customHeight="1" x14ac:dyDescent="0.25">
      <c r="A48" s="572"/>
      <c r="B48" s="574"/>
      <c r="C48" s="574"/>
      <c r="D48" s="574"/>
      <c r="E48" s="575"/>
      <c r="F48" s="416"/>
      <c r="G48" s="416"/>
      <c r="I48" s="441"/>
      <c r="J48" s="441"/>
      <c r="K48" s="441"/>
      <c r="L48" s="441"/>
      <c r="M48" s="441"/>
      <c r="N48" s="441"/>
      <c r="O48" s="441"/>
    </row>
    <row r="49" spans="1:15" ht="30" customHeight="1" x14ac:dyDescent="0.25">
      <c r="A49" s="572"/>
      <c r="B49" s="564" t="s">
        <v>1863</v>
      </c>
      <c r="C49" s="1050"/>
      <c r="D49" s="1051"/>
      <c r="E49" s="573"/>
      <c r="I49" s="441"/>
      <c r="J49" s="441"/>
      <c r="K49" s="441"/>
      <c r="L49" s="441"/>
      <c r="M49" s="441"/>
      <c r="N49" s="441"/>
      <c r="O49" s="441"/>
    </row>
    <row r="50" spans="1:15" ht="59.25" customHeight="1" x14ac:dyDescent="0.25">
      <c r="A50" s="572"/>
      <c r="B50" s="573"/>
      <c r="C50" s="1055" t="str">
        <f>IF(ISNA(VLOOKUP(C49,Tab_prev,2,FALSE)),"",VLOOKUP(C49,Tab_prev,2,FALSE))</f>
        <v/>
      </c>
      <c r="D50" s="1054"/>
      <c r="E50" s="573"/>
      <c r="I50" s="441"/>
      <c r="J50" s="441"/>
      <c r="K50" s="441"/>
      <c r="L50" s="441"/>
      <c r="M50" s="441"/>
      <c r="N50" s="441"/>
      <c r="O50" s="441"/>
    </row>
    <row r="51" spans="1:15" ht="14.25" customHeight="1" x14ac:dyDescent="0.25">
      <c r="A51" s="572"/>
      <c r="B51" s="574"/>
      <c r="C51" s="574"/>
      <c r="D51" s="574"/>
      <c r="E51" s="575"/>
      <c r="F51" s="416"/>
      <c r="G51" s="416"/>
      <c r="I51" s="441"/>
      <c r="J51" s="441"/>
      <c r="K51" s="441"/>
      <c r="L51" s="441"/>
      <c r="M51" s="441"/>
      <c r="N51" s="441"/>
      <c r="O51" s="441"/>
    </row>
    <row r="52" spans="1:15" ht="55.5" customHeight="1" x14ac:dyDescent="0.25">
      <c r="A52" s="572"/>
      <c r="B52" s="564" t="s">
        <v>2356</v>
      </c>
      <c r="C52" s="1050"/>
      <c r="D52" s="1051"/>
      <c r="E52" s="575"/>
      <c r="F52" s="416"/>
      <c r="G52" s="416"/>
      <c r="I52" s="441"/>
      <c r="J52" s="441"/>
      <c r="K52" s="441"/>
      <c r="L52" s="441"/>
      <c r="M52" s="441"/>
      <c r="N52" s="441"/>
      <c r="O52" s="441"/>
    </row>
    <row r="53" spans="1:15" ht="14.25" customHeight="1" x14ac:dyDescent="0.25">
      <c r="A53" s="572"/>
      <c r="B53" s="574"/>
      <c r="C53" s="574"/>
      <c r="D53" s="574"/>
      <c r="E53" s="575"/>
      <c r="F53" s="416"/>
      <c r="G53" s="416"/>
      <c r="I53" s="441"/>
      <c r="J53" s="441"/>
      <c r="K53" s="441"/>
      <c r="L53" s="441"/>
      <c r="M53" s="441"/>
      <c r="N53" s="441"/>
      <c r="O53" s="441"/>
    </row>
    <row r="54" spans="1:15" ht="30" customHeight="1" x14ac:dyDescent="0.25">
      <c r="A54" s="572"/>
      <c r="B54" s="565" t="s">
        <v>1865</v>
      </c>
      <c r="C54" s="566">
        <v>3</v>
      </c>
      <c r="D54" s="567" t="str">
        <f>IF(ISNA(VLOOKUP(C54,Param!C48:D51,2,FALSE)),"",VLOOKUP(C54,Param!C48:D51,2,FALSE))</f>
        <v>(Probable)</v>
      </c>
      <c r="E54" s="578"/>
      <c r="F54" s="416"/>
      <c r="I54" s="441"/>
      <c r="J54" s="441"/>
      <c r="K54" s="441"/>
      <c r="L54" s="441"/>
      <c r="M54" s="441"/>
      <c r="N54" s="441"/>
      <c r="O54" s="441"/>
    </row>
    <row r="55" spans="1:15" ht="30" customHeight="1" x14ac:dyDescent="0.25">
      <c r="A55" s="562"/>
      <c r="B55" s="569" t="s">
        <v>1922</v>
      </c>
      <c r="C55" s="570" t="s">
        <v>1861</v>
      </c>
      <c r="D55" s="567" t="str">
        <f>IF(ISNA(VLOOKUP(C55,Param!C48:D51,2,FALSE)),"",VLOOKUP(C55,Param!C48:D51,2,FALSE))</f>
        <v/>
      </c>
      <c r="E55" s="568"/>
      <c r="F55" s="416"/>
      <c r="G55" s="416"/>
      <c r="I55" s="441"/>
      <c r="J55" s="441"/>
      <c r="K55" s="441"/>
      <c r="L55" s="441"/>
      <c r="M55" s="441"/>
      <c r="N55" s="441"/>
      <c r="O55" s="441"/>
    </row>
    <row r="56" spans="1:15" ht="14.25" customHeight="1" x14ac:dyDescent="0.25">
      <c r="A56" s="572"/>
      <c r="B56" s="574"/>
      <c r="C56" s="574"/>
      <c r="D56" s="574"/>
      <c r="E56" s="575"/>
      <c r="F56" s="416"/>
      <c r="G56" s="416"/>
      <c r="I56" s="441"/>
      <c r="J56" s="441"/>
      <c r="K56" s="441"/>
      <c r="L56" s="441"/>
      <c r="M56" s="441"/>
      <c r="N56" s="441"/>
      <c r="O56" s="441"/>
    </row>
    <row r="57" spans="1:15" x14ac:dyDescent="0.25">
      <c r="A57" s="572"/>
      <c r="B57" s="572"/>
      <c r="C57" s="573"/>
      <c r="D57" s="573"/>
      <c r="E57" s="579"/>
      <c r="F57" s="416"/>
      <c r="I57" s="441"/>
      <c r="J57" s="441"/>
      <c r="K57" s="441"/>
      <c r="L57" s="441"/>
      <c r="M57" s="441"/>
      <c r="N57" s="441"/>
      <c r="O57" s="441"/>
    </row>
    <row r="58" spans="1:15" x14ac:dyDescent="0.25">
      <c r="A58" s="572"/>
      <c r="B58" s="576" t="s">
        <v>1463</v>
      </c>
      <c r="C58" s="573"/>
      <c r="D58" s="573"/>
      <c r="E58" s="573"/>
      <c r="F58" s="416"/>
      <c r="I58" s="441"/>
      <c r="J58" s="441"/>
      <c r="K58" s="441"/>
      <c r="L58" s="441"/>
      <c r="M58" s="441"/>
      <c r="N58" s="441"/>
      <c r="O58" s="441"/>
    </row>
    <row r="59" spans="1:15" ht="14.25" customHeight="1" x14ac:dyDescent="0.25">
      <c r="A59" s="572"/>
      <c r="B59" s="574"/>
      <c r="C59" s="574"/>
      <c r="D59" s="574"/>
      <c r="E59" s="575"/>
      <c r="F59" s="416"/>
      <c r="G59" s="416"/>
      <c r="I59" s="441"/>
      <c r="J59" s="441"/>
      <c r="K59" s="441"/>
      <c r="L59" s="441"/>
      <c r="M59" s="441"/>
      <c r="N59" s="441"/>
      <c r="O59" s="441"/>
    </row>
    <row r="60" spans="1:15" ht="20.25" customHeight="1" x14ac:dyDescent="0.25">
      <c r="A60" s="572"/>
      <c r="B60" s="575" t="s">
        <v>1464</v>
      </c>
      <c r="C60" s="1052"/>
      <c r="D60" s="1052"/>
      <c r="E60" s="573"/>
      <c r="I60" s="441"/>
      <c r="J60" s="441"/>
      <c r="K60" s="441"/>
      <c r="L60" s="441"/>
      <c r="M60" s="441"/>
      <c r="N60" s="441"/>
      <c r="O60" s="441"/>
    </row>
    <row r="61" spans="1:15" ht="14.25" customHeight="1" x14ac:dyDescent="0.25">
      <c r="A61" s="572"/>
      <c r="B61" s="574"/>
      <c r="C61" s="574"/>
      <c r="D61" s="574"/>
      <c r="E61" s="575"/>
      <c r="F61" s="416"/>
      <c r="G61" s="416"/>
      <c r="I61" s="441"/>
      <c r="J61" s="441"/>
      <c r="K61" s="441"/>
      <c r="L61" s="441"/>
      <c r="M61" s="441"/>
      <c r="N61" s="441"/>
      <c r="O61" s="441"/>
    </row>
    <row r="62" spans="1:15" ht="58.5" customHeight="1" x14ac:dyDescent="0.25">
      <c r="A62" s="572"/>
      <c r="B62" s="564" t="s">
        <v>1533</v>
      </c>
      <c r="C62" s="1053" t="s">
        <v>2622</v>
      </c>
      <c r="D62" s="1054"/>
      <c r="E62" s="577"/>
      <c r="I62" s="441"/>
      <c r="J62" s="441"/>
      <c r="K62" s="441"/>
      <c r="L62" s="441"/>
      <c r="M62" s="441"/>
      <c r="N62" s="441"/>
      <c r="O62" s="441"/>
    </row>
    <row r="63" spans="1:15" ht="14.25" customHeight="1" x14ac:dyDescent="0.25">
      <c r="A63" s="572"/>
      <c r="B63" s="574"/>
      <c r="C63" s="574"/>
      <c r="D63" s="574"/>
      <c r="E63" s="575"/>
      <c r="F63" s="416"/>
      <c r="G63" s="416"/>
      <c r="I63" s="441"/>
      <c r="J63" s="441"/>
      <c r="K63" s="441"/>
      <c r="L63" s="441"/>
      <c r="M63" s="441"/>
      <c r="N63" s="441"/>
      <c r="O63" s="441"/>
    </row>
    <row r="64" spans="1:15" ht="14.25" customHeight="1" x14ac:dyDescent="0.25">
      <c r="A64" s="572"/>
      <c r="B64" s="574"/>
      <c r="C64" s="574"/>
      <c r="D64" s="574"/>
      <c r="E64" s="575"/>
      <c r="F64" s="416"/>
      <c r="G64" s="416"/>
      <c r="I64" s="441"/>
      <c r="J64" s="441"/>
      <c r="K64" s="441"/>
      <c r="L64" s="441"/>
      <c r="M64" s="441"/>
      <c r="N64" s="441"/>
      <c r="O64" s="441"/>
    </row>
    <row r="65" spans="1:15" ht="30" customHeight="1" x14ac:dyDescent="0.25">
      <c r="A65" s="572"/>
      <c r="B65" s="564" t="s">
        <v>1863</v>
      </c>
      <c r="C65" s="1050"/>
      <c r="D65" s="1051"/>
      <c r="E65" s="573"/>
      <c r="I65" s="441"/>
      <c r="J65" s="441"/>
      <c r="K65" s="441"/>
      <c r="L65" s="441"/>
      <c r="M65" s="441"/>
      <c r="N65" s="441"/>
      <c r="O65" s="441"/>
    </row>
    <row r="66" spans="1:15" ht="51" customHeight="1" x14ac:dyDescent="0.25">
      <c r="A66" s="572"/>
      <c r="B66" s="573"/>
      <c r="C66" s="1055" t="str">
        <f>IF(ISNA(VLOOKUP(C65,Tab_conf,2,FALSE)),"",VLOOKUP(C65,Tab_conf,2,FALSE))</f>
        <v/>
      </c>
      <c r="D66" s="1054"/>
      <c r="E66" s="573"/>
      <c r="I66" s="441"/>
      <c r="J66" s="441"/>
      <c r="K66" s="441"/>
      <c r="L66" s="441"/>
      <c r="M66" s="441"/>
      <c r="N66" s="441"/>
      <c r="O66" s="441"/>
    </row>
    <row r="67" spans="1:15" ht="14.25" customHeight="1" x14ac:dyDescent="0.25">
      <c r="A67" s="572"/>
      <c r="B67" s="574"/>
      <c r="C67" s="574"/>
      <c r="D67" s="574"/>
      <c r="E67" s="575"/>
      <c r="F67" s="416"/>
      <c r="G67" s="416"/>
      <c r="I67" s="441"/>
      <c r="J67" s="441"/>
      <c r="K67" s="441"/>
      <c r="L67" s="441"/>
      <c r="M67" s="441"/>
      <c r="N67" s="441"/>
      <c r="O67" s="441"/>
    </row>
    <row r="68" spans="1:15" ht="55.5" customHeight="1" x14ac:dyDescent="0.25">
      <c r="A68" s="572"/>
      <c r="B68" s="564" t="s">
        <v>2356</v>
      </c>
      <c r="C68" s="1050"/>
      <c r="D68" s="1051"/>
      <c r="E68" s="575"/>
      <c r="F68" s="416"/>
      <c r="G68" s="416"/>
      <c r="I68" s="441"/>
      <c r="J68" s="441"/>
      <c r="K68" s="441"/>
      <c r="L68" s="441"/>
      <c r="M68" s="441"/>
      <c r="N68" s="441"/>
      <c r="O68" s="441"/>
    </row>
    <row r="69" spans="1:15" ht="9.75" customHeight="1" x14ac:dyDescent="0.25">
      <c r="A69" s="572"/>
      <c r="B69" s="576"/>
      <c r="C69" s="573"/>
      <c r="D69" s="573"/>
      <c r="E69" s="573"/>
      <c r="I69" s="441"/>
      <c r="J69" s="441"/>
      <c r="K69" s="441"/>
      <c r="L69" s="441"/>
      <c r="M69" s="441"/>
      <c r="N69" s="441"/>
      <c r="O69" s="441"/>
    </row>
    <row r="70" spans="1:15" ht="39.75" customHeight="1" x14ac:dyDescent="0.25">
      <c r="A70" s="572"/>
      <c r="B70" s="575" t="s">
        <v>1465</v>
      </c>
      <c r="C70" s="1052"/>
      <c r="D70" s="1052"/>
      <c r="E70" s="573"/>
      <c r="I70" s="441"/>
      <c r="J70" s="441"/>
      <c r="K70" s="441"/>
      <c r="L70" s="441"/>
      <c r="M70" s="441"/>
      <c r="N70" s="441"/>
      <c r="O70" s="441"/>
    </row>
    <row r="71" spans="1:15" ht="14.25" customHeight="1" x14ac:dyDescent="0.25">
      <c r="A71" s="572"/>
      <c r="B71" s="574"/>
      <c r="C71" s="574"/>
      <c r="D71" s="574"/>
      <c r="E71" s="575"/>
      <c r="F71" s="416"/>
      <c r="G71" s="416"/>
      <c r="I71" s="441"/>
      <c r="J71" s="441"/>
      <c r="K71" s="441"/>
      <c r="L71" s="441"/>
      <c r="M71" s="441"/>
      <c r="N71" s="441"/>
      <c r="O71" s="441"/>
    </row>
    <row r="72" spans="1:15" ht="46.5" customHeight="1" x14ac:dyDescent="0.25">
      <c r="A72" s="572"/>
      <c r="B72" s="564" t="s">
        <v>1534</v>
      </c>
      <c r="C72" s="1053"/>
      <c r="D72" s="1054"/>
      <c r="E72" s="577"/>
      <c r="I72" s="441"/>
      <c r="J72" s="441"/>
      <c r="K72" s="441"/>
      <c r="L72" s="441"/>
      <c r="M72" s="441"/>
      <c r="N72" s="441"/>
      <c r="O72" s="441"/>
    </row>
    <row r="73" spans="1:15" ht="14.25" customHeight="1" x14ac:dyDescent="0.25">
      <c r="A73" s="572"/>
      <c r="B73" s="574"/>
      <c r="C73" s="574"/>
      <c r="D73" s="574"/>
      <c r="E73" s="575"/>
      <c r="F73" s="416"/>
      <c r="G73" s="416"/>
      <c r="I73" s="441"/>
      <c r="J73" s="441"/>
      <c r="K73" s="441"/>
      <c r="L73" s="441"/>
      <c r="M73" s="441"/>
      <c r="N73" s="441"/>
      <c r="O73" s="441"/>
    </row>
    <row r="74" spans="1:15" ht="14.25" customHeight="1" x14ac:dyDescent="0.25">
      <c r="A74" s="572"/>
      <c r="B74" s="574"/>
      <c r="C74" s="574"/>
      <c r="D74" s="574"/>
      <c r="E74" s="575"/>
      <c r="F74" s="416"/>
      <c r="G74" s="416"/>
      <c r="I74" s="441"/>
      <c r="J74" s="441"/>
      <c r="K74" s="441"/>
      <c r="L74" s="441"/>
      <c r="M74" s="441"/>
      <c r="N74" s="441"/>
      <c r="O74" s="441"/>
    </row>
    <row r="75" spans="1:15" ht="30" customHeight="1" x14ac:dyDescent="0.25">
      <c r="A75" s="572"/>
      <c r="B75" s="564" t="s">
        <v>1863</v>
      </c>
      <c r="C75" s="1050"/>
      <c r="D75" s="1051"/>
      <c r="E75" s="573"/>
      <c r="I75" s="441"/>
      <c r="J75" s="441"/>
      <c r="K75" s="441"/>
      <c r="L75" s="441"/>
      <c r="M75" s="441"/>
      <c r="N75" s="441"/>
      <c r="O75" s="441"/>
    </row>
    <row r="76" spans="1:15" ht="77.25" customHeight="1" x14ac:dyDescent="0.25">
      <c r="A76" s="572"/>
      <c r="B76" s="573"/>
      <c r="C76" s="1055" t="str">
        <f>IF(ISNA(VLOOKUP(C75,Tab_pall,2,FALSE)),"",VLOOKUP(C75,Tab_pall,2,FALSE))</f>
        <v/>
      </c>
      <c r="D76" s="1054"/>
      <c r="E76" s="573"/>
      <c r="I76" s="441"/>
      <c r="J76" s="441"/>
      <c r="K76" s="441"/>
      <c r="L76" s="441"/>
      <c r="M76" s="441"/>
      <c r="N76" s="441"/>
      <c r="O76" s="441"/>
    </row>
    <row r="77" spans="1:15" ht="14.25" customHeight="1" x14ac:dyDescent="0.25">
      <c r="A77" s="572"/>
      <c r="B77" s="574"/>
      <c r="C77" s="574"/>
      <c r="D77" s="574"/>
      <c r="E77" s="575"/>
      <c r="F77" s="416"/>
      <c r="G77" s="416"/>
      <c r="I77" s="441"/>
      <c r="J77" s="441"/>
      <c r="K77" s="441"/>
      <c r="L77" s="441"/>
      <c r="M77" s="441"/>
      <c r="N77" s="441"/>
      <c r="O77" s="441"/>
    </row>
    <row r="78" spans="1:15" ht="55.5" customHeight="1" x14ac:dyDescent="0.25">
      <c r="A78" s="572"/>
      <c r="B78" s="564" t="s">
        <v>2356</v>
      </c>
      <c r="C78" s="1050"/>
      <c r="D78" s="1051"/>
      <c r="E78" s="575"/>
      <c r="F78" s="416"/>
      <c r="G78" s="416"/>
      <c r="I78" s="441"/>
      <c r="J78" s="441"/>
      <c r="K78" s="441"/>
      <c r="L78" s="441"/>
      <c r="M78" s="441"/>
      <c r="N78" s="441"/>
      <c r="O78" s="441"/>
    </row>
    <row r="79" spans="1:15" ht="14.25" customHeight="1" x14ac:dyDescent="0.25">
      <c r="A79" s="572"/>
      <c r="B79" s="574"/>
      <c r="C79" s="574"/>
      <c r="D79" s="574"/>
      <c r="E79" s="575"/>
      <c r="F79" s="416"/>
      <c r="G79" s="416"/>
      <c r="I79" s="441"/>
      <c r="J79" s="441"/>
      <c r="K79" s="441"/>
      <c r="L79" s="441"/>
      <c r="M79" s="441"/>
      <c r="N79" s="441"/>
      <c r="O79" s="441"/>
    </row>
    <row r="80" spans="1:15" ht="30" customHeight="1" x14ac:dyDescent="0.25">
      <c r="A80" s="572"/>
      <c r="B80" s="565" t="s">
        <v>1869</v>
      </c>
      <c r="C80" s="566">
        <v>4</v>
      </c>
      <c r="D80" s="567" t="str">
        <f>IF(ISNA(VLOOKUP(C80,Param!C40:D43,2,FALSE)),"",VLOOKUP(C80,Param!C40:D43,2,FALSE))</f>
        <v>(Vital)</v>
      </c>
      <c r="E80" s="578"/>
      <c r="F80" s="416"/>
      <c r="I80" s="223"/>
    </row>
    <row r="81" spans="1:15" ht="30" customHeight="1" x14ac:dyDescent="0.25">
      <c r="A81" s="562"/>
      <c r="B81" s="569" t="s">
        <v>1918</v>
      </c>
      <c r="C81" s="570" t="s">
        <v>1861</v>
      </c>
      <c r="D81" s="567" t="str">
        <f>IF(ISNA(VLOOKUP(C81,Param!C40:D43,2,FALSE)),"",VLOOKUP(C81,Param!C40:D43,2,FALSE))</f>
        <v/>
      </c>
      <c r="E81" s="568"/>
      <c r="F81" s="416"/>
      <c r="G81" s="416"/>
      <c r="I81" s="441"/>
      <c r="J81" s="441"/>
      <c r="K81" s="441"/>
      <c r="L81" s="441"/>
      <c r="M81" s="441"/>
      <c r="N81" s="441"/>
      <c r="O81" s="441"/>
    </row>
    <row r="82" spans="1:15" ht="21" customHeight="1" x14ac:dyDescent="0.25">
      <c r="A82" s="572"/>
      <c r="B82" s="580"/>
      <c r="C82" s="581"/>
      <c r="D82" s="582"/>
      <c r="E82" s="578"/>
      <c r="F82" s="265"/>
      <c r="I82" s="223"/>
    </row>
    <row r="83" spans="1:15" ht="27.75" customHeight="1" x14ac:dyDescent="0.25">
      <c r="A83" s="572"/>
      <c r="B83" s="574"/>
      <c r="C83" s="574"/>
      <c r="D83" s="574"/>
      <c r="E83" s="575"/>
      <c r="F83" s="416"/>
      <c r="G83" s="416"/>
      <c r="I83" s="441"/>
      <c r="J83" s="441"/>
      <c r="K83" s="441"/>
      <c r="L83" s="441"/>
      <c r="M83" s="441"/>
      <c r="N83" s="441"/>
      <c r="O83" s="441"/>
    </row>
    <row r="84" spans="1:15" ht="35.25" customHeight="1" x14ac:dyDescent="0.25">
      <c r="A84" s="572"/>
      <c r="B84" s="565" t="s">
        <v>1919</v>
      </c>
      <c r="C84" s="566">
        <v>4</v>
      </c>
      <c r="D84" s="567" t="str">
        <f>IF(ISNA(VLOOKUP(C84,Param!C56:D59,2,FALSE)),"",VLOOKUP(C84,Param!C56:D59,2,FALSE))</f>
        <v>Risque insupportable</v>
      </c>
      <c r="E84" s="583"/>
    </row>
    <row r="85" spans="1:15" ht="38.25" customHeight="1" x14ac:dyDescent="0.25">
      <c r="A85" s="572"/>
      <c r="B85" s="563"/>
      <c r="C85" s="1056" t="str">
        <f>IF(ISNA(VLOOKUP(C84,Param!C56:E59,3,FALSE)),"",VLOOKUP(C84,Param!C56:E59,3,FALSE))</f>
        <v>Risque à réduire ou à éviter de toute urgence</v>
      </c>
      <c r="D85" s="1057"/>
      <c r="E85" s="573"/>
    </row>
    <row r="86" spans="1:15" ht="21" customHeight="1" x14ac:dyDescent="0.25">
      <c r="A86" s="572"/>
      <c r="B86" s="574"/>
      <c r="C86" s="574"/>
      <c r="D86" s="574"/>
      <c r="E86" s="575"/>
      <c r="F86" s="416"/>
      <c r="G86" s="416"/>
      <c r="I86" s="441"/>
      <c r="J86" s="441"/>
      <c r="K86" s="441"/>
      <c r="L86" s="441"/>
      <c r="M86" s="441"/>
      <c r="N86" s="441"/>
      <c r="O86" s="441"/>
    </row>
    <row r="87" spans="1:15" ht="15.6" x14ac:dyDescent="0.25">
      <c r="A87" s="571" t="s">
        <v>1562</v>
      </c>
      <c r="B87" s="572"/>
      <c r="C87" s="572"/>
      <c r="D87" s="572"/>
      <c r="E87" s="573"/>
      <c r="H87" s="65"/>
    </row>
    <row r="88" spans="1:15" ht="14.25" customHeight="1" x14ac:dyDescent="0.25">
      <c r="A88" s="572"/>
      <c r="B88" s="574"/>
      <c r="C88" s="574"/>
      <c r="D88" s="574"/>
      <c r="E88" s="575"/>
      <c r="F88" s="416"/>
      <c r="G88" s="416"/>
      <c r="I88" s="441"/>
      <c r="J88" s="441"/>
      <c r="K88" s="441"/>
      <c r="L88" s="441"/>
      <c r="M88" s="441"/>
      <c r="N88" s="441"/>
      <c r="O88" s="441"/>
    </row>
    <row r="89" spans="1:15" ht="30" customHeight="1" x14ac:dyDescent="0.25">
      <c r="A89" s="572"/>
      <c r="B89" s="564" t="s">
        <v>1866</v>
      </c>
      <c r="C89" s="1050"/>
      <c r="D89" s="1051"/>
      <c r="E89" s="573"/>
    </row>
    <row r="90" spans="1:15" x14ac:dyDescent="0.25">
      <c r="A90" s="572"/>
      <c r="B90" s="572"/>
      <c r="C90" s="573"/>
      <c r="D90" s="573"/>
      <c r="E90" s="573"/>
    </row>
    <row r="91" spans="1:15" ht="15.6" x14ac:dyDescent="0.25">
      <c r="A91" s="571" t="s">
        <v>1783</v>
      </c>
      <c r="B91" s="572"/>
      <c r="C91" s="573"/>
      <c r="D91" s="573"/>
      <c r="E91" s="573"/>
      <c r="H91" s="65"/>
    </row>
    <row r="92" spans="1:15" ht="14.25" customHeight="1" x14ac:dyDescent="0.25">
      <c r="A92" s="572"/>
      <c r="B92" s="574"/>
      <c r="C92" s="574"/>
      <c r="D92" s="574"/>
      <c r="E92" s="575"/>
      <c r="F92" s="416"/>
      <c r="G92" s="416"/>
      <c r="I92" s="441"/>
      <c r="J92" s="441"/>
      <c r="K92" s="441"/>
      <c r="L92" s="441"/>
      <c r="M92" s="441"/>
      <c r="N92" s="441"/>
      <c r="O92" s="441"/>
    </row>
    <row r="93" spans="1:15" ht="59.25" customHeight="1" x14ac:dyDescent="0.25">
      <c r="A93" s="572"/>
      <c r="B93" s="564" t="s">
        <v>1871</v>
      </c>
      <c r="C93" s="1050"/>
      <c r="D93" s="1051"/>
      <c r="E93" s="573"/>
      <c r="I93" s="333"/>
    </row>
    <row r="94" spans="1:15" x14ac:dyDescent="0.25">
      <c r="A94" s="572"/>
      <c r="B94" s="572"/>
      <c r="C94" s="573"/>
      <c r="D94" s="573"/>
      <c r="E94" s="573"/>
    </row>
    <row r="105" ht="14.25" customHeight="1" x14ac:dyDescent="0.25"/>
  </sheetData>
  <sheetProtection sheet="1" objects="1" scenarios="1"/>
  <mergeCells count="39">
    <mergeCell ref="C9:D9"/>
    <mergeCell ref="A2:D3"/>
    <mergeCell ref="E2:E3"/>
    <mergeCell ref="C6:D6"/>
    <mergeCell ref="C7:D7"/>
    <mergeCell ref="C8:D8"/>
    <mergeCell ref="C39:D39"/>
    <mergeCell ref="C10:D10"/>
    <mergeCell ref="C11:D11"/>
    <mergeCell ref="C12:D12"/>
    <mergeCell ref="C16:D16"/>
    <mergeCell ref="C17:D17"/>
    <mergeCell ref="C18:D18"/>
    <mergeCell ref="C19:D19"/>
    <mergeCell ref="C29:D29"/>
    <mergeCell ref="C35:D35"/>
    <mergeCell ref="C37:D37"/>
    <mergeCell ref="C23:D23"/>
    <mergeCell ref="B21:D21"/>
    <mergeCell ref="C68:D68"/>
    <mergeCell ref="C40:D40"/>
    <mergeCell ref="C42:D42"/>
    <mergeCell ref="C44:D44"/>
    <mergeCell ref="C46:D46"/>
    <mergeCell ref="C49:D49"/>
    <mergeCell ref="C50:D50"/>
    <mergeCell ref="C52:D52"/>
    <mergeCell ref="C60:D60"/>
    <mergeCell ref="C62:D62"/>
    <mergeCell ref="C65:D65"/>
    <mergeCell ref="C66:D66"/>
    <mergeCell ref="C89:D89"/>
    <mergeCell ref="C93:D93"/>
    <mergeCell ref="C70:D70"/>
    <mergeCell ref="C72:D72"/>
    <mergeCell ref="C75:D75"/>
    <mergeCell ref="C76:D76"/>
    <mergeCell ref="C78:D78"/>
    <mergeCell ref="C85:D85"/>
  </mergeCells>
  <conditionalFormatting sqref="C8 C10 C12 C17">
    <cfRule type="containsBlanks" dxfId="12" priority="7">
      <formula>LEN(TRIM(C8))=0</formula>
    </cfRule>
  </conditionalFormatting>
  <conditionalFormatting sqref="C19">
    <cfRule type="containsBlanks" dxfId="11" priority="3">
      <formula>LEN(TRIM(C19))=0</formula>
    </cfRule>
  </conditionalFormatting>
  <conditionalFormatting sqref="C23">
    <cfRule type="containsBlanks" dxfId="10" priority="1">
      <formula>LEN(TRIM(C23))=0</formula>
    </cfRule>
  </conditionalFormatting>
  <dataValidations count="1">
    <dataValidation showInputMessage="1" showErrorMessage="1" sqref="C81 C55 C15 C26" xr:uid="{4ADB2E9D-C3E1-4A34-AAE9-75B2138CEFFD}"/>
  </dataValidations>
  <printOptions horizontalCentered="1"/>
  <pageMargins left="0.31496062992125984" right="0.31496062992125984" top="0.35433070866141736" bottom="0.35433070866141736" header="0" footer="0"/>
  <pageSetup paperSize="9" scale="56" fitToHeight="3" orientation="portrait" r:id="rId1"/>
  <rowBreaks count="1" manualBreakCount="1">
    <brk id="57" max="4"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7E19D-F147-4B70-89B6-4D7B7E4C94CE}">
  <sheetPr codeName="Feuil25">
    <tabColor indexed="42"/>
  </sheetPr>
  <dimension ref="A1:BC137"/>
  <sheetViews>
    <sheetView showGridLines="0" showRowColHeaders="0" zoomScaleNormal="100" workbookViewId="0">
      <pane ySplit="1" topLeftCell="A2" activePane="bottomLeft" state="frozen"/>
      <selection activeCell="J10" sqref="J10"/>
      <selection pane="bottomLeft" activeCell="Q6" sqref="Q6"/>
    </sheetView>
  </sheetViews>
  <sheetFormatPr baseColWidth="10" defaultColWidth="11.44140625" defaultRowHeight="25.5" customHeight="1" outlineLevelCol="1" x14ac:dyDescent="0.25"/>
  <cols>
    <col min="1" max="6" width="0.5546875" style="303" customWidth="1"/>
    <col min="7" max="7" width="15.88671875" style="303" customWidth="1"/>
    <col min="8" max="14" width="2.6640625" style="303" customWidth="1"/>
    <col min="15" max="15" width="36.109375" style="303" customWidth="1"/>
    <col min="16" max="16" width="6.6640625" style="303" customWidth="1"/>
    <col min="17" max="17" width="5.33203125" style="303" customWidth="1"/>
    <col min="18" max="18" width="6.33203125" style="303" customWidth="1"/>
    <col min="19" max="19" width="11.44140625" style="303"/>
    <col min="20" max="20" width="32.5546875" style="303" customWidth="1"/>
    <col min="21" max="21" width="9.88671875" style="303" customWidth="1"/>
    <col min="22" max="22" width="31.33203125" style="303" customWidth="1"/>
    <col min="23" max="23" width="24.33203125" style="303" customWidth="1"/>
    <col min="24" max="25" width="54.88671875" style="303" customWidth="1"/>
    <col min="26" max="27" width="11.44140625" style="303"/>
    <col min="28" max="28" width="9.33203125" style="303" customWidth="1" outlineLevel="1"/>
    <col min="29" max="29" width="15.33203125" style="303" customWidth="1" outlineLevel="1"/>
    <col min="30" max="34" width="19.33203125" style="303" customWidth="1" outlineLevel="1"/>
    <col min="35" max="35" width="12.6640625" style="303" customWidth="1" outlineLevel="1"/>
    <col min="36" max="36" width="27.5546875" style="303" customWidth="1" outlineLevel="1"/>
    <col min="37" max="37" width="41.6640625" style="303" customWidth="1" outlineLevel="1"/>
    <col min="38" max="38" width="12.6640625" style="303" customWidth="1" outlineLevel="1"/>
    <col min="39" max="39" width="40" style="303" customWidth="1" outlineLevel="1"/>
    <col min="40" max="40" width="41.6640625" style="303" customWidth="1" outlineLevel="1"/>
    <col min="41" max="41" width="14.33203125" style="303" customWidth="1" outlineLevel="1"/>
    <col min="42" max="42" width="34.109375" style="303" customWidth="1" outlineLevel="1"/>
    <col min="43" max="43" width="41.6640625" style="303" customWidth="1" outlineLevel="1"/>
    <col min="44" max="44" width="12.6640625" style="303" customWidth="1" outlineLevel="1"/>
    <col min="45" max="45" width="36.44140625" style="303" customWidth="1" outlineLevel="1"/>
    <col min="46" max="46" width="41.6640625" style="303" customWidth="1" outlineLevel="1"/>
    <col min="47" max="50" width="13.44140625" style="303" customWidth="1" outlineLevel="1"/>
    <col min="51" max="51" width="12.33203125" style="303" customWidth="1" outlineLevel="1"/>
    <col min="52" max="52" width="33.44140625" style="303" customWidth="1"/>
    <col min="53" max="53" width="33.44140625" style="303" customWidth="1" collapsed="1"/>
    <col min="54" max="55" width="19.5546875" style="303" customWidth="1" outlineLevel="1"/>
    <col min="56" max="16384" width="11.44140625" style="303"/>
  </cols>
  <sheetData>
    <row r="1" spans="1:55" ht="79.5" customHeight="1" x14ac:dyDescent="0.4">
      <c r="A1" s="643" t="s">
        <v>2244</v>
      </c>
      <c r="B1" s="603"/>
      <c r="C1" s="603"/>
      <c r="D1" s="603"/>
      <c r="E1" s="603"/>
      <c r="F1" s="603"/>
      <c r="G1" s="444"/>
      <c r="H1" s="444"/>
      <c r="I1" s="444"/>
      <c r="J1" s="444"/>
      <c r="K1" s="444"/>
      <c r="L1" s="444"/>
      <c r="M1" s="444"/>
      <c r="N1" s="444"/>
      <c r="O1" s="444"/>
      <c r="P1" s="444"/>
      <c r="Q1" s="444"/>
      <c r="R1" s="444"/>
      <c r="S1" s="444"/>
      <c r="T1" s="444"/>
      <c r="U1" s="444"/>
      <c r="V1" s="444"/>
      <c r="W1" s="444"/>
      <c r="X1" s="444"/>
      <c r="Y1" s="444"/>
      <c r="Z1" s="444"/>
      <c r="AA1" s="444"/>
      <c r="AZ1" s="444"/>
      <c r="BA1" s="444"/>
    </row>
    <row r="2" spans="1:55" ht="3" customHeight="1" x14ac:dyDescent="0.25">
      <c r="U2" s="306"/>
      <c r="V2" s="306"/>
      <c r="W2" s="306"/>
      <c r="X2" s="306"/>
      <c r="Y2" s="306"/>
      <c r="Z2" s="306"/>
      <c r="AA2" s="306"/>
      <c r="AB2" s="306"/>
      <c r="AC2" s="306"/>
      <c r="AD2" s="306"/>
      <c r="AE2" s="306"/>
      <c r="AF2" s="306"/>
      <c r="AG2" s="306"/>
      <c r="AH2" s="306"/>
      <c r="AI2" s="306"/>
      <c r="AJ2" s="306"/>
      <c r="AK2" s="306"/>
      <c r="AL2" s="306"/>
      <c r="AM2" s="306"/>
      <c r="AN2" s="306"/>
      <c r="AO2" s="306"/>
      <c r="AP2" s="306"/>
      <c r="AQ2" s="306"/>
      <c r="AR2" s="306"/>
      <c r="AS2" s="306"/>
      <c r="AT2" s="306"/>
      <c r="AU2" s="306"/>
      <c r="AV2" s="306"/>
      <c r="AW2" s="306"/>
      <c r="AX2" s="306"/>
      <c r="AY2" s="306"/>
      <c r="AZ2" s="306"/>
      <c r="BA2" s="306"/>
      <c r="BB2" s="306"/>
      <c r="BC2" s="306"/>
    </row>
    <row r="3" spans="1:55" ht="65.25" customHeight="1" x14ac:dyDescent="0.25">
      <c r="G3" s="444"/>
      <c r="H3" s="1065" t="str">
        <f>IF(AND(ISERROR(Tab_sel!C69),Ana_risk!C8=""),"Aucune analyse en cours",IF(AND(ISERROR(Tab_sel!C69),Ana_risk!C8&lt;&gt;""),"Fiche d'analyse de risque en cours d'élaboration",IF(Ana_risk!A1=" ''Fiche d'analyse de risque en cours de modification'' ","          La Fiche "&amp;Ana_risk!E2&amp;" est en cours de modification : "&amp;CHAR(10)&amp;"          ⚠  "&amp;CHAR(10)&amp;"      non sauvegardée / non abandonnée","Nouvelle Analyse en cours")))</f>
        <v>Aucune analyse en cours</v>
      </c>
      <c r="I3" s="1065"/>
      <c r="J3" s="1065"/>
      <c r="K3" s="1065"/>
      <c r="L3" s="1065"/>
      <c r="M3" s="1065"/>
      <c r="N3" s="1065"/>
      <c r="O3" s="1065"/>
      <c r="P3" s="1065"/>
      <c r="S3" s="304"/>
      <c r="AB3" s="464" t="s">
        <v>1929</v>
      </c>
      <c r="AC3" s="444"/>
      <c r="AD3" s="444"/>
      <c r="AE3" s="444"/>
      <c r="AF3" s="444"/>
      <c r="AG3" s="444"/>
      <c r="AH3" s="444"/>
      <c r="AI3" s="444"/>
      <c r="AJ3" s="444"/>
      <c r="AK3" s="444"/>
      <c r="AL3" s="444"/>
      <c r="AM3" s="444"/>
      <c r="AN3" s="444"/>
      <c r="AO3" s="444"/>
      <c r="AP3" s="444"/>
      <c r="AQ3" s="444"/>
      <c r="AR3" s="444"/>
      <c r="AS3" s="444"/>
      <c r="AT3" s="444"/>
      <c r="AU3" s="444"/>
      <c r="AV3" s="444"/>
      <c r="AW3" s="444"/>
      <c r="AX3" s="444"/>
      <c r="AY3" s="444"/>
      <c r="BB3" s="444"/>
      <c r="BC3" s="444"/>
    </row>
    <row r="4" spans="1:55" ht="33.75" customHeight="1" thickBot="1" x14ac:dyDescent="0.3">
      <c r="G4" s="689"/>
      <c r="H4" s="1066"/>
      <c r="I4" s="1066"/>
      <c r="J4" s="1066"/>
      <c r="K4" s="1066"/>
      <c r="L4" s="1066"/>
      <c r="M4" s="1066"/>
      <c r="N4" s="1066"/>
      <c r="O4" s="1066"/>
      <c r="P4" s="1066"/>
      <c r="S4" s="446" t="s">
        <v>1878</v>
      </c>
      <c r="T4" s="447" t="s">
        <v>1135</v>
      </c>
      <c r="U4" s="446" t="s">
        <v>73</v>
      </c>
      <c r="V4" s="447" t="s">
        <v>1879</v>
      </c>
      <c r="W4" s="447" t="s">
        <v>1073</v>
      </c>
      <c r="X4" s="447" t="s">
        <v>1123</v>
      </c>
      <c r="Y4" s="858" t="s">
        <v>2289</v>
      </c>
      <c r="Z4" s="446" t="s">
        <v>1573</v>
      </c>
      <c r="AA4" s="446" t="s">
        <v>1574</v>
      </c>
      <c r="AB4" s="456" t="s">
        <v>1121</v>
      </c>
      <c r="AC4" s="447" t="s">
        <v>1917</v>
      </c>
      <c r="AD4" s="457" t="s">
        <v>1190</v>
      </c>
      <c r="AE4" s="459" t="s">
        <v>1570</v>
      </c>
      <c r="AF4" s="447" t="s">
        <v>1925</v>
      </c>
      <c r="AG4" s="459" t="s">
        <v>1569</v>
      </c>
      <c r="AH4" s="447" t="s">
        <v>1926</v>
      </c>
      <c r="AI4" s="459" t="s">
        <v>1779</v>
      </c>
      <c r="AJ4" s="447" t="s">
        <v>1915</v>
      </c>
      <c r="AK4" s="447" t="s">
        <v>1872</v>
      </c>
      <c r="AL4" s="459" t="s">
        <v>1780</v>
      </c>
      <c r="AM4" s="447" t="s">
        <v>1916</v>
      </c>
      <c r="AN4" s="447" t="s">
        <v>1873</v>
      </c>
      <c r="AO4" s="459" t="s">
        <v>1781</v>
      </c>
      <c r="AP4" s="447" t="s">
        <v>1914</v>
      </c>
      <c r="AQ4" s="447" t="s">
        <v>1874</v>
      </c>
      <c r="AR4" s="459" t="s">
        <v>1782</v>
      </c>
      <c r="AS4" s="447" t="s">
        <v>1913</v>
      </c>
      <c r="AT4" s="447" t="s">
        <v>1875</v>
      </c>
      <c r="AU4" s="461" t="s">
        <v>1572</v>
      </c>
      <c r="AV4" s="447" t="s">
        <v>1927</v>
      </c>
      <c r="AW4" s="461" t="s">
        <v>1571</v>
      </c>
      <c r="AX4" s="447" t="s">
        <v>1928</v>
      </c>
      <c r="AY4" s="457" t="s">
        <v>1575</v>
      </c>
      <c r="AZ4" s="446" t="s">
        <v>1866</v>
      </c>
      <c r="BA4" s="446" t="s">
        <v>1398</v>
      </c>
      <c r="BB4" s="447" t="s">
        <v>2187</v>
      </c>
      <c r="BC4" s="447" t="s">
        <v>2351</v>
      </c>
    </row>
    <row r="5" spans="1:55" ht="30.75" customHeight="1" thickTop="1" x14ac:dyDescent="0.25">
      <c r="J5" s="304"/>
      <c r="K5" s="304"/>
      <c r="L5" s="304"/>
      <c r="M5" s="304"/>
      <c r="O5" s="604" t="str">
        <f>IF($BB5=1,"Fiche "&amp;S5&amp;" non valide :"&amp;CHAR(10)&amp;"Veuillez la modifier ou la supprimer",IF(AZ5="-","Fiche "&amp;S5&amp;" sans décision :"&amp;CHAR(10)&amp;"Veuillez ajouter une décision",""))</f>
        <v>Fiche R1 sans décision :
Veuillez ajouter une décision</v>
      </c>
      <c r="P5" s="609" t="s">
        <v>2188</v>
      </c>
      <c r="Q5" s="605" t="s">
        <v>2067</v>
      </c>
      <c r="R5" s="584" t="s">
        <v>2068</v>
      </c>
      <c r="S5" s="587" t="s">
        <v>1876</v>
      </c>
      <c r="T5" s="588" t="str">
        <f>IFERROR(INDEX(Tab_sel!$B$7:$C$18,MATCH($AB5,Tab_sel!$C$7:$C$18,0),1),"-")</f>
        <v>-</v>
      </c>
      <c r="U5" s="589" t="str">
        <f>IFERROR(INDEX(Scénarios!$B$2:$AI$232,MATCH($S5,Scénarios!$AI$2:$AI$232,0),MATCH(U$4,Scénarios!$B$4:$AI$4,0)),"-")</f>
        <v>-</v>
      </c>
      <c r="V5" s="588" t="str">
        <f>IFERROR(INDEX(Scénarios!$B$2:$AI$232,MATCH($S5,Scénarios!$AI$2:$AI$232,0),MATCH(V$4,Scénarios!$B$4:$AI$4,0)),"-")</f>
        <v>-</v>
      </c>
      <c r="W5" s="588" t="str">
        <f>IFERROR(INDEX(Scénarios!$B$2:$AI$232,MATCH($S5,Scénarios!$AI$2:$AI$232,0),MATCH(W$4,Scénarios!$B$4:$AI$4,0)),"-")</f>
        <v>-</v>
      </c>
      <c r="X5" s="588" t="str">
        <f>IFERROR(VLOOKUP(AD5,Expo!$D$4:$E$35,2,FALSE),"-")</f>
        <v>-</v>
      </c>
      <c r="Y5" s="859" t="str">
        <f>IFERROR(IF(INDEX(Scénarios!$B$2:$AI$232,MATCH($S5,Scénarios!$AI$2:$AI$232,0),MATCH(Y$4,Scénarios!$B$4:$AI$4,0))=0,"",INDEX(Scénarios!$B$2:$AI$232,MATCH($S5,Scénarios!$AI$2:$AI$232,0),MATCH(Y$4,Scénarios!$B$4:$AI$4,0))),"-")</f>
        <v>-</v>
      </c>
      <c r="Z5" s="589" t="str">
        <f>IFERROR(INDEX(Scénarios!$B$2:$AI$232,MATCH($S5,Scénarios!$AI$2:$AI$232,0),MATCH(Z$4,Scénarios!$B$4:$AI$4,0)),"-")</f>
        <v>-</v>
      </c>
      <c r="AA5" s="589" t="str">
        <f>IFERROR(INDEX(Scénarios!$B$2:$AI$232,MATCH($S5,Scénarios!$AI$2:$AI$232,0),MATCH(AA$4,Scénarios!$B$4:$AI$4,0)),"-")</f>
        <v>-</v>
      </c>
      <c r="AB5" s="442" t="str">
        <f>IFERROR(INDEX(Scénarios!$B$2:$AI$232,MATCH($S5,Scénarios!$AI$2:$AI$232,0),MATCH(AB$4,Scénarios!$B$4:$AI$4,0)),"-")</f>
        <v>-</v>
      </c>
      <c r="AC5" s="442" t="str">
        <f>IFERROR(INDEX(Tab_sel!$B$24:$C$27,MATCH($U5,Tab_sel!$C$24:$C$27,0),1),"-")</f>
        <v>-</v>
      </c>
      <c r="AD5" s="443" t="str">
        <f>IFERROR(INDEX(Scénarios!$B$2:$AI$232,MATCH($S5,Scénarios!$AI$2:$AI$232,0),MATCH(AD$4,Scénarios!$B$4:$AI$4,0)),"-")</f>
        <v>-</v>
      </c>
      <c r="AE5" s="460" t="str">
        <f>IFERROR(INDEX(Scénarios!$B$2:$AI$232,MATCH($S5,Scénarios!$AI$2:$AI$232,0),MATCH(AE$4,Scénarios!$B$4:$AI$4,0)),"-")</f>
        <v>-</v>
      </c>
      <c r="AF5" s="460" t="str">
        <f>IFERROR(INDEX(Scénarios!$B$2:$AI$232,MATCH($S5,Scénarios!$AI$2:$AI$232,0),MATCH(AF$4,Scénarios!$B$4:$AI$4,0)),"-")</f>
        <v>-</v>
      </c>
      <c r="AG5" s="460" t="str">
        <f>IFERROR(INDEX(Scénarios!$B$2:$AI$232,MATCH($S5,Scénarios!$AI$2:$AI$232,0),MATCH(AG$4,Scénarios!$B$4:$AI$4,0)),"-")</f>
        <v>-</v>
      </c>
      <c r="AH5" s="460" t="str">
        <f>IFERROR(INDEX(Scénarios!$B$2:$AI$232,MATCH($S5,Scénarios!$AI$2:$AI$232,0),MATCH(AH$4,Scénarios!$B$4:$AI$4,0)),"-")</f>
        <v>-</v>
      </c>
      <c r="AI5" s="443" t="str">
        <f>IFERROR(INDEX(Scénarios!$B$2:$AI$232,MATCH($S5,Scénarios!$AI$2:$AI$232,0),MATCH(AI$4,Scénarios!$B$4:$AI$4,0)),"-")</f>
        <v>-</v>
      </c>
      <c r="AJ5" s="443" t="str">
        <f>IFERROR(INDEX(Param!$A$3:$C$7,MATCH($AI5,Param!$C$3:$C$7,0),1),"-")</f>
        <v>-</v>
      </c>
      <c r="AK5" s="443" t="str">
        <f>IFERROR(IF(INDEX(Scénarios!$B$2:$AI$232,MATCH($S5,Scénarios!$AI$2:$AI$232,0),MATCH(AK$4,Scénarios!$B$4:$AI$4,0))=0,"",INDEX(Scénarios!$B$2:$AI$232,MATCH($S5,Scénarios!$AI$2:$AI$232,0),MATCH(AK$4,Scénarios!$B$4:$AI$4,0))),"-")</f>
        <v>-</v>
      </c>
      <c r="AL5" s="443" t="str">
        <f>IFERROR(INDEX(Scénarios!$B$2:$AI$232,MATCH($S5,Scénarios!$AI$2:$AI$232,0),MATCH(AL$4,Scénarios!$B$4:$AI$4,0)),"-")</f>
        <v>-</v>
      </c>
      <c r="AM5" s="443" t="str">
        <f>IFERROR(INDEX(Param!$A$10:$C$14,MATCH($AL5,Param!$C$10:$C$14,0),1),"-")</f>
        <v>-</v>
      </c>
      <c r="AN5" s="443" t="str">
        <f>IFERROR(IF(INDEX(Scénarios!$B$2:$AI$232,MATCH($S5,Scénarios!$AI$2:$AI$232,0),MATCH(AN$4,Scénarios!$B$4:$AI$4,0))=0,"",INDEX(Scénarios!$B$2:$AI$232,MATCH($S5,Scénarios!$AI$2:$AI$232,0),MATCH(AN$4,Scénarios!$B$4:$AI$4,0))),"-")</f>
        <v>-</v>
      </c>
      <c r="AO5" s="443" t="str">
        <f>IFERROR(INDEX(Scénarios!$B$2:$AI$232,MATCH($S5,Scénarios!$AI$2:$AI$232,0),MATCH(AO$4,Scénarios!$B$4:$AI$4,0)),"-")</f>
        <v>-</v>
      </c>
      <c r="AP5" s="443" t="str">
        <f>IFERROR(INDEX(Param!$A$17:$C$21,MATCH($AO5,Param!$C$17:$C$21,0),1),"-")</f>
        <v>-</v>
      </c>
      <c r="AQ5" s="443" t="str">
        <f>IFERROR(IF(INDEX(Scénarios!$B$2:$AI$232,MATCH($S5,Scénarios!$AI$2:$AI$232,0),MATCH(AQ$4,Scénarios!$B$4:$AI$4,0))=0,"",INDEX(Scénarios!$B$2:$AI$232,MATCH($S5,Scénarios!$AI$2:$AI$232,0),MATCH(AQ$4,Scénarios!$B$4:$AI$4,0))),"-")</f>
        <v>-</v>
      </c>
      <c r="AR5" s="443" t="str">
        <f>IFERROR(INDEX(Scénarios!$B$2:$AI$232,MATCH($S5,Scénarios!$AI$2:$AI$232,0),MATCH(AR$4,Scénarios!$B$4:$AI$4,0)),"-")</f>
        <v>-</v>
      </c>
      <c r="AS5" s="443" t="str">
        <f>IFERROR(INDEX(Param!$A$24:$C$28,MATCH($AR5,Param!$C$24:$C$28,0),1),"-")</f>
        <v>-</v>
      </c>
      <c r="AT5" s="443" t="str">
        <f>IFERROR(IF(INDEX(Scénarios!$B$2:$AI$232,MATCH($S5,Scénarios!$AI$2:$AI$232,0),MATCH(AT$4,Scénarios!$B$4:$AI$4,0))=0,"",INDEX(Scénarios!$B$2:$AI$232,MATCH($S5,Scénarios!$AI$2:$AI$232,0),MATCH(AT$4,Scénarios!$B$4:$AI$4,0))),"-")</f>
        <v>-</v>
      </c>
      <c r="AU5" s="462" t="str">
        <f>IFERROR(INDEX(Scénarios!$B$2:$AI$232,MATCH($S5,Scénarios!$AI$2:$AI$232,0),MATCH(AU$4,Scénarios!$B$4:$AI$4,0)),"-")</f>
        <v>-</v>
      </c>
      <c r="AV5" s="462" t="str">
        <f>IFERROR(INDEX(Scénarios!$B$2:$AI$232,MATCH($S5,Scénarios!$AI$2:$AI$232,0),MATCH(AV$4,Scénarios!$B$4:$AI$4,0)),"-")</f>
        <v>-</v>
      </c>
      <c r="AW5" s="462" t="str">
        <f>IFERROR(INDEX(Scénarios!$B$2:$AI$232,MATCH($S5,Scénarios!$AI$2:$AI$232,0),MATCH(AW$4,Scénarios!$B$4:$AI$4,0)),"-")</f>
        <v>-</v>
      </c>
      <c r="AX5" s="462" t="str">
        <f>IFERROR(INDEX(Scénarios!$B$2:$AI$232,MATCH($S5,Scénarios!$AI$2:$AI$232,0),MATCH(AX$4,Scénarios!$B$4:$AI$4,0)),"-")</f>
        <v>-</v>
      </c>
      <c r="AY5" s="443" t="str">
        <f>IFERROR(INDEX(Scénarios!$B$2:$AI$232,MATCH($S5,Scénarios!$AI$2:$AI$232,0),MATCH(AY$4,Scénarios!$B$4:$AI$4,0)),"-")</f>
        <v>-</v>
      </c>
      <c r="AZ5" s="588" t="str">
        <f>IFERROR(INDEX(Param!$A$31:$C$35,MATCH($AY5,Param!$C$31:$C$35,0),1),"-")</f>
        <v>-</v>
      </c>
      <c r="BA5" s="588" t="str">
        <f>IFERROR(IF(INDEX(Scénarios!$B$2:$AI$232,MATCH($S5,Scénarios!$AI$2:$AI$232,0),MATCH(BA$4,Scénarios!$B$4:$AI$4,0))=0,"",INDEX(Scénarios!$B$2:$AI$232,MATCH($S5,Scénarios!$AI$2:$AI$232,0),MATCH(BA$4,Scénarios!$B$4:$AI$4,0))),"-")</f>
        <v>-</v>
      </c>
      <c r="BB5" s="443" t="str">
        <f>IFERROR(IF(INDEX(Scénarios!$B$2:$AK$237,MATCH($S5,Scénarios!$AI$2:$AI$237,0),MATCH(BB$4,Scénarios!$B$4:$AK$4,0))=0,"",INDEX(Scénarios!$B$2:$AK$237,MATCH($S5,Scénarios!$AI$2:$AI$237,0),MATCH(BB$4,Scénarios!$B$4:$AK$4,0))),"-")</f>
        <v>-</v>
      </c>
      <c r="BC5" s="443" t="str">
        <f>IFERROR(INDEX(Scénarios!$B$2:$AV$232,MATCH($S5,Scénarios!$AI$2:$AI$232,0),MATCH(BC$4,Scénarios!$B$4:$AV$4,0)),"-")</f>
        <v>-</v>
      </c>
    </row>
    <row r="6" spans="1:55" ht="30.75" customHeight="1" x14ac:dyDescent="0.25">
      <c r="J6" s="304"/>
      <c r="K6" s="304"/>
      <c r="L6" s="304"/>
      <c r="M6" s="304"/>
      <c r="O6" s="604" t="str">
        <f t="shared" ref="O6:O69" si="0">IF($BB6=1,"Fiche "&amp;S6&amp;" non valide :"&amp;CHAR(10)&amp;"Veuillez la modifier ou la supprimer",IF(AZ6="-","Fiche "&amp;S6&amp;" sans décision :"&amp;CHAR(10)&amp;"Veuillez ajouter une décision",""))</f>
        <v>Fiche R2 sans décision :
Veuillez ajouter une décision</v>
      </c>
      <c r="P6" s="609" t="s">
        <v>2188</v>
      </c>
      <c r="Q6" s="605" t="s">
        <v>2067</v>
      </c>
      <c r="R6" s="584" t="s">
        <v>2068</v>
      </c>
      <c r="S6" s="587" t="s">
        <v>1877</v>
      </c>
      <c r="T6" s="588" t="str">
        <f>IFERROR(INDEX(Tab_sel!$B$7:$C$18,MATCH($AB6,Tab_sel!$C$7:$C$18,0),1),"-")</f>
        <v>-</v>
      </c>
      <c r="U6" s="589" t="str">
        <f>IFERROR(INDEX(Scénarios!$B$2:$AI$232,MATCH($S6,Scénarios!$AI$2:$AI$232,0),MATCH(U$4,Scénarios!$B$4:$AI$4,0)),"-")</f>
        <v>-</v>
      </c>
      <c r="V6" s="588" t="str">
        <f>IFERROR(INDEX(Scénarios!$B$2:$AI$232,MATCH($S6,Scénarios!$AI$2:$AI$232,0),MATCH(V$4,Scénarios!$B$4:$AI$4,0)),"-")</f>
        <v>-</v>
      </c>
      <c r="W6" s="588" t="str">
        <f>IFERROR(INDEX(Scénarios!$B$2:$AI$232,MATCH($S6,Scénarios!$AI$2:$AI$232,0),MATCH(W$4,Scénarios!$B$4:$AI$4,0)),"-")</f>
        <v>-</v>
      </c>
      <c r="X6" s="588" t="str">
        <f>IFERROR(VLOOKUP(AD6,Expo!$D$4:$E$35,2,FALSE),"-")</f>
        <v>-</v>
      </c>
      <c r="Y6" s="859" t="str">
        <f>IFERROR(IF(INDEX(Scénarios!$B$2:$AI$232,MATCH($S6,Scénarios!$AI$2:$AI$232,0),MATCH(Y$4,Scénarios!$B$4:$AI$4,0))=0,"",INDEX(Scénarios!$B$2:$AI$232,MATCH($S6,Scénarios!$AI$2:$AI$232,0),MATCH(Y$4,Scénarios!$B$4:$AI$4,0))),"-")</f>
        <v>-</v>
      </c>
      <c r="Z6" s="589" t="str">
        <f>IFERROR(INDEX(Scénarios!$B$2:$AI$232,MATCH($S6,Scénarios!$AI$2:$AI$232,0),MATCH(Z$4,Scénarios!$B$4:$AI$4,0)),"-")</f>
        <v>-</v>
      </c>
      <c r="AA6" s="589" t="str">
        <f>IFERROR(INDEX(Scénarios!$B$2:$AI$232,MATCH($S6,Scénarios!$AI$2:$AI$232,0),MATCH(AA$4,Scénarios!$B$4:$AI$4,0)),"-")</f>
        <v>-</v>
      </c>
      <c r="AB6" s="442" t="str">
        <f>IFERROR(INDEX(Scénarios!$B$2:$AI$232,MATCH($S6,Scénarios!$AI$2:$AI$232,0),MATCH(AB$4,Scénarios!$B$4:$AI$4,0)),"-")</f>
        <v>-</v>
      </c>
      <c r="AC6" s="442" t="str">
        <f>IFERROR(INDEX(Tab_sel!$B$24:$C$27,MATCH($U6,Tab_sel!$C$24:$C$27,0),1),"-")</f>
        <v>-</v>
      </c>
      <c r="AD6" s="443" t="str">
        <f>IFERROR(INDEX(Scénarios!$B$2:$AI$232,MATCH($S6,Scénarios!$AI$2:$AI$232,0),MATCH(AD$4,Scénarios!$B$4:$AI$4,0)),"-")</f>
        <v>-</v>
      </c>
      <c r="AE6" s="460" t="str">
        <f>IFERROR(INDEX(Scénarios!$B$2:$AI$232,MATCH($S6,Scénarios!$AI$2:$AI$232,0),MATCH(AE$4,Scénarios!$B$4:$AI$4,0)),"-")</f>
        <v>-</v>
      </c>
      <c r="AF6" s="460" t="str">
        <f>IFERROR(INDEX(Scénarios!$B$2:$AI$232,MATCH($S6,Scénarios!$AI$2:$AI$232,0),MATCH(AF$4,Scénarios!$B$4:$AI$4,0)),"-")</f>
        <v>-</v>
      </c>
      <c r="AG6" s="460" t="str">
        <f>IFERROR(INDEX(Scénarios!$B$2:$AI$232,MATCH($S6,Scénarios!$AI$2:$AI$232,0),MATCH(AG$4,Scénarios!$B$4:$AI$4,0)),"-")</f>
        <v>-</v>
      </c>
      <c r="AH6" s="460" t="str">
        <f>IFERROR(INDEX(Scénarios!$B$2:$AI$232,MATCH($S6,Scénarios!$AI$2:$AI$232,0),MATCH(AH$4,Scénarios!$B$4:$AI$4,0)),"-")</f>
        <v>-</v>
      </c>
      <c r="AI6" s="443" t="str">
        <f>IFERROR(INDEX(Scénarios!$B$2:$AI$232,MATCH($S6,Scénarios!$AI$2:$AI$232,0),MATCH(AI$4,Scénarios!$B$4:$AI$4,0)),"-")</f>
        <v>-</v>
      </c>
      <c r="AJ6" s="443" t="str">
        <f>IFERROR(INDEX(Param!$A$3:$C$7,MATCH($AI6,Param!$C$3:$C$7,0),1),"-")</f>
        <v>-</v>
      </c>
      <c r="AK6" s="443" t="str">
        <f>IFERROR(IF(INDEX(Scénarios!$B$2:$AI$232,MATCH($S6,Scénarios!$AI$2:$AI$232,0),MATCH(AK$4,Scénarios!$B$4:$AI$4,0))=0,"",INDEX(Scénarios!$B$2:$AI$232,MATCH($S6,Scénarios!$AI$2:$AI$232,0),MATCH(AK$4,Scénarios!$B$4:$AI$4,0))),"-")</f>
        <v>-</v>
      </c>
      <c r="AL6" s="443" t="str">
        <f>IFERROR(INDEX(Scénarios!$B$2:$AI$232,MATCH($S6,Scénarios!$AI$2:$AI$232,0),MATCH(AL$4,Scénarios!$B$4:$AI$4,0)),"-")</f>
        <v>-</v>
      </c>
      <c r="AM6" s="443" t="str">
        <f>IFERROR(INDEX(Param!$A$10:$C$14,MATCH($AL6,Param!$C$10:$C$14,0),1),"-")</f>
        <v>-</v>
      </c>
      <c r="AN6" s="443" t="str">
        <f>IFERROR(IF(INDEX(Scénarios!$B$2:$AI$232,MATCH($S6,Scénarios!$AI$2:$AI$232,0),MATCH(AN$4,Scénarios!$B$4:$AI$4,0))=0,"",INDEX(Scénarios!$B$2:$AI$232,MATCH($S6,Scénarios!$AI$2:$AI$232,0),MATCH(AN$4,Scénarios!$B$4:$AI$4,0))),"-")</f>
        <v>-</v>
      </c>
      <c r="AO6" s="443" t="str">
        <f>IFERROR(INDEX(Scénarios!$B$2:$AI$232,MATCH($S6,Scénarios!$AI$2:$AI$232,0),MATCH(AO$4,Scénarios!$B$4:$AI$4,0)),"-")</f>
        <v>-</v>
      </c>
      <c r="AP6" s="443" t="str">
        <f>IFERROR(INDEX(Param!$A$17:$C$21,MATCH($AO6,Param!$C$17:$C$21,0),1),"-")</f>
        <v>-</v>
      </c>
      <c r="AQ6" s="443" t="str">
        <f>IFERROR(IF(INDEX(Scénarios!$B$2:$AI$232,MATCH($S6,Scénarios!$AI$2:$AI$232,0),MATCH(AQ$4,Scénarios!$B$4:$AI$4,0))=0,"",INDEX(Scénarios!$B$2:$AI$232,MATCH($S6,Scénarios!$AI$2:$AI$232,0),MATCH(AQ$4,Scénarios!$B$4:$AI$4,0))),"-")</f>
        <v>-</v>
      </c>
      <c r="AR6" s="443" t="str">
        <f>IFERROR(INDEX(Scénarios!$B$2:$AI$232,MATCH($S6,Scénarios!$AI$2:$AI$232,0),MATCH(AR$4,Scénarios!$B$4:$AI$4,0)),"-")</f>
        <v>-</v>
      </c>
      <c r="AS6" s="443" t="str">
        <f>IFERROR(INDEX(Param!$A$24:$C$28,MATCH($AR6,Param!$C$24:$C$28,0),1),"-")</f>
        <v>-</v>
      </c>
      <c r="AT6" s="443" t="str">
        <f>IFERROR(IF(INDEX(Scénarios!$B$2:$AI$232,MATCH($S6,Scénarios!$AI$2:$AI$232,0),MATCH(AT$4,Scénarios!$B$4:$AI$4,0))=0,"",INDEX(Scénarios!$B$2:$AI$232,MATCH($S6,Scénarios!$AI$2:$AI$232,0),MATCH(AT$4,Scénarios!$B$4:$AI$4,0))),"-")</f>
        <v>-</v>
      </c>
      <c r="AU6" s="462" t="str">
        <f>IFERROR(INDEX(Scénarios!$B$2:$AI$232,MATCH($S6,Scénarios!$AI$2:$AI$232,0),MATCH(AU$4,Scénarios!$B$4:$AI$4,0)),"-")</f>
        <v>-</v>
      </c>
      <c r="AV6" s="462" t="str">
        <f>IFERROR(INDEX(Scénarios!$B$2:$AI$232,MATCH($S6,Scénarios!$AI$2:$AI$232,0),MATCH(AV$4,Scénarios!$B$4:$AI$4,0)),"-")</f>
        <v>-</v>
      </c>
      <c r="AW6" s="462" t="str">
        <f>IFERROR(INDEX(Scénarios!$B$2:$AI$232,MATCH($S6,Scénarios!$AI$2:$AI$232,0),MATCH(AW$4,Scénarios!$B$4:$AI$4,0)),"-")</f>
        <v>-</v>
      </c>
      <c r="AX6" s="462" t="str">
        <f>IFERROR(INDEX(Scénarios!$B$2:$AI$232,MATCH($S6,Scénarios!$AI$2:$AI$232,0),MATCH(AX$4,Scénarios!$B$4:$AI$4,0)),"-")</f>
        <v>-</v>
      </c>
      <c r="AY6" s="443" t="str">
        <f>IFERROR(INDEX(Scénarios!$B$2:$AI$232,MATCH($S6,Scénarios!$AI$2:$AI$232,0),MATCH(AY$4,Scénarios!$B$4:$AI$4,0)),"-")</f>
        <v>-</v>
      </c>
      <c r="AZ6" s="588" t="str">
        <f>IFERROR(INDEX(Param!$A$31:$C$35,MATCH($AY6,Param!$C$31:$C$35,0),1),"-")</f>
        <v>-</v>
      </c>
      <c r="BA6" s="588" t="str">
        <f>IFERROR(IF(INDEX(Scénarios!$B$2:$AI$232,MATCH($S6,Scénarios!$AI$2:$AI$232,0),MATCH(BA$4,Scénarios!$B$4:$AI$4,0))=0,"",INDEX(Scénarios!$B$2:$AI$232,MATCH($S6,Scénarios!$AI$2:$AI$232,0),MATCH(BA$4,Scénarios!$B$4:$AI$4,0))),"-")</f>
        <v>-</v>
      </c>
      <c r="BB6" s="443" t="str">
        <f>IFERROR(IF(INDEX(Scénarios!$B$2:$AK$237,MATCH($S6,Scénarios!$AI$2:$AI$237,0),MATCH(BB$4,Scénarios!$B$4:$AK$4,0))=0,"",INDEX(Scénarios!$B$2:$AK$237,MATCH($S6,Scénarios!$AI$2:$AI$237,0),MATCH(BB$4,Scénarios!$B$4:$AK$4,0))),"-")</f>
        <v>-</v>
      </c>
      <c r="BC6" s="443" t="str">
        <f>IFERROR(INDEX(Scénarios!$B$2:$AV$232,MATCH($S6,Scénarios!$AI$2:$AI$232,0),MATCH(BC$4,Scénarios!$B$4:$AV$4,0)),"-")</f>
        <v>-</v>
      </c>
    </row>
    <row r="7" spans="1:55" ht="30.75" customHeight="1" x14ac:dyDescent="0.25">
      <c r="J7" s="304"/>
      <c r="K7" s="304"/>
      <c r="L7" s="304"/>
      <c r="M7" s="304"/>
      <c r="O7" s="604" t="str">
        <f t="shared" si="0"/>
        <v>Fiche R3 sans décision :
Veuillez ajouter une décision</v>
      </c>
      <c r="P7" s="609" t="s">
        <v>2188</v>
      </c>
      <c r="Q7" s="605" t="s">
        <v>2067</v>
      </c>
      <c r="R7" s="584" t="s">
        <v>2068</v>
      </c>
      <c r="S7" s="587" t="s">
        <v>1880</v>
      </c>
      <c r="T7" s="588" t="str">
        <f>IFERROR(INDEX(Tab_sel!$B$7:$C$18,MATCH($AB7,Tab_sel!$C$7:$C$18,0),1),"-")</f>
        <v>-</v>
      </c>
      <c r="U7" s="589" t="str">
        <f>IFERROR(INDEX(Scénarios!$B$2:$AI$232,MATCH($S7,Scénarios!$AI$2:$AI$232,0),MATCH(U$4,Scénarios!$B$4:$AI$4,0)),"-")</f>
        <v>-</v>
      </c>
      <c r="V7" s="588" t="str">
        <f>IFERROR(INDEX(Scénarios!$B$2:$AI$232,MATCH($S7,Scénarios!$AI$2:$AI$232,0),MATCH(V$4,Scénarios!$B$4:$AI$4,0)),"-")</f>
        <v>-</v>
      </c>
      <c r="W7" s="588" t="str">
        <f>IFERROR(INDEX(Scénarios!$B$2:$AI$232,MATCH($S7,Scénarios!$AI$2:$AI$232,0),MATCH(W$4,Scénarios!$B$4:$AI$4,0)),"-")</f>
        <v>-</v>
      </c>
      <c r="X7" s="588" t="str">
        <f>IFERROR(VLOOKUP(AD7,Expo!$D$4:$E$35,2,FALSE),"-")</f>
        <v>-</v>
      </c>
      <c r="Y7" s="859" t="str">
        <f>IFERROR(IF(INDEX(Scénarios!$B$2:$AI$232,MATCH($S7,Scénarios!$AI$2:$AI$232,0),MATCH(Y$4,Scénarios!$B$4:$AI$4,0))=0,"",INDEX(Scénarios!$B$2:$AI$232,MATCH($S7,Scénarios!$AI$2:$AI$232,0),MATCH(Y$4,Scénarios!$B$4:$AI$4,0))),"-")</f>
        <v>-</v>
      </c>
      <c r="Z7" s="589" t="str">
        <f>IFERROR(INDEX(Scénarios!$B$2:$AI$232,MATCH($S7,Scénarios!$AI$2:$AI$232,0),MATCH(Z$4,Scénarios!$B$4:$AI$4,0)),"-")</f>
        <v>-</v>
      </c>
      <c r="AA7" s="589" t="str">
        <f>IFERROR(INDEX(Scénarios!$B$2:$AI$232,MATCH($S7,Scénarios!$AI$2:$AI$232,0),MATCH(AA$4,Scénarios!$B$4:$AI$4,0)),"-")</f>
        <v>-</v>
      </c>
      <c r="AB7" s="442" t="str">
        <f>IFERROR(INDEX(Scénarios!$B$2:$AI$232,MATCH($S7,Scénarios!$AI$2:$AI$232,0),MATCH(AB$4,Scénarios!$B$4:$AI$4,0)),"-")</f>
        <v>-</v>
      </c>
      <c r="AC7" s="442" t="str">
        <f>IFERROR(INDEX(Tab_sel!$B$24:$C$27,MATCH($U7,Tab_sel!$C$24:$C$27,0),1),"-")</f>
        <v>-</v>
      </c>
      <c r="AD7" s="443" t="str">
        <f>IFERROR(INDEX(Scénarios!$B$2:$AI$232,MATCH($S7,Scénarios!$AI$2:$AI$232,0),MATCH(AD$4,Scénarios!$B$4:$AI$4,0)),"-")</f>
        <v>-</v>
      </c>
      <c r="AE7" s="460" t="str">
        <f>IFERROR(INDEX(Scénarios!$B$2:$AI$232,MATCH($S7,Scénarios!$AI$2:$AI$232,0),MATCH(AE$4,Scénarios!$B$4:$AI$4,0)),"-")</f>
        <v>-</v>
      </c>
      <c r="AF7" s="460" t="str">
        <f>IFERROR(INDEX(Scénarios!$B$2:$AI$232,MATCH($S7,Scénarios!$AI$2:$AI$232,0),MATCH(AF$4,Scénarios!$B$4:$AI$4,0)),"-")</f>
        <v>-</v>
      </c>
      <c r="AG7" s="460" t="str">
        <f>IFERROR(INDEX(Scénarios!$B$2:$AI$232,MATCH($S7,Scénarios!$AI$2:$AI$232,0),MATCH(AG$4,Scénarios!$B$4:$AI$4,0)),"-")</f>
        <v>-</v>
      </c>
      <c r="AH7" s="460" t="str">
        <f>IFERROR(INDEX(Scénarios!$B$2:$AI$232,MATCH($S7,Scénarios!$AI$2:$AI$232,0),MATCH(AH$4,Scénarios!$B$4:$AI$4,0)),"-")</f>
        <v>-</v>
      </c>
      <c r="AI7" s="443" t="str">
        <f>IFERROR(INDEX(Scénarios!$B$2:$AI$232,MATCH($S7,Scénarios!$AI$2:$AI$232,0),MATCH(AI$4,Scénarios!$B$4:$AI$4,0)),"-")</f>
        <v>-</v>
      </c>
      <c r="AJ7" s="443" t="str">
        <f>IFERROR(INDEX(Param!$A$3:$C$7,MATCH($AI7,Param!$C$3:$C$7,0),1),"-")</f>
        <v>-</v>
      </c>
      <c r="AK7" s="443" t="str">
        <f>IFERROR(IF(INDEX(Scénarios!$B$2:$AI$232,MATCH($S7,Scénarios!$AI$2:$AI$232,0),MATCH(AK$4,Scénarios!$B$4:$AI$4,0))=0,"",INDEX(Scénarios!$B$2:$AI$232,MATCH($S7,Scénarios!$AI$2:$AI$232,0),MATCH(AK$4,Scénarios!$B$4:$AI$4,0))),"-")</f>
        <v>-</v>
      </c>
      <c r="AL7" s="443" t="str">
        <f>IFERROR(INDEX(Scénarios!$B$2:$AI$232,MATCH($S7,Scénarios!$AI$2:$AI$232,0),MATCH(AL$4,Scénarios!$B$4:$AI$4,0)),"-")</f>
        <v>-</v>
      </c>
      <c r="AM7" s="443" t="str">
        <f>IFERROR(INDEX(Param!$A$10:$C$14,MATCH($AL7,Param!$C$10:$C$14,0),1),"-")</f>
        <v>-</v>
      </c>
      <c r="AN7" s="443" t="str">
        <f>IFERROR(IF(INDEX(Scénarios!$B$2:$AI$232,MATCH($S7,Scénarios!$AI$2:$AI$232,0),MATCH(AN$4,Scénarios!$B$4:$AI$4,0))=0,"",INDEX(Scénarios!$B$2:$AI$232,MATCH($S7,Scénarios!$AI$2:$AI$232,0),MATCH(AN$4,Scénarios!$B$4:$AI$4,0))),"-")</f>
        <v>-</v>
      </c>
      <c r="AO7" s="443" t="str">
        <f>IFERROR(INDEX(Scénarios!$B$2:$AI$232,MATCH($S7,Scénarios!$AI$2:$AI$232,0),MATCH(AO$4,Scénarios!$B$4:$AI$4,0)),"-")</f>
        <v>-</v>
      </c>
      <c r="AP7" s="443" t="str">
        <f>IFERROR(INDEX(Param!$A$17:$C$21,MATCH($AO7,Param!$C$17:$C$21,0),1),"-")</f>
        <v>-</v>
      </c>
      <c r="AQ7" s="443" t="str">
        <f>IFERROR(IF(INDEX(Scénarios!$B$2:$AI$232,MATCH($S7,Scénarios!$AI$2:$AI$232,0),MATCH(AQ$4,Scénarios!$B$4:$AI$4,0))=0,"",INDEX(Scénarios!$B$2:$AI$232,MATCH($S7,Scénarios!$AI$2:$AI$232,0),MATCH(AQ$4,Scénarios!$B$4:$AI$4,0))),"-")</f>
        <v>-</v>
      </c>
      <c r="AR7" s="443" t="str">
        <f>IFERROR(INDEX(Scénarios!$B$2:$AI$232,MATCH($S7,Scénarios!$AI$2:$AI$232,0),MATCH(AR$4,Scénarios!$B$4:$AI$4,0)),"-")</f>
        <v>-</v>
      </c>
      <c r="AS7" s="443" t="str">
        <f>IFERROR(INDEX(Param!$A$24:$C$28,MATCH($AR7,Param!$C$24:$C$28,0),1),"-")</f>
        <v>-</v>
      </c>
      <c r="AT7" s="443" t="str">
        <f>IFERROR(IF(INDEX(Scénarios!$B$2:$AI$232,MATCH($S7,Scénarios!$AI$2:$AI$232,0),MATCH(AT$4,Scénarios!$B$4:$AI$4,0))=0,"",INDEX(Scénarios!$B$2:$AI$232,MATCH($S7,Scénarios!$AI$2:$AI$232,0),MATCH(AT$4,Scénarios!$B$4:$AI$4,0))),"-")</f>
        <v>-</v>
      </c>
      <c r="AU7" s="462" t="str">
        <f>IFERROR(INDEX(Scénarios!$B$2:$AI$232,MATCH($S7,Scénarios!$AI$2:$AI$232,0),MATCH(AU$4,Scénarios!$B$4:$AI$4,0)),"-")</f>
        <v>-</v>
      </c>
      <c r="AV7" s="462" t="str">
        <f>IFERROR(INDEX(Scénarios!$B$2:$AI$232,MATCH($S7,Scénarios!$AI$2:$AI$232,0),MATCH(AV$4,Scénarios!$B$4:$AI$4,0)),"-")</f>
        <v>-</v>
      </c>
      <c r="AW7" s="462" t="str">
        <f>IFERROR(INDEX(Scénarios!$B$2:$AI$232,MATCH($S7,Scénarios!$AI$2:$AI$232,0),MATCH(AW$4,Scénarios!$B$4:$AI$4,0)),"-")</f>
        <v>-</v>
      </c>
      <c r="AX7" s="462" t="str">
        <f>IFERROR(INDEX(Scénarios!$B$2:$AI$232,MATCH($S7,Scénarios!$AI$2:$AI$232,0),MATCH(AX$4,Scénarios!$B$4:$AI$4,0)),"-")</f>
        <v>-</v>
      </c>
      <c r="AY7" s="443" t="str">
        <f>IFERROR(INDEX(Scénarios!$B$2:$AI$232,MATCH($S7,Scénarios!$AI$2:$AI$232,0),MATCH(AY$4,Scénarios!$B$4:$AI$4,0)),"-")</f>
        <v>-</v>
      </c>
      <c r="AZ7" s="588" t="str">
        <f>IFERROR(INDEX(Param!$A$31:$C$35,MATCH($AY7,Param!$C$31:$C$35,0),1),"-")</f>
        <v>-</v>
      </c>
      <c r="BA7" s="588" t="str">
        <f>IFERROR(IF(INDEX(Scénarios!$B$2:$AI$232,MATCH($S7,Scénarios!$AI$2:$AI$232,0),MATCH(BA$4,Scénarios!$B$4:$AI$4,0))=0,"",INDEX(Scénarios!$B$2:$AI$232,MATCH($S7,Scénarios!$AI$2:$AI$232,0),MATCH(BA$4,Scénarios!$B$4:$AI$4,0))),"-")</f>
        <v>-</v>
      </c>
      <c r="BB7" s="443" t="str">
        <f>IFERROR(IF(INDEX(Scénarios!$B$2:$AK$237,MATCH($S7,Scénarios!$AI$2:$AI$237,0),MATCH(BB$4,Scénarios!$B$4:$AK$4,0))=0,"",INDEX(Scénarios!$B$2:$AK$237,MATCH($S7,Scénarios!$AI$2:$AI$237,0),MATCH(BB$4,Scénarios!$B$4:$AK$4,0))),"-")</f>
        <v>-</v>
      </c>
      <c r="BC7" s="443" t="str">
        <f>IFERROR(INDEX(Scénarios!$B$2:$AV$232,MATCH($S7,Scénarios!$AI$2:$AI$232,0),MATCH(BC$4,Scénarios!$B$4:$AV$4,0)),"-")</f>
        <v>-</v>
      </c>
    </row>
    <row r="8" spans="1:55" ht="30.75" customHeight="1" x14ac:dyDescent="0.25">
      <c r="J8" s="304"/>
      <c r="K8" s="304"/>
      <c r="L8" s="304"/>
      <c r="M8" s="304"/>
      <c r="O8" s="604" t="str">
        <f t="shared" si="0"/>
        <v>Fiche R4 sans décision :
Veuillez ajouter une décision</v>
      </c>
      <c r="P8" s="609" t="s">
        <v>2188</v>
      </c>
      <c r="Q8" s="605" t="s">
        <v>2067</v>
      </c>
      <c r="R8" s="584" t="s">
        <v>2068</v>
      </c>
      <c r="S8" s="587" t="s">
        <v>1881</v>
      </c>
      <c r="T8" s="588" t="str">
        <f>IFERROR(INDEX(Tab_sel!$B$7:$C$18,MATCH($AB8,Tab_sel!$C$7:$C$18,0),1),"-")</f>
        <v>-</v>
      </c>
      <c r="U8" s="589" t="str">
        <f>IFERROR(INDEX(Scénarios!$B$2:$AI$232,MATCH($S8,Scénarios!$AI$2:$AI$232,0),MATCH(U$4,Scénarios!$B$4:$AI$4,0)),"-")</f>
        <v>-</v>
      </c>
      <c r="V8" s="588" t="str">
        <f>IFERROR(INDEX(Scénarios!$B$2:$AI$232,MATCH($S8,Scénarios!$AI$2:$AI$232,0),MATCH(V$4,Scénarios!$B$4:$AI$4,0)),"-")</f>
        <v>-</v>
      </c>
      <c r="W8" s="588" t="str">
        <f>IFERROR(INDEX(Scénarios!$B$2:$AI$232,MATCH($S8,Scénarios!$AI$2:$AI$232,0),MATCH(W$4,Scénarios!$B$4:$AI$4,0)),"-")</f>
        <v>-</v>
      </c>
      <c r="X8" s="588" t="str">
        <f>IFERROR(VLOOKUP(AD8,Expo!$D$4:$E$35,2,FALSE),"-")</f>
        <v>-</v>
      </c>
      <c r="Y8" s="859" t="str">
        <f>IFERROR(IF(INDEX(Scénarios!$B$2:$AI$232,MATCH($S8,Scénarios!$AI$2:$AI$232,0),MATCH(Y$4,Scénarios!$B$4:$AI$4,0))=0,"",INDEX(Scénarios!$B$2:$AI$232,MATCH($S8,Scénarios!$AI$2:$AI$232,0),MATCH(Y$4,Scénarios!$B$4:$AI$4,0))),"-")</f>
        <v>-</v>
      </c>
      <c r="Z8" s="589" t="str">
        <f>IFERROR(INDEX(Scénarios!$B$2:$AI$232,MATCH($S8,Scénarios!$AI$2:$AI$232,0),MATCH(Z$4,Scénarios!$B$4:$AI$4,0)),"-")</f>
        <v>-</v>
      </c>
      <c r="AA8" s="589" t="str">
        <f>IFERROR(INDEX(Scénarios!$B$2:$AI$232,MATCH($S8,Scénarios!$AI$2:$AI$232,0),MATCH(AA$4,Scénarios!$B$4:$AI$4,0)),"-")</f>
        <v>-</v>
      </c>
      <c r="AB8" s="442" t="str">
        <f>IFERROR(INDEX(Scénarios!$B$2:$AI$232,MATCH($S8,Scénarios!$AI$2:$AI$232,0),MATCH(AB$4,Scénarios!$B$4:$AI$4,0)),"-")</f>
        <v>-</v>
      </c>
      <c r="AC8" s="442" t="str">
        <f>IFERROR(INDEX(Tab_sel!$B$24:$C$27,MATCH($U8,Tab_sel!$C$24:$C$27,0),1),"-")</f>
        <v>-</v>
      </c>
      <c r="AD8" s="443" t="str">
        <f>IFERROR(INDEX(Scénarios!$B$2:$AI$232,MATCH($S8,Scénarios!$AI$2:$AI$232,0),MATCH(AD$4,Scénarios!$B$4:$AI$4,0)),"-")</f>
        <v>-</v>
      </c>
      <c r="AE8" s="460" t="str">
        <f>IFERROR(INDEX(Scénarios!$B$2:$AI$232,MATCH($S8,Scénarios!$AI$2:$AI$232,0),MATCH(AE$4,Scénarios!$B$4:$AI$4,0)),"-")</f>
        <v>-</v>
      </c>
      <c r="AF8" s="460" t="str">
        <f>IFERROR(INDEX(Scénarios!$B$2:$AI$232,MATCH($S8,Scénarios!$AI$2:$AI$232,0),MATCH(AF$4,Scénarios!$B$4:$AI$4,0)),"-")</f>
        <v>-</v>
      </c>
      <c r="AG8" s="460" t="str">
        <f>IFERROR(INDEX(Scénarios!$B$2:$AI$232,MATCH($S8,Scénarios!$AI$2:$AI$232,0),MATCH(AG$4,Scénarios!$B$4:$AI$4,0)),"-")</f>
        <v>-</v>
      </c>
      <c r="AH8" s="460" t="str">
        <f>IFERROR(INDEX(Scénarios!$B$2:$AI$232,MATCH($S8,Scénarios!$AI$2:$AI$232,0),MATCH(AH$4,Scénarios!$B$4:$AI$4,0)),"-")</f>
        <v>-</v>
      </c>
      <c r="AI8" s="443" t="str">
        <f>IFERROR(INDEX(Scénarios!$B$2:$AI$232,MATCH($S8,Scénarios!$AI$2:$AI$232,0),MATCH(AI$4,Scénarios!$B$4:$AI$4,0)),"-")</f>
        <v>-</v>
      </c>
      <c r="AJ8" s="443" t="str">
        <f>IFERROR(INDEX(Param!$A$3:$C$7,MATCH($AI8,Param!$C$3:$C$7,0),1),"-")</f>
        <v>-</v>
      </c>
      <c r="AK8" s="443" t="str">
        <f>IFERROR(IF(INDEX(Scénarios!$B$2:$AI$232,MATCH($S8,Scénarios!$AI$2:$AI$232,0),MATCH(AK$4,Scénarios!$B$4:$AI$4,0))=0,"",INDEX(Scénarios!$B$2:$AI$232,MATCH($S8,Scénarios!$AI$2:$AI$232,0),MATCH(AK$4,Scénarios!$B$4:$AI$4,0))),"-")</f>
        <v>-</v>
      </c>
      <c r="AL8" s="443" t="str">
        <f>IFERROR(INDEX(Scénarios!$B$2:$AI$232,MATCH($S8,Scénarios!$AI$2:$AI$232,0),MATCH(AL$4,Scénarios!$B$4:$AI$4,0)),"-")</f>
        <v>-</v>
      </c>
      <c r="AM8" s="443" t="str">
        <f>IFERROR(INDEX(Param!$A$10:$C$14,MATCH($AL8,Param!$C$10:$C$14,0),1),"-")</f>
        <v>-</v>
      </c>
      <c r="AN8" s="443" t="str">
        <f>IFERROR(IF(INDEX(Scénarios!$B$2:$AI$232,MATCH($S8,Scénarios!$AI$2:$AI$232,0),MATCH(AN$4,Scénarios!$B$4:$AI$4,0))=0,"",INDEX(Scénarios!$B$2:$AI$232,MATCH($S8,Scénarios!$AI$2:$AI$232,0),MATCH(AN$4,Scénarios!$B$4:$AI$4,0))),"-")</f>
        <v>-</v>
      </c>
      <c r="AO8" s="443" t="str">
        <f>IFERROR(INDEX(Scénarios!$B$2:$AI$232,MATCH($S8,Scénarios!$AI$2:$AI$232,0),MATCH(AO$4,Scénarios!$B$4:$AI$4,0)),"-")</f>
        <v>-</v>
      </c>
      <c r="AP8" s="443" t="str">
        <f>IFERROR(INDEX(Param!$A$17:$C$21,MATCH($AO8,Param!$C$17:$C$21,0),1),"-")</f>
        <v>-</v>
      </c>
      <c r="AQ8" s="443" t="str">
        <f>IFERROR(IF(INDEX(Scénarios!$B$2:$AI$232,MATCH($S8,Scénarios!$AI$2:$AI$232,0),MATCH(AQ$4,Scénarios!$B$4:$AI$4,0))=0,"",INDEX(Scénarios!$B$2:$AI$232,MATCH($S8,Scénarios!$AI$2:$AI$232,0),MATCH(AQ$4,Scénarios!$B$4:$AI$4,0))),"-")</f>
        <v>-</v>
      </c>
      <c r="AR8" s="443" t="str">
        <f>IFERROR(INDEX(Scénarios!$B$2:$AI$232,MATCH($S8,Scénarios!$AI$2:$AI$232,0),MATCH(AR$4,Scénarios!$B$4:$AI$4,0)),"-")</f>
        <v>-</v>
      </c>
      <c r="AS8" s="443" t="str">
        <f>IFERROR(INDEX(Param!$A$24:$C$28,MATCH($AR8,Param!$C$24:$C$28,0),1),"-")</f>
        <v>-</v>
      </c>
      <c r="AT8" s="443" t="str">
        <f>IFERROR(IF(INDEX(Scénarios!$B$2:$AI$232,MATCH($S8,Scénarios!$AI$2:$AI$232,0),MATCH(AT$4,Scénarios!$B$4:$AI$4,0))=0,"",INDEX(Scénarios!$B$2:$AI$232,MATCH($S8,Scénarios!$AI$2:$AI$232,0),MATCH(AT$4,Scénarios!$B$4:$AI$4,0))),"-")</f>
        <v>-</v>
      </c>
      <c r="AU8" s="462" t="str">
        <f>IFERROR(INDEX(Scénarios!$B$2:$AI$232,MATCH($S8,Scénarios!$AI$2:$AI$232,0),MATCH(AU$4,Scénarios!$B$4:$AI$4,0)),"-")</f>
        <v>-</v>
      </c>
      <c r="AV8" s="462" t="str">
        <f>IFERROR(INDEX(Scénarios!$B$2:$AI$232,MATCH($S8,Scénarios!$AI$2:$AI$232,0),MATCH(AV$4,Scénarios!$B$4:$AI$4,0)),"-")</f>
        <v>-</v>
      </c>
      <c r="AW8" s="462" t="str">
        <f>IFERROR(INDEX(Scénarios!$B$2:$AI$232,MATCH($S8,Scénarios!$AI$2:$AI$232,0),MATCH(AW$4,Scénarios!$B$4:$AI$4,0)),"-")</f>
        <v>-</v>
      </c>
      <c r="AX8" s="462" t="str">
        <f>IFERROR(INDEX(Scénarios!$B$2:$AI$232,MATCH($S8,Scénarios!$AI$2:$AI$232,0),MATCH(AX$4,Scénarios!$B$4:$AI$4,0)),"-")</f>
        <v>-</v>
      </c>
      <c r="AY8" s="443" t="str">
        <f>IFERROR(INDEX(Scénarios!$B$2:$AI$232,MATCH($S8,Scénarios!$AI$2:$AI$232,0),MATCH(AY$4,Scénarios!$B$4:$AI$4,0)),"-")</f>
        <v>-</v>
      </c>
      <c r="AZ8" s="588" t="str">
        <f>IFERROR(INDEX(Param!$A$31:$C$35,MATCH($AY8,Param!$C$31:$C$35,0),1),"-")</f>
        <v>-</v>
      </c>
      <c r="BA8" s="588" t="str">
        <f>IFERROR(IF(INDEX(Scénarios!$B$2:$AI$232,MATCH($S8,Scénarios!$AI$2:$AI$232,0),MATCH(BA$4,Scénarios!$B$4:$AI$4,0))=0,"",INDEX(Scénarios!$B$2:$AI$232,MATCH($S8,Scénarios!$AI$2:$AI$232,0),MATCH(BA$4,Scénarios!$B$4:$AI$4,0))),"-")</f>
        <v>-</v>
      </c>
      <c r="BB8" s="443" t="str">
        <f>IFERROR(IF(INDEX(Scénarios!$B$2:$AK$237,MATCH($S8,Scénarios!$AI$2:$AI$237,0),MATCH(BB$4,Scénarios!$B$4:$AK$4,0))=0,"",INDEX(Scénarios!$B$2:$AK$237,MATCH($S8,Scénarios!$AI$2:$AI$237,0),MATCH(BB$4,Scénarios!$B$4:$AK$4,0))),"-")</f>
        <v>-</v>
      </c>
      <c r="BC8" s="443" t="str">
        <f>IFERROR(INDEX(Scénarios!$B$2:$AV$232,MATCH($S8,Scénarios!$AI$2:$AI$232,0),MATCH(BC$4,Scénarios!$B$4:$AV$4,0)),"-")</f>
        <v>-</v>
      </c>
    </row>
    <row r="9" spans="1:55" ht="25.5" customHeight="1" x14ac:dyDescent="0.25">
      <c r="J9" s="304"/>
      <c r="K9" s="304"/>
      <c r="L9" s="304"/>
      <c r="M9" s="304"/>
      <c r="O9" s="604" t="str">
        <f t="shared" si="0"/>
        <v>Fiche R5 sans décision :
Veuillez ajouter une décision</v>
      </c>
      <c r="P9" s="609" t="s">
        <v>2188</v>
      </c>
      <c r="Q9" s="605" t="s">
        <v>2067</v>
      </c>
      <c r="R9" s="584" t="s">
        <v>2068</v>
      </c>
      <c r="S9" s="587" t="s">
        <v>1882</v>
      </c>
      <c r="T9" s="588" t="str">
        <f>IFERROR(INDEX(Tab_sel!$B$7:$C$18,MATCH($AB9,Tab_sel!$C$7:$C$18,0),1),"-")</f>
        <v>-</v>
      </c>
      <c r="U9" s="589" t="str">
        <f>IFERROR(INDEX(Scénarios!$B$2:$AI$232,MATCH($S9,Scénarios!$AI$2:$AI$232,0),MATCH(U$4,Scénarios!$B$4:$AI$4,0)),"-")</f>
        <v>-</v>
      </c>
      <c r="V9" s="588" t="str">
        <f>IFERROR(INDEX(Scénarios!$B$2:$AI$232,MATCH($S9,Scénarios!$AI$2:$AI$232,0),MATCH(V$4,Scénarios!$B$4:$AI$4,0)),"-")</f>
        <v>-</v>
      </c>
      <c r="W9" s="588" t="str">
        <f>IFERROR(INDEX(Scénarios!$B$2:$AI$232,MATCH($S9,Scénarios!$AI$2:$AI$232,0),MATCH(W$4,Scénarios!$B$4:$AI$4,0)),"-")</f>
        <v>-</v>
      </c>
      <c r="X9" s="588" t="str">
        <f>IFERROR(VLOOKUP(AD9,Expo!$D$4:$E$35,2,FALSE),"-")</f>
        <v>-</v>
      </c>
      <c r="Y9" s="859" t="str">
        <f>IFERROR(IF(INDEX(Scénarios!$B$2:$AI$232,MATCH($S9,Scénarios!$AI$2:$AI$232,0),MATCH(Y$4,Scénarios!$B$4:$AI$4,0))=0,"",INDEX(Scénarios!$B$2:$AI$232,MATCH($S9,Scénarios!$AI$2:$AI$232,0),MATCH(Y$4,Scénarios!$B$4:$AI$4,0))),"-")</f>
        <v>-</v>
      </c>
      <c r="Z9" s="589" t="str">
        <f>IFERROR(INDEX(Scénarios!$B$2:$AI$232,MATCH($S9,Scénarios!$AI$2:$AI$232,0),MATCH(Z$4,Scénarios!$B$4:$AI$4,0)),"-")</f>
        <v>-</v>
      </c>
      <c r="AA9" s="589" t="str">
        <f>IFERROR(INDEX(Scénarios!$B$2:$AI$232,MATCH($S9,Scénarios!$AI$2:$AI$232,0),MATCH(AA$4,Scénarios!$B$4:$AI$4,0)),"-")</f>
        <v>-</v>
      </c>
      <c r="AB9" s="442" t="str">
        <f>IFERROR(INDEX(Scénarios!$B$2:$AI$232,MATCH($S9,Scénarios!$AI$2:$AI$232,0),MATCH(AB$4,Scénarios!$B$4:$AI$4,0)),"-")</f>
        <v>-</v>
      </c>
      <c r="AC9" s="442" t="str">
        <f>IFERROR(INDEX(Tab_sel!$B$24:$C$27,MATCH($U9,Tab_sel!$C$24:$C$27,0),1),"-")</f>
        <v>-</v>
      </c>
      <c r="AD9" s="443" t="str">
        <f>IFERROR(INDEX(Scénarios!$B$2:$AI$232,MATCH($S9,Scénarios!$AI$2:$AI$232,0),MATCH(AD$4,Scénarios!$B$4:$AI$4,0)),"-")</f>
        <v>-</v>
      </c>
      <c r="AE9" s="460" t="str">
        <f>IFERROR(INDEX(Scénarios!$B$2:$AI$232,MATCH($S9,Scénarios!$AI$2:$AI$232,0),MATCH(AE$4,Scénarios!$B$4:$AI$4,0)),"-")</f>
        <v>-</v>
      </c>
      <c r="AF9" s="460" t="str">
        <f>IFERROR(INDEX(Scénarios!$B$2:$AI$232,MATCH($S9,Scénarios!$AI$2:$AI$232,0),MATCH(AF$4,Scénarios!$B$4:$AI$4,0)),"-")</f>
        <v>-</v>
      </c>
      <c r="AG9" s="460" t="str">
        <f>IFERROR(INDEX(Scénarios!$B$2:$AI$232,MATCH($S9,Scénarios!$AI$2:$AI$232,0),MATCH(AG$4,Scénarios!$B$4:$AI$4,0)),"-")</f>
        <v>-</v>
      </c>
      <c r="AH9" s="460" t="str">
        <f>IFERROR(INDEX(Scénarios!$B$2:$AI$232,MATCH($S9,Scénarios!$AI$2:$AI$232,0),MATCH(AH$4,Scénarios!$B$4:$AI$4,0)),"-")</f>
        <v>-</v>
      </c>
      <c r="AI9" s="443" t="str">
        <f>IFERROR(INDEX(Scénarios!$B$2:$AI$232,MATCH($S9,Scénarios!$AI$2:$AI$232,0),MATCH(AI$4,Scénarios!$B$4:$AI$4,0)),"-")</f>
        <v>-</v>
      </c>
      <c r="AJ9" s="443" t="str">
        <f>IFERROR(INDEX(Param!$A$3:$C$7,MATCH($AI9,Param!$C$3:$C$7,0),1),"-")</f>
        <v>-</v>
      </c>
      <c r="AK9" s="443" t="str">
        <f>IFERROR(IF(INDEX(Scénarios!$B$2:$AI$232,MATCH($S9,Scénarios!$AI$2:$AI$232,0),MATCH(AK$4,Scénarios!$B$4:$AI$4,0))=0,"",INDEX(Scénarios!$B$2:$AI$232,MATCH($S9,Scénarios!$AI$2:$AI$232,0),MATCH(AK$4,Scénarios!$B$4:$AI$4,0))),"-")</f>
        <v>-</v>
      </c>
      <c r="AL9" s="443" t="str">
        <f>IFERROR(INDEX(Scénarios!$B$2:$AI$232,MATCH($S9,Scénarios!$AI$2:$AI$232,0),MATCH(AL$4,Scénarios!$B$4:$AI$4,0)),"-")</f>
        <v>-</v>
      </c>
      <c r="AM9" s="443" t="str">
        <f>IFERROR(INDEX(Param!$A$10:$C$14,MATCH($AL9,Param!$C$10:$C$14,0),1),"-")</f>
        <v>-</v>
      </c>
      <c r="AN9" s="443" t="str">
        <f>IFERROR(IF(INDEX(Scénarios!$B$2:$AI$232,MATCH($S9,Scénarios!$AI$2:$AI$232,0),MATCH(AN$4,Scénarios!$B$4:$AI$4,0))=0,"",INDEX(Scénarios!$B$2:$AI$232,MATCH($S9,Scénarios!$AI$2:$AI$232,0),MATCH(AN$4,Scénarios!$B$4:$AI$4,0))),"-")</f>
        <v>-</v>
      </c>
      <c r="AO9" s="443" t="str">
        <f>IFERROR(INDEX(Scénarios!$B$2:$AI$232,MATCH($S9,Scénarios!$AI$2:$AI$232,0),MATCH(AO$4,Scénarios!$B$4:$AI$4,0)),"-")</f>
        <v>-</v>
      </c>
      <c r="AP9" s="443" t="str">
        <f>IFERROR(INDEX(Param!$A$17:$C$21,MATCH($AO9,Param!$C$17:$C$21,0),1),"-")</f>
        <v>-</v>
      </c>
      <c r="AQ9" s="443" t="str">
        <f>IFERROR(IF(INDEX(Scénarios!$B$2:$AI$232,MATCH($S9,Scénarios!$AI$2:$AI$232,0),MATCH(AQ$4,Scénarios!$B$4:$AI$4,0))=0,"",INDEX(Scénarios!$B$2:$AI$232,MATCH($S9,Scénarios!$AI$2:$AI$232,0),MATCH(AQ$4,Scénarios!$B$4:$AI$4,0))),"-")</f>
        <v>-</v>
      </c>
      <c r="AR9" s="443" t="str">
        <f>IFERROR(INDEX(Scénarios!$B$2:$AI$232,MATCH($S9,Scénarios!$AI$2:$AI$232,0),MATCH(AR$4,Scénarios!$B$4:$AI$4,0)),"-")</f>
        <v>-</v>
      </c>
      <c r="AS9" s="443" t="str">
        <f>IFERROR(INDEX(Param!$A$24:$C$28,MATCH($AR9,Param!$C$24:$C$28,0),1),"-")</f>
        <v>-</v>
      </c>
      <c r="AT9" s="443" t="str">
        <f>IFERROR(IF(INDEX(Scénarios!$B$2:$AI$232,MATCH($S9,Scénarios!$AI$2:$AI$232,0),MATCH(AT$4,Scénarios!$B$4:$AI$4,0))=0,"",INDEX(Scénarios!$B$2:$AI$232,MATCH($S9,Scénarios!$AI$2:$AI$232,0),MATCH(AT$4,Scénarios!$B$4:$AI$4,0))),"-")</f>
        <v>-</v>
      </c>
      <c r="AU9" s="462" t="str">
        <f>IFERROR(INDEX(Scénarios!$B$2:$AI$232,MATCH($S9,Scénarios!$AI$2:$AI$232,0),MATCH(AU$4,Scénarios!$B$4:$AI$4,0)),"-")</f>
        <v>-</v>
      </c>
      <c r="AV9" s="462" t="str">
        <f>IFERROR(INDEX(Scénarios!$B$2:$AI$232,MATCH($S9,Scénarios!$AI$2:$AI$232,0),MATCH(AV$4,Scénarios!$B$4:$AI$4,0)),"-")</f>
        <v>-</v>
      </c>
      <c r="AW9" s="462" t="str">
        <f>IFERROR(INDEX(Scénarios!$B$2:$AI$232,MATCH($S9,Scénarios!$AI$2:$AI$232,0),MATCH(AW$4,Scénarios!$B$4:$AI$4,0)),"-")</f>
        <v>-</v>
      </c>
      <c r="AX9" s="462" t="str">
        <f>IFERROR(INDEX(Scénarios!$B$2:$AI$232,MATCH($S9,Scénarios!$AI$2:$AI$232,0),MATCH(AX$4,Scénarios!$B$4:$AI$4,0)),"-")</f>
        <v>-</v>
      </c>
      <c r="AY9" s="443" t="str">
        <f>IFERROR(INDEX(Scénarios!$B$2:$AI$232,MATCH($S9,Scénarios!$AI$2:$AI$232,0),MATCH(AY$4,Scénarios!$B$4:$AI$4,0)),"-")</f>
        <v>-</v>
      </c>
      <c r="AZ9" s="588" t="str">
        <f>IFERROR(INDEX(Param!$A$31:$C$35,MATCH($AY9,Param!$C$31:$C$35,0),1),"-")</f>
        <v>-</v>
      </c>
      <c r="BA9" s="588" t="str">
        <f>IFERROR(IF(INDEX(Scénarios!$B$2:$AI$232,MATCH($S9,Scénarios!$AI$2:$AI$232,0),MATCH(BA$4,Scénarios!$B$4:$AI$4,0))=0,"",INDEX(Scénarios!$B$2:$AI$232,MATCH($S9,Scénarios!$AI$2:$AI$232,0),MATCH(BA$4,Scénarios!$B$4:$AI$4,0))),"-")</f>
        <v>-</v>
      </c>
      <c r="BB9" s="443" t="str">
        <f>IFERROR(IF(INDEX(Scénarios!$B$2:$AK$237,MATCH($S9,Scénarios!$AI$2:$AI$237,0),MATCH(BB$4,Scénarios!$B$4:$AK$4,0))=0,"",INDEX(Scénarios!$B$2:$AK$237,MATCH($S9,Scénarios!$AI$2:$AI$237,0),MATCH(BB$4,Scénarios!$B$4:$AK$4,0))),"-")</f>
        <v>-</v>
      </c>
      <c r="BC9" s="443" t="str">
        <f>IFERROR(INDEX(Scénarios!$B$2:$AV$232,MATCH($S9,Scénarios!$AI$2:$AI$232,0),MATCH(BC$4,Scénarios!$B$4:$AV$4,0)),"-")</f>
        <v>-</v>
      </c>
    </row>
    <row r="10" spans="1:55" ht="31.5" customHeight="1" x14ac:dyDescent="0.25">
      <c r="J10" s="304"/>
      <c r="K10" s="304"/>
      <c r="L10" s="304"/>
      <c r="M10" s="304"/>
      <c r="O10" s="604" t="str">
        <f t="shared" si="0"/>
        <v>Fiche R6 sans décision :
Veuillez ajouter une décision</v>
      </c>
      <c r="P10" s="609" t="s">
        <v>2188</v>
      </c>
      <c r="Q10" s="605" t="s">
        <v>2067</v>
      </c>
      <c r="R10" s="584" t="s">
        <v>2068</v>
      </c>
      <c r="S10" s="587" t="s">
        <v>1883</v>
      </c>
      <c r="T10" s="588" t="str">
        <f>IFERROR(INDEX(Tab_sel!$B$7:$C$18,MATCH($AB10,Tab_sel!$C$7:$C$18,0),1),"-")</f>
        <v>-</v>
      </c>
      <c r="U10" s="589" t="str">
        <f>IFERROR(INDEX(Scénarios!$B$2:$AI$232,MATCH($S10,Scénarios!$AI$2:$AI$232,0),MATCH(U$4,Scénarios!$B$4:$AI$4,0)),"-")</f>
        <v>-</v>
      </c>
      <c r="V10" s="588" t="str">
        <f>IFERROR(INDEX(Scénarios!$B$2:$AI$232,MATCH($S10,Scénarios!$AI$2:$AI$232,0),MATCH(V$4,Scénarios!$B$4:$AI$4,0)),"-")</f>
        <v>-</v>
      </c>
      <c r="W10" s="588" t="str">
        <f>IFERROR(INDEX(Scénarios!$B$2:$AI$232,MATCH($S10,Scénarios!$AI$2:$AI$232,0),MATCH(W$4,Scénarios!$B$4:$AI$4,0)),"-")</f>
        <v>-</v>
      </c>
      <c r="X10" s="588" t="str">
        <f>IFERROR(VLOOKUP(AD10,Expo!$D$4:$E$35,2,FALSE),"-")</f>
        <v>-</v>
      </c>
      <c r="Y10" s="859" t="str">
        <f>IFERROR(IF(INDEX(Scénarios!$B$2:$AI$232,MATCH($S10,Scénarios!$AI$2:$AI$232,0),MATCH(Y$4,Scénarios!$B$4:$AI$4,0))=0,"",INDEX(Scénarios!$B$2:$AI$232,MATCH($S10,Scénarios!$AI$2:$AI$232,0),MATCH(Y$4,Scénarios!$B$4:$AI$4,0))),"-")</f>
        <v>-</v>
      </c>
      <c r="Z10" s="589" t="str">
        <f>IFERROR(INDEX(Scénarios!$B$2:$AI$232,MATCH($S10,Scénarios!$AI$2:$AI$232,0),MATCH(Z$4,Scénarios!$B$4:$AI$4,0)),"-")</f>
        <v>-</v>
      </c>
      <c r="AA10" s="589" t="str">
        <f>IFERROR(INDEX(Scénarios!$B$2:$AI$232,MATCH($S10,Scénarios!$AI$2:$AI$232,0),MATCH(AA$4,Scénarios!$B$4:$AI$4,0)),"-")</f>
        <v>-</v>
      </c>
      <c r="AB10" s="442" t="str">
        <f>IFERROR(INDEX(Scénarios!$B$2:$AI$232,MATCH($S10,Scénarios!$AI$2:$AI$232,0),MATCH(AB$4,Scénarios!$B$4:$AI$4,0)),"-")</f>
        <v>-</v>
      </c>
      <c r="AC10" s="442" t="str">
        <f>IFERROR(INDEX(Tab_sel!$B$24:$C$27,MATCH($U10,Tab_sel!$C$24:$C$27,0),1),"-")</f>
        <v>-</v>
      </c>
      <c r="AD10" s="443" t="str">
        <f>IFERROR(INDEX(Scénarios!$B$2:$AI$232,MATCH($S10,Scénarios!$AI$2:$AI$232,0),MATCH(AD$4,Scénarios!$B$4:$AI$4,0)),"-")</f>
        <v>-</v>
      </c>
      <c r="AE10" s="460" t="str">
        <f>IFERROR(INDEX(Scénarios!$B$2:$AI$232,MATCH($S10,Scénarios!$AI$2:$AI$232,0),MATCH(AE$4,Scénarios!$B$4:$AI$4,0)),"-")</f>
        <v>-</v>
      </c>
      <c r="AF10" s="460" t="str">
        <f>IFERROR(INDEX(Scénarios!$B$2:$AI$232,MATCH($S10,Scénarios!$AI$2:$AI$232,0),MATCH(AF$4,Scénarios!$B$4:$AI$4,0)),"-")</f>
        <v>-</v>
      </c>
      <c r="AG10" s="460" t="str">
        <f>IFERROR(INDEX(Scénarios!$B$2:$AI$232,MATCH($S10,Scénarios!$AI$2:$AI$232,0),MATCH(AG$4,Scénarios!$B$4:$AI$4,0)),"-")</f>
        <v>-</v>
      </c>
      <c r="AH10" s="460" t="str">
        <f>IFERROR(INDEX(Scénarios!$B$2:$AI$232,MATCH($S10,Scénarios!$AI$2:$AI$232,0),MATCH(AH$4,Scénarios!$B$4:$AI$4,0)),"-")</f>
        <v>-</v>
      </c>
      <c r="AI10" s="443" t="str">
        <f>IFERROR(INDEX(Scénarios!$B$2:$AI$232,MATCH($S10,Scénarios!$AI$2:$AI$232,0),MATCH(AI$4,Scénarios!$B$4:$AI$4,0)),"-")</f>
        <v>-</v>
      </c>
      <c r="AJ10" s="443" t="str">
        <f>IFERROR(INDEX(Param!$A$3:$C$7,MATCH($AI10,Param!$C$3:$C$7,0),1),"-")</f>
        <v>-</v>
      </c>
      <c r="AK10" s="443" t="str">
        <f>IFERROR(IF(INDEX(Scénarios!$B$2:$AI$232,MATCH($S10,Scénarios!$AI$2:$AI$232,0),MATCH(AK$4,Scénarios!$B$4:$AI$4,0))=0,"",INDEX(Scénarios!$B$2:$AI$232,MATCH($S10,Scénarios!$AI$2:$AI$232,0),MATCH(AK$4,Scénarios!$B$4:$AI$4,0))),"-")</f>
        <v>-</v>
      </c>
      <c r="AL10" s="443" t="str">
        <f>IFERROR(INDEX(Scénarios!$B$2:$AI$232,MATCH($S10,Scénarios!$AI$2:$AI$232,0),MATCH(AL$4,Scénarios!$B$4:$AI$4,0)),"-")</f>
        <v>-</v>
      </c>
      <c r="AM10" s="443" t="str">
        <f>IFERROR(INDEX(Param!$A$10:$C$14,MATCH($AL10,Param!$C$10:$C$14,0),1),"-")</f>
        <v>-</v>
      </c>
      <c r="AN10" s="443" t="str">
        <f>IFERROR(IF(INDEX(Scénarios!$B$2:$AI$232,MATCH($S10,Scénarios!$AI$2:$AI$232,0),MATCH(AN$4,Scénarios!$B$4:$AI$4,0))=0,"",INDEX(Scénarios!$B$2:$AI$232,MATCH($S10,Scénarios!$AI$2:$AI$232,0),MATCH(AN$4,Scénarios!$B$4:$AI$4,0))),"-")</f>
        <v>-</v>
      </c>
      <c r="AO10" s="443" t="str">
        <f>IFERROR(INDEX(Scénarios!$B$2:$AI$232,MATCH($S10,Scénarios!$AI$2:$AI$232,0),MATCH(AO$4,Scénarios!$B$4:$AI$4,0)),"-")</f>
        <v>-</v>
      </c>
      <c r="AP10" s="443" t="str">
        <f>IFERROR(INDEX(Param!$A$17:$C$21,MATCH($AO10,Param!$C$17:$C$21,0),1),"-")</f>
        <v>-</v>
      </c>
      <c r="AQ10" s="443" t="str">
        <f>IFERROR(IF(INDEX(Scénarios!$B$2:$AI$232,MATCH($S10,Scénarios!$AI$2:$AI$232,0),MATCH(AQ$4,Scénarios!$B$4:$AI$4,0))=0,"",INDEX(Scénarios!$B$2:$AI$232,MATCH($S10,Scénarios!$AI$2:$AI$232,0),MATCH(AQ$4,Scénarios!$B$4:$AI$4,0))),"-")</f>
        <v>-</v>
      </c>
      <c r="AR10" s="443" t="str">
        <f>IFERROR(INDEX(Scénarios!$B$2:$AI$232,MATCH($S10,Scénarios!$AI$2:$AI$232,0),MATCH(AR$4,Scénarios!$B$4:$AI$4,0)),"-")</f>
        <v>-</v>
      </c>
      <c r="AS10" s="443" t="str">
        <f>IFERROR(INDEX(Param!$A$24:$C$28,MATCH($AR10,Param!$C$24:$C$28,0),1),"-")</f>
        <v>-</v>
      </c>
      <c r="AT10" s="443" t="str">
        <f>IFERROR(IF(INDEX(Scénarios!$B$2:$AI$232,MATCH($S10,Scénarios!$AI$2:$AI$232,0),MATCH(AT$4,Scénarios!$B$4:$AI$4,0))=0,"",INDEX(Scénarios!$B$2:$AI$232,MATCH($S10,Scénarios!$AI$2:$AI$232,0),MATCH(AT$4,Scénarios!$B$4:$AI$4,0))),"-")</f>
        <v>-</v>
      </c>
      <c r="AU10" s="462" t="str">
        <f>IFERROR(INDEX(Scénarios!$B$2:$AI$232,MATCH($S10,Scénarios!$AI$2:$AI$232,0),MATCH(AU$4,Scénarios!$B$4:$AI$4,0)),"-")</f>
        <v>-</v>
      </c>
      <c r="AV10" s="462" t="str">
        <f>IFERROR(INDEX(Scénarios!$B$2:$AI$232,MATCH($S10,Scénarios!$AI$2:$AI$232,0),MATCH(AV$4,Scénarios!$B$4:$AI$4,0)),"-")</f>
        <v>-</v>
      </c>
      <c r="AW10" s="462" t="str">
        <f>IFERROR(INDEX(Scénarios!$B$2:$AI$232,MATCH($S10,Scénarios!$AI$2:$AI$232,0),MATCH(AW$4,Scénarios!$B$4:$AI$4,0)),"-")</f>
        <v>-</v>
      </c>
      <c r="AX10" s="462" t="str">
        <f>IFERROR(INDEX(Scénarios!$B$2:$AI$232,MATCH($S10,Scénarios!$AI$2:$AI$232,0),MATCH(AX$4,Scénarios!$B$4:$AI$4,0)),"-")</f>
        <v>-</v>
      </c>
      <c r="AY10" s="443" t="str">
        <f>IFERROR(INDEX(Scénarios!$B$2:$AI$232,MATCH($S10,Scénarios!$AI$2:$AI$232,0),MATCH(AY$4,Scénarios!$B$4:$AI$4,0)),"-")</f>
        <v>-</v>
      </c>
      <c r="AZ10" s="588" t="str">
        <f>IFERROR(INDEX(Param!$A$31:$C$35,MATCH($AY10,Param!$C$31:$C$35,0),1),"-")</f>
        <v>-</v>
      </c>
      <c r="BA10" s="588" t="str">
        <f>IFERROR(IF(INDEX(Scénarios!$B$2:$AI$232,MATCH($S10,Scénarios!$AI$2:$AI$232,0),MATCH(BA$4,Scénarios!$B$4:$AI$4,0))=0,"",INDEX(Scénarios!$B$2:$AI$232,MATCH($S10,Scénarios!$AI$2:$AI$232,0),MATCH(BA$4,Scénarios!$B$4:$AI$4,0))),"-")</f>
        <v>-</v>
      </c>
      <c r="BB10" s="443" t="str">
        <f>IFERROR(IF(INDEX(Scénarios!$B$2:$AK$237,MATCH($S10,Scénarios!$AI$2:$AI$237,0),MATCH(BB$4,Scénarios!$B$4:$AK$4,0))=0,"",INDEX(Scénarios!$B$2:$AK$237,MATCH($S10,Scénarios!$AI$2:$AI$237,0),MATCH(BB$4,Scénarios!$B$4:$AK$4,0))),"-")</f>
        <v>-</v>
      </c>
      <c r="BC10" s="443" t="str">
        <f>IFERROR(INDEX(Scénarios!$B$2:$AV$232,MATCH($S10,Scénarios!$AI$2:$AI$232,0),MATCH(BC$4,Scénarios!$B$4:$AV$4,0)),"-")</f>
        <v>-</v>
      </c>
    </row>
    <row r="11" spans="1:55" ht="30.75" customHeight="1" x14ac:dyDescent="0.25">
      <c r="J11" s="304"/>
      <c r="K11" s="304"/>
      <c r="L11" s="304"/>
      <c r="M11" s="304"/>
      <c r="O11" s="604" t="str">
        <f t="shared" si="0"/>
        <v>Fiche R7 sans décision :
Veuillez ajouter une décision</v>
      </c>
      <c r="P11" s="609" t="s">
        <v>2188</v>
      </c>
      <c r="Q11" s="605" t="s">
        <v>2067</v>
      </c>
      <c r="R11" s="584" t="s">
        <v>2068</v>
      </c>
      <c r="S11" s="587" t="s">
        <v>1884</v>
      </c>
      <c r="T11" s="588" t="str">
        <f>IFERROR(INDEX(Tab_sel!$B$7:$C$18,MATCH($AB11,Tab_sel!$C$7:$C$18,0),1),"-")</f>
        <v>-</v>
      </c>
      <c r="U11" s="589" t="str">
        <f>IFERROR(INDEX(Scénarios!$B$2:$AI$232,MATCH($S11,Scénarios!$AI$2:$AI$232,0),MATCH(U$4,Scénarios!$B$4:$AI$4,0)),"-")</f>
        <v>-</v>
      </c>
      <c r="V11" s="588" t="str">
        <f>IFERROR(INDEX(Scénarios!$B$2:$AI$232,MATCH($S11,Scénarios!$AI$2:$AI$232,0),MATCH(V$4,Scénarios!$B$4:$AI$4,0)),"-")</f>
        <v>-</v>
      </c>
      <c r="W11" s="588" t="str">
        <f>IFERROR(INDEX(Scénarios!$B$2:$AI$232,MATCH($S11,Scénarios!$AI$2:$AI$232,0),MATCH(W$4,Scénarios!$B$4:$AI$4,0)),"-")</f>
        <v>-</v>
      </c>
      <c r="X11" s="588" t="str">
        <f>IFERROR(VLOOKUP(AD11,Expo!$D$4:$E$35,2,FALSE),"-")</f>
        <v>-</v>
      </c>
      <c r="Y11" s="859" t="str">
        <f>IFERROR(IF(INDEX(Scénarios!$B$2:$AI$232,MATCH($S11,Scénarios!$AI$2:$AI$232,0),MATCH(Y$4,Scénarios!$B$4:$AI$4,0))=0,"",INDEX(Scénarios!$B$2:$AI$232,MATCH($S11,Scénarios!$AI$2:$AI$232,0),MATCH(Y$4,Scénarios!$B$4:$AI$4,0))),"-")</f>
        <v>-</v>
      </c>
      <c r="Z11" s="589" t="str">
        <f>IFERROR(INDEX(Scénarios!$B$2:$AI$232,MATCH($S11,Scénarios!$AI$2:$AI$232,0),MATCH(Z$4,Scénarios!$B$4:$AI$4,0)),"-")</f>
        <v>-</v>
      </c>
      <c r="AA11" s="589" t="str">
        <f>IFERROR(INDEX(Scénarios!$B$2:$AI$232,MATCH($S11,Scénarios!$AI$2:$AI$232,0),MATCH(AA$4,Scénarios!$B$4:$AI$4,0)),"-")</f>
        <v>-</v>
      </c>
      <c r="AB11" s="442" t="str">
        <f>IFERROR(INDEX(Scénarios!$B$2:$AI$232,MATCH($S11,Scénarios!$AI$2:$AI$232,0),MATCH(AB$4,Scénarios!$B$4:$AI$4,0)),"-")</f>
        <v>-</v>
      </c>
      <c r="AC11" s="442" t="str">
        <f>IFERROR(INDEX(Tab_sel!$B$24:$C$27,MATCH($U11,Tab_sel!$C$24:$C$27,0),1),"-")</f>
        <v>-</v>
      </c>
      <c r="AD11" s="443" t="str">
        <f>IFERROR(INDEX(Scénarios!$B$2:$AI$232,MATCH($S11,Scénarios!$AI$2:$AI$232,0),MATCH(AD$4,Scénarios!$B$4:$AI$4,0)),"-")</f>
        <v>-</v>
      </c>
      <c r="AE11" s="460" t="str">
        <f>IFERROR(INDEX(Scénarios!$B$2:$AI$232,MATCH($S11,Scénarios!$AI$2:$AI$232,0),MATCH(AE$4,Scénarios!$B$4:$AI$4,0)),"-")</f>
        <v>-</v>
      </c>
      <c r="AF11" s="460" t="str">
        <f>IFERROR(INDEX(Scénarios!$B$2:$AI$232,MATCH($S11,Scénarios!$AI$2:$AI$232,0),MATCH(AF$4,Scénarios!$B$4:$AI$4,0)),"-")</f>
        <v>-</v>
      </c>
      <c r="AG11" s="460" t="str">
        <f>IFERROR(INDEX(Scénarios!$B$2:$AI$232,MATCH($S11,Scénarios!$AI$2:$AI$232,0),MATCH(AG$4,Scénarios!$B$4:$AI$4,0)),"-")</f>
        <v>-</v>
      </c>
      <c r="AH11" s="460" t="str">
        <f>IFERROR(INDEX(Scénarios!$B$2:$AI$232,MATCH($S11,Scénarios!$AI$2:$AI$232,0),MATCH(AH$4,Scénarios!$B$4:$AI$4,0)),"-")</f>
        <v>-</v>
      </c>
      <c r="AI11" s="443" t="str">
        <f>IFERROR(INDEX(Scénarios!$B$2:$AI$232,MATCH($S11,Scénarios!$AI$2:$AI$232,0),MATCH(AI$4,Scénarios!$B$4:$AI$4,0)),"-")</f>
        <v>-</v>
      </c>
      <c r="AJ11" s="443" t="str">
        <f>IFERROR(INDEX(Param!$A$3:$C$7,MATCH($AI11,Param!$C$3:$C$7,0),1),"-")</f>
        <v>-</v>
      </c>
      <c r="AK11" s="443" t="str">
        <f>IFERROR(IF(INDEX(Scénarios!$B$2:$AI$232,MATCH($S11,Scénarios!$AI$2:$AI$232,0),MATCH(AK$4,Scénarios!$B$4:$AI$4,0))=0,"",INDEX(Scénarios!$B$2:$AI$232,MATCH($S11,Scénarios!$AI$2:$AI$232,0),MATCH(AK$4,Scénarios!$B$4:$AI$4,0))),"-")</f>
        <v>-</v>
      </c>
      <c r="AL11" s="443" t="str">
        <f>IFERROR(INDEX(Scénarios!$B$2:$AI$232,MATCH($S11,Scénarios!$AI$2:$AI$232,0),MATCH(AL$4,Scénarios!$B$4:$AI$4,0)),"-")</f>
        <v>-</v>
      </c>
      <c r="AM11" s="443" t="str">
        <f>IFERROR(INDEX(Param!$A$10:$C$14,MATCH($AL11,Param!$C$10:$C$14,0),1),"-")</f>
        <v>-</v>
      </c>
      <c r="AN11" s="443" t="str">
        <f>IFERROR(IF(INDEX(Scénarios!$B$2:$AI$232,MATCH($S11,Scénarios!$AI$2:$AI$232,0),MATCH(AN$4,Scénarios!$B$4:$AI$4,0))=0,"",INDEX(Scénarios!$B$2:$AI$232,MATCH($S11,Scénarios!$AI$2:$AI$232,0),MATCH(AN$4,Scénarios!$B$4:$AI$4,0))),"-")</f>
        <v>-</v>
      </c>
      <c r="AO11" s="443" t="str">
        <f>IFERROR(INDEX(Scénarios!$B$2:$AI$232,MATCH($S11,Scénarios!$AI$2:$AI$232,0),MATCH(AO$4,Scénarios!$B$4:$AI$4,0)),"-")</f>
        <v>-</v>
      </c>
      <c r="AP11" s="443" t="str">
        <f>IFERROR(INDEX(Param!$A$17:$C$21,MATCH($AO11,Param!$C$17:$C$21,0),1),"-")</f>
        <v>-</v>
      </c>
      <c r="AQ11" s="443" t="str">
        <f>IFERROR(IF(INDEX(Scénarios!$B$2:$AI$232,MATCH($S11,Scénarios!$AI$2:$AI$232,0),MATCH(AQ$4,Scénarios!$B$4:$AI$4,0))=0,"",INDEX(Scénarios!$B$2:$AI$232,MATCH($S11,Scénarios!$AI$2:$AI$232,0),MATCH(AQ$4,Scénarios!$B$4:$AI$4,0))),"-")</f>
        <v>-</v>
      </c>
      <c r="AR11" s="443" t="str">
        <f>IFERROR(INDEX(Scénarios!$B$2:$AI$232,MATCH($S11,Scénarios!$AI$2:$AI$232,0),MATCH(AR$4,Scénarios!$B$4:$AI$4,0)),"-")</f>
        <v>-</v>
      </c>
      <c r="AS11" s="443" t="str">
        <f>IFERROR(INDEX(Param!$A$24:$C$28,MATCH($AR11,Param!$C$24:$C$28,0),1),"-")</f>
        <v>-</v>
      </c>
      <c r="AT11" s="443" t="str">
        <f>IFERROR(IF(INDEX(Scénarios!$B$2:$AI$232,MATCH($S11,Scénarios!$AI$2:$AI$232,0),MATCH(AT$4,Scénarios!$B$4:$AI$4,0))=0,"",INDEX(Scénarios!$B$2:$AI$232,MATCH($S11,Scénarios!$AI$2:$AI$232,0),MATCH(AT$4,Scénarios!$B$4:$AI$4,0))),"-")</f>
        <v>-</v>
      </c>
      <c r="AU11" s="462" t="str">
        <f>IFERROR(INDEX(Scénarios!$B$2:$AI$232,MATCH($S11,Scénarios!$AI$2:$AI$232,0),MATCH(AU$4,Scénarios!$B$4:$AI$4,0)),"-")</f>
        <v>-</v>
      </c>
      <c r="AV11" s="462" t="str">
        <f>IFERROR(INDEX(Scénarios!$B$2:$AI$232,MATCH($S11,Scénarios!$AI$2:$AI$232,0),MATCH(AV$4,Scénarios!$B$4:$AI$4,0)),"-")</f>
        <v>-</v>
      </c>
      <c r="AW11" s="462" t="str">
        <f>IFERROR(INDEX(Scénarios!$B$2:$AI$232,MATCH($S11,Scénarios!$AI$2:$AI$232,0),MATCH(AW$4,Scénarios!$B$4:$AI$4,0)),"-")</f>
        <v>-</v>
      </c>
      <c r="AX11" s="462" t="str">
        <f>IFERROR(INDEX(Scénarios!$B$2:$AI$232,MATCH($S11,Scénarios!$AI$2:$AI$232,0),MATCH(AX$4,Scénarios!$B$4:$AI$4,0)),"-")</f>
        <v>-</v>
      </c>
      <c r="AY11" s="443" t="str">
        <f>IFERROR(INDEX(Scénarios!$B$2:$AI$232,MATCH($S11,Scénarios!$AI$2:$AI$232,0),MATCH(AY$4,Scénarios!$B$4:$AI$4,0)),"-")</f>
        <v>-</v>
      </c>
      <c r="AZ11" s="588" t="str">
        <f>IFERROR(INDEX(Param!$A$31:$C$35,MATCH($AY11,Param!$C$31:$C$35,0),1),"-")</f>
        <v>-</v>
      </c>
      <c r="BA11" s="588" t="str">
        <f>IFERROR(IF(INDEX(Scénarios!$B$2:$AI$232,MATCH($S11,Scénarios!$AI$2:$AI$232,0),MATCH(BA$4,Scénarios!$B$4:$AI$4,0))=0,"",INDEX(Scénarios!$B$2:$AI$232,MATCH($S11,Scénarios!$AI$2:$AI$232,0),MATCH(BA$4,Scénarios!$B$4:$AI$4,0))),"-")</f>
        <v>-</v>
      </c>
      <c r="BB11" s="443" t="str">
        <f>IFERROR(IF(INDEX(Scénarios!$B$2:$AK$237,MATCH($S11,Scénarios!$AI$2:$AI$237,0),MATCH(BB$4,Scénarios!$B$4:$AK$4,0))=0,"",INDEX(Scénarios!$B$2:$AK$237,MATCH($S11,Scénarios!$AI$2:$AI$237,0),MATCH(BB$4,Scénarios!$B$4:$AK$4,0))),"-")</f>
        <v>-</v>
      </c>
      <c r="BC11" s="443" t="str">
        <f>IFERROR(INDEX(Scénarios!$B$2:$AV$232,MATCH($S11,Scénarios!$AI$2:$AI$232,0),MATCH(BC$4,Scénarios!$B$4:$AV$4,0)),"-")</f>
        <v>-</v>
      </c>
    </row>
    <row r="12" spans="1:55" ht="30" customHeight="1" x14ac:dyDescent="0.25">
      <c r="J12" s="304"/>
      <c r="K12" s="304"/>
      <c r="L12" s="304"/>
      <c r="M12" s="304"/>
      <c r="O12" s="604" t="str">
        <f t="shared" si="0"/>
        <v>Fiche R8 sans décision :
Veuillez ajouter une décision</v>
      </c>
      <c r="P12" s="609" t="s">
        <v>2188</v>
      </c>
      <c r="Q12" s="605" t="s">
        <v>2067</v>
      </c>
      <c r="R12" s="584" t="s">
        <v>2068</v>
      </c>
      <c r="S12" s="587" t="s">
        <v>1885</v>
      </c>
      <c r="T12" s="588" t="str">
        <f>IFERROR(INDEX(Tab_sel!$B$7:$C$18,MATCH($AB12,Tab_sel!$C$7:$C$18,0),1),"-")</f>
        <v>-</v>
      </c>
      <c r="U12" s="589" t="str">
        <f>IFERROR(INDEX(Scénarios!$B$2:$AI$232,MATCH($S12,Scénarios!$AI$2:$AI$232,0),MATCH(U$4,Scénarios!$B$4:$AI$4,0)),"-")</f>
        <v>-</v>
      </c>
      <c r="V12" s="588" t="str">
        <f>IFERROR(INDEX(Scénarios!$B$2:$AI$232,MATCH($S12,Scénarios!$AI$2:$AI$232,0),MATCH(V$4,Scénarios!$B$4:$AI$4,0)),"-")</f>
        <v>-</v>
      </c>
      <c r="W12" s="588" t="str">
        <f>IFERROR(INDEX(Scénarios!$B$2:$AI$232,MATCH($S12,Scénarios!$AI$2:$AI$232,0),MATCH(W$4,Scénarios!$B$4:$AI$4,0)),"-")</f>
        <v>-</v>
      </c>
      <c r="X12" s="588" t="str">
        <f>IFERROR(VLOOKUP(AD12,Expo!$D$4:$E$35,2,FALSE),"-")</f>
        <v>-</v>
      </c>
      <c r="Y12" s="859" t="str">
        <f>IFERROR(IF(INDEX(Scénarios!$B$2:$AI$232,MATCH($S12,Scénarios!$AI$2:$AI$232,0),MATCH(Y$4,Scénarios!$B$4:$AI$4,0))=0,"",INDEX(Scénarios!$B$2:$AI$232,MATCH($S12,Scénarios!$AI$2:$AI$232,0),MATCH(Y$4,Scénarios!$B$4:$AI$4,0))),"-")</f>
        <v>-</v>
      </c>
      <c r="Z12" s="589" t="str">
        <f>IFERROR(INDEX(Scénarios!$B$2:$AI$232,MATCH($S12,Scénarios!$AI$2:$AI$232,0),MATCH(Z$4,Scénarios!$B$4:$AI$4,0)),"-")</f>
        <v>-</v>
      </c>
      <c r="AA12" s="589" t="str">
        <f>IFERROR(INDEX(Scénarios!$B$2:$AI$232,MATCH($S12,Scénarios!$AI$2:$AI$232,0),MATCH(AA$4,Scénarios!$B$4:$AI$4,0)),"-")</f>
        <v>-</v>
      </c>
      <c r="AB12" s="442" t="str">
        <f>IFERROR(INDEX(Scénarios!$B$2:$AI$232,MATCH($S12,Scénarios!$AI$2:$AI$232,0),MATCH(AB$4,Scénarios!$B$4:$AI$4,0)),"-")</f>
        <v>-</v>
      </c>
      <c r="AC12" s="442" t="str">
        <f>IFERROR(INDEX(Tab_sel!$B$24:$C$27,MATCH($U12,Tab_sel!$C$24:$C$27,0),1),"-")</f>
        <v>-</v>
      </c>
      <c r="AD12" s="443" t="str">
        <f>IFERROR(INDEX(Scénarios!$B$2:$AI$232,MATCH($S12,Scénarios!$AI$2:$AI$232,0),MATCH(AD$4,Scénarios!$B$4:$AI$4,0)),"-")</f>
        <v>-</v>
      </c>
      <c r="AE12" s="460" t="str">
        <f>IFERROR(INDEX(Scénarios!$B$2:$AI$232,MATCH($S12,Scénarios!$AI$2:$AI$232,0),MATCH(AE$4,Scénarios!$B$4:$AI$4,0)),"-")</f>
        <v>-</v>
      </c>
      <c r="AF12" s="460" t="str">
        <f>IFERROR(INDEX(Scénarios!$B$2:$AI$232,MATCH($S12,Scénarios!$AI$2:$AI$232,0),MATCH(AF$4,Scénarios!$B$4:$AI$4,0)),"-")</f>
        <v>-</v>
      </c>
      <c r="AG12" s="460" t="str">
        <f>IFERROR(INDEX(Scénarios!$B$2:$AI$232,MATCH($S12,Scénarios!$AI$2:$AI$232,0),MATCH(AG$4,Scénarios!$B$4:$AI$4,0)),"-")</f>
        <v>-</v>
      </c>
      <c r="AH12" s="460" t="str">
        <f>IFERROR(INDEX(Scénarios!$B$2:$AI$232,MATCH($S12,Scénarios!$AI$2:$AI$232,0),MATCH(AH$4,Scénarios!$B$4:$AI$4,0)),"-")</f>
        <v>-</v>
      </c>
      <c r="AI12" s="443" t="str">
        <f>IFERROR(INDEX(Scénarios!$B$2:$AI$232,MATCH($S12,Scénarios!$AI$2:$AI$232,0),MATCH(AI$4,Scénarios!$B$4:$AI$4,0)),"-")</f>
        <v>-</v>
      </c>
      <c r="AJ12" s="443" t="str">
        <f>IFERROR(INDEX(Param!$A$3:$C$7,MATCH($AI12,Param!$C$3:$C$7,0),1),"-")</f>
        <v>-</v>
      </c>
      <c r="AK12" s="443" t="str">
        <f>IFERROR(IF(INDEX(Scénarios!$B$2:$AI$232,MATCH($S12,Scénarios!$AI$2:$AI$232,0),MATCH(AK$4,Scénarios!$B$4:$AI$4,0))=0,"",INDEX(Scénarios!$B$2:$AI$232,MATCH($S12,Scénarios!$AI$2:$AI$232,0),MATCH(AK$4,Scénarios!$B$4:$AI$4,0))),"-")</f>
        <v>-</v>
      </c>
      <c r="AL12" s="443" t="str">
        <f>IFERROR(INDEX(Scénarios!$B$2:$AI$232,MATCH($S12,Scénarios!$AI$2:$AI$232,0),MATCH(AL$4,Scénarios!$B$4:$AI$4,0)),"-")</f>
        <v>-</v>
      </c>
      <c r="AM12" s="443" t="str">
        <f>IFERROR(INDEX(Param!$A$10:$C$14,MATCH($AL12,Param!$C$10:$C$14,0),1),"-")</f>
        <v>-</v>
      </c>
      <c r="AN12" s="443" t="str">
        <f>IFERROR(IF(INDEX(Scénarios!$B$2:$AI$232,MATCH($S12,Scénarios!$AI$2:$AI$232,0),MATCH(AN$4,Scénarios!$B$4:$AI$4,0))=0,"",INDEX(Scénarios!$B$2:$AI$232,MATCH($S12,Scénarios!$AI$2:$AI$232,0),MATCH(AN$4,Scénarios!$B$4:$AI$4,0))),"-")</f>
        <v>-</v>
      </c>
      <c r="AO12" s="443" t="str">
        <f>IFERROR(INDEX(Scénarios!$B$2:$AI$232,MATCH($S12,Scénarios!$AI$2:$AI$232,0),MATCH(AO$4,Scénarios!$B$4:$AI$4,0)),"-")</f>
        <v>-</v>
      </c>
      <c r="AP12" s="443" t="str">
        <f>IFERROR(INDEX(Param!$A$17:$C$21,MATCH($AO12,Param!$C$17:$C$21,0),1),"-")</f>
        <v>-</v>
      </c>
      <c r="AQ12" s="443" t="str">
        <f>IFERROR(IF(INDEX(Scénarios!$B$2:$AI$232,MATCH($S12,Scénarios!$AI$2:$AI$232,0),MATCH(AQ$4,Scénarios!$B$4:$AI$4,0))=0,"",INDEX(Scénarios!$B$2:$AI$232,MATCH($S12,Scénarios!$AI$2:$AI$232,0),MATCH(AQ$4,Scénarios!$B$4:$AI$4,0))),"-")</f>
        <v>-</v>
      </c>
      <c r="AR12" s="443" t="str">
        <f>IFERROR(INDEX(Scénarios!$B$2:$AI$232,MATCH($S12,Scénarios!$AI$2:$AI$232,0),MATCH(AR$4,Scénarios!$B$4:$AI$4,0)),"-")</f>
        <v>-</v>
      </c>
      <c r="AS12" s="443" t="str">
        <f>IFERROR(INDEX(Param!$A$24:$C$28,MATCH($AR12,Param!$C$24:$C$28,0),1),"-")</f>
        <v>-</v>
      </c>
      <c r="AT12" s="443" t="str">
        <f>IFERROR(IF(INDEX(Scénarios!$B$2:$AI$232,MATCH($S12,Scénarios!$AI$2:$AI$232,0),MATCH(AT$4,Scénarios!$B$4:$AI$4,0))=0,"",INDEX(Scénarios!$B$2:$AI$232,MATCH($S12,Scénarios!$AI$2:$AI$232,0),MATCH(AT$4,Scénarios!$B$4:$AI$4,0))),"-")</f>
        <v>-</v>
      </c>
      <c r="AU12" s="462" t="str">
        <f>IFERROR(INDEX(Scénarios!$B$2:$AI$232,MATCH($S12,Scénarios!$AI$2:$AI$232,0),MATCH(AU$4,Scénarios!$B$4:$AI$4,0)),"-")</f>
        <v>-</v>
      </c>
      <c r="AV12" s="462" t="str">
        <f>IFERROR(INDEX(Scénarios!$B$2:$AI$232,MATCH($S12,Scénarios!$AI$2:$AI$232,0),MATCH(AV$4,Scénarios!$B$4:$AI$4,0)),"-")</f>
        <v>-</v>
      </c>
      <c r="AW12" s="462" t="str">
        <f>IFERROR(INDEX(Scénarios!$B$2:$AI$232,MATCH($S12,Scénarios!$AI$2:$AI$232,0),MATCH(AW$4,Scénarios!$B$4:$AI$4,0)),"-")</f>
        <v>-</v>
      </c>
      <c r="AX12" s="462" t="str">
        <f>IFERROR(INDEX(Scénarios!$B$2:$AI$232,MATCH($S12,Scénarios!$AI$2:$AI$232,0),MATCH(AX$4,Scénarios!$B$4:$AI$4,0)),"-")</f>
        <v>-</v>
      </c>
      <c r="AY12" s="443" t="str">
        <f>IFERROR(INDEX(Scénarios!$B$2:$AI$232,MATCH($S12,Scénarios!$AI$2:$AI$232,0),MATCH(AY$4,Scénarios!$B$4:$AI$4,0)),"-")</f>
        <v>-</v>
      </c>
      <c r="AZ12" s="588" t="str">
        <f>IFERROR(INDEX(Param!$A$31:$C$35,MATCH($AY12,Param!$C$31:$C$35,0),1),"-")</f>
        <v>-</v>
      </c>
      <c r="BA12" s="588" t="str">
        <f>IFERROR(IF(INDEX(Scénarios!$B$2:$AI$232,MATCH($S12,Scénarios!$AI$2:$AI$232,0),MATCH(BA$4,Scénarios!$B$4:$AI$4,0))=0,"",INDEX(Scénarios!$B$2:$AI$232,MATCH($S12,Scénarios!$AI$2:$AI$232,0),MATCH(BA$4,Scénarios!$B$4:$AI$4,0))),"-")</f>
        <v>-</v>
      </c>
      <c r="BB12" s="443" t="str">
        <f>IFERROR(IF(INDEX(Scénarios!$B$2:$AK$237,MATCH($S12,Scénarios!$AI$2:$AI$237,0),MATCH(BB$4,Scénarios!$B$4:$AK$4,0))=0,"",INDEX(Scénarios!$B$2:$AK$237,MATCH($S12,Scénarios!$AI$2:$AI$237,0),MATCH(BB$4,Scénarios!$B$4:$AK$4,0))),"-")</f>
        <v>-</v>
      </c>
      <c r="BC12" s="443" t="str">
        <f>IFERROR(INDEX(Scénarios!$B$2:$AV$232,MATCH($S12,Scénarios!$AI$2:$AI$232,0),MATCH(BC$4,Scénarios!$B$4:$AV$4,0)),"-")</f>
        <v>-</v>
      </c>
    </row>
    <row r="13" spans="1:55" ht="30" customHeight="1" x14ac:dyDescent="0.25">
      <c r="J13" s="304"/>
      <c r="K13" s="304"/>
      <c r="L13" s="304"/>
      <c r="M13" s="304"/>
      <c r="O13" s="604" t="str">
        <f t="shared" si="0"/>
        <v>Fiche R9 sans décision :
Veuillez ajouter une décision</v>
      </c>
      <c r="P13" s="609" t="s">
        <v>2188</v>
      </c>
      <c r="Q13" s="605" t="s">
        <v>2067</v>
      </c>
      <c r="R13" s="584" t="s">
        <v>2068</v>
      </c>
      <c r="S13" s="587" t="s">
        <v>1886</v>
      </c>
      <c r="T13" s="588" t="str">
        <f>IFERROR(INDEX(Tab_sel!$B$7:$C$18,MATCH($AB13,Tab_sel!$C$7:$C$18,0),1),"-")</f>
        <v>-</v>
      </c>
      <c r="U13" s="589" t="str">
        <f>IFERROR(INDEX(Scénarios!$B$2:$AI$232,MATCH($S13,Scénarios!$AI$2:$AI$232,0),MATCH(U$4,Scénarios!$B$4:$AI$4,0)),"-")</f>
        <v>-</v>
      </c>
      <c r="V13" s="588" t="str">
        <f>IFERROR(INDEX(Scénarios!$B$2:$AI$232,MATCH($S13,Scénarios!$AI$2:$AI$232,0),MATCH(V$4,Scénarios!$B$4:$AI$4,0)),"-")</f>
        <v>-</v>
      </c>
      <c r="W13" s="588" t="str">
        <f>IFERROR(INDEX(Scénarios!$B$2:$AI$232,MATCH($S13,Scénarios!$AI$2:$AI$232,0),MATCH(W$4,Scénarios!$B$4:$AI$4,0)),"-")</f>
        <v>-</v>
      </c>
      <c r="X13" s="588" t="str">
        <f>IFERROR(VLOOKUP(AD13,Expo!$D$4:$E$35,2,FALSE),"-")</f>
        <v>-</v>
      </c>
      <c r="Y13" s="859" t="str">
        <f>IFERROR(IF(INDEX(Scénarios!$B$2:$AI$232,MATCH($S13,Scénarios!$AI$2:$AI$232,0),MATCH(Y$4,Scénarios!$B$4:$AI$4,0))=0,"",INDEX(Scénarios!$B$2:$AI$232,MATCH($S13,Scénarios!$AI$2:$AI$232,0),MATCH(Y$4,Scénarios!$B$4:$AI$4,0))),"-")</f>
        <v>-</v>
      </c>
      <c r="Z13" s="589" t="str">
        <f>IFERROR(INDEX(Scénarios!$B$2:$AI$232,MATCH($S13,Scénarios!$AI$2:$AI$232,0),MATCH(Z$4,Scénarios!$B$4:$AI$4,0)),"-")</f>
        <v>-</v>
      </c>
      <c r="AA13" s="589" t="str">
        <f>IFERROR(INDEX(Scénarios!$B$2:$AI$232,MATCH($S13,Scénarios!$AI$2:$AI$232,0),MATCH(AA$4,Scénarios!$B$4:$AI$4,0)),"-")</f>
        <v>-</v>
      </c>
      <c r="AB13" s="442" t="str">
        <f>IFERROR(INDEX(Scénarios!$B$2:$AI$232,MATCH($S13,Scénarios!$AI$2:$AI$232,0),MATCH(AB$4,Scénarios!$B$4:$AI$4,0)),"-")</f>
        <v>-</v>
      </c>
      <c r="AC13" s="442" t="str">
        <f>IFERROR(INDEX(Tab_sel!$B$24:$C$27,MATCH($U13,Tab_sel!$C$24:$C$27,0),1),"-")</f>
        <v>-</v>
      </c>
      <c r="AD13" s="443" t="str">
        <f>IFERROR(INDEX(Scénarios!$B$2:$AI$232,MATCH($S13,Scénarios!$AI$2:$AI$232,0),MATCH(AD$4,Scénarios!$B$4:$AI$4,0)),"-")</f>
        <v>-</v>
      </c>
      <c r="AE13" s="460" t="str">
        <f>IFERROR(INDEX(Scénarios!$B$2:$AI$232,MATCH($S13,Scénarios!$AI$2:$AI$232,0),MATCH(AE$4,Scénarios!$B$4:$AI$4,0)),"-")</f>
        <v>-</v>
      </c>
      <c r="AF13" s="460" t="str">
        <f>IFERROR(INDEX(Scénarios!$B$2:$AI$232,MATCH($S13,Scénarios!$AI$2:$AI$232,0),MATCH(AF$4,Scénarios!$B$4:$AI$4,0)),"-")</f>
        <v>-</v>
      </c>
      <c r="AG13" s="460" t="str">
        <f>IFERROR(INDEX(Scénarios!$B$2:$AI$232,MATCH($S13,Scénarios!$AI$2:$AI$232,0),MATCH(AG$4,Scénarios!$B$4:$AI$4,0)),"-")</f>
        <v>-</v>
      </c>
      <c r="AH13" s="460" t="str">
        <f>IFERROR(INDEX(Scénarios!$B$2:$AI$232,MATCH($S13,Scénarios!$AI$2:$AI$232,0),MATCH(AH$4,Scénarios!$B$4:$AI$4,0)),"-")</f>
        <v>-</v>
      </c>
      <c r="AI13" s="443" t="str">
        <f>IFERROR(INDEX(Scénarios!$B$2:$AI$232,MATCH($S13,Scénarios!$AI$2:$AI$232,0),MATCH(AI$4,Scénarios!$B$4:$AI$4,0)),"-")</f>
        <v>-</v>
      </c>
      <c r="AJ13" s="443" t="str">
        <f>IFERROR(INDEX(Param!$A$3:$C$7,MATCH($AI13,Param!$C$3:$C$7,0),1),"-")</f>
        <v>-</v>
      </c>
      <c r="AK13" s="443" t="str">
        <f>IFERROR(IF(INDEX(Scénarios!$B$2:$AI$232,MATCH($S13,Scénarios!$AI$2:$AI$232,0),MATCH(AK$4,Scénarios!$B$4:$AI$4,0))=0,"",INDEX(Scénarios!$B$2:$AI$232,MATCH($S13,Scénarios!$AI$2:$AI$232,0),MATCH(AK$4,Scénarios!$B$4:$AI$4,0))),"-")</f>
        <v>-</v>
      </c>
      <c r="AL13" s="443" t="str">
        <f>IFERROR(INDEX(Scénarios!$B$2:$AI$232,MATCH($S13,Scénarios!$AI$2:$AI$232,0),MATCH(AL$4,Scénarios!$B$4:$AI$4,0)),"-")</f>
        <v>-</v>
      </c>
      <c r="AM13" s="443" t="str">
        <f>IFERROR(INDEX(Param!$A$10:$C$14,MATCH($AL13,Param!$C$10:$C$14,0),1),"-")</f>
        <v>-</v>
      </c>
      <c r="AN13" s="443" t="str">
        <f>IFERROR(IF(INDEX(Scénarios!$B$2:$AI$232,MATCH($S13,Scénarios!$AI$2:$AI$232,0),MATCH(AN$4,Scénarios!$B$4:$AI$4,0))=0,"",INDEX(Scénarios!$B$2:$AI$232,MATCH($S13,Scénarios!$AI$2:$AI$232,0),MATCH(AN$4,Scénarios!$B$4:$AI$4,0))),"-")</f>
        <v>-</v>
      </c>
      <c r="AO13" s="443" t="str">
        <f>IFERROR(INDEX(Scénarios!$B$2:$AI$232,MATCH($S13,Scénarios!$AI$2:$AI$232,0),MATCH(AO$4,Scénarios!$B$4:$AI$4,0)),"-")</f>
        <v>-</v>
      </c>
      <c r="AP13" s="443" t="str">
        <f>IFERROR(INDEX(Param!$A$17:$C$21,MATCH($AO13,Param!$C$17:$C$21,0),1),"-")</f>
        <v>-</v>
      </c>
      <c r="AQ13" s="443" t="str">
        <f>IFERROR(IF(INDEX(Scénarios!$B$2:$AI$232,MATCH($S13,Scénarios!$AI$2:$AI$232,0),MATCH(AQ$4,Scénarios!$B$4:$AI$4,0))=0,"",INDEX(Scénarios!$B$2:$AI$232,MATCH($S13,Scénarios!$AI$2:$AI$232,0),MATCH(AQ$4,Scénarios!$B$4:$AI$4,0))),"-")</f>
        <v>-</v>
      </c>
      <c r="AR13" s="443" t="str">
        <f>IFERROR(INDEX(Scénarios!$B$2:$AI$232,MATCH($S13,Scénarios!$AI$2:$AI$232,0),MATCH(AR$4,Scénarios!$B$4:$AI$4,0)),"-")</f>
        <v>-</v>
      </c>
      <c r="AS13" s="443" t="str">
        <f>IFERROR(INDEX(Param!$A$24:$C$28,MATCH($AR13,Param!$C$24:$C$28,0),1),"-")</f>
        <v>-</v>
      </c>
      <c r="AT13" s="443" t="str">
        <f>IFERROR(IF(INDEX(Scénarios!$B$2:$AI$232,MATCH($S13,Scénarios!$AI$2:$AI$232,0),MATCH(AT$4,Scénarios!$B$4:$AI$4,0))=0,"",INDEX(Scénarios!$B$2:$AI$232,MATCH($S13,Scénarios!$AI$2:$AI$232,0),MATCH(AT$4,Scénarios!$B$4:$AI$4,0))),"-")</f>
        <v>-</v>
      </c>
      <c r="AU13" s="462" t="str">
        <f>IFERROR(INDEX(Scénarios!$B$2:$AI$232,MATCH($S13,Scénarios!$AI$2:$AI$232,0),MATCH(AU$4,Scénarios!$B$4:$AI$4,0)),"-")</f>
        <v>-</v>
      </c>
      <c r="AV13" s="462" t="str">
        <f>IFERROR(INDEX(Scénarios!$B$2:$AI$232,MATCH($S13,Scénarios!$AI$2:$AI$232,0),MATCH(AV$4,Scénarios!$B$4:$AI$4,0)),"-")</f>
        <v>-</v>
      </c>
      <c r="AW13" s="462" t="str">
        <f>IFERROR(INDEX(Scénarios!$B$2:$AI$232,MATCH($S13,Scénarios!$AI$2:$AI$232,0),MATCH(AW$4,Scénarios!$B$4:$AI$4,0)),"-")</f>
        <v>-</v>
      </c>
      <c r="AX13" s="462" t="str">
        <f>IFERROR(INDEX(Scénarios!$B$2:$AI$232,MATCH($S13,Scénarios!$AI$2:$AI$232,0),MATCH(AX$4,Scénarios!$B$4:$AI$4,0)),"-")</f>
        <v>-</v>
      </c>
      <c r="AY13" s="443" t="str">
        <f>IFERROR(INDEX(Scénarios!$B$2:$AI$232,MATCH($S13,Scénarios!$AI$2:$AI$232,0),MATCH(AY$4,Scénarios!$B$4:$AI$4,0)),"-")</f>
        <v>-</v>
      </c>
      <c r="AZ13" s="588" t="str">
        <f>IFERROR(INDEX(Param!$A$31:$C$35,MATCH($AY13,Param!$C$31:$C$35,0),1),"-")</f>
        <v>-</v>
      </c>
      <c r="BA13" s="588" t="str">
        <f>IFERROR(IF(INDEX(Scénarios!$B$2:$AI$232,MATCH($S13,Scénarios!$AI$2:$AI$232,0),MATCH(BA$4,Scénarios!$B$4:$AI$4,0))=0,"",INDEX(Scénarios!$B$2:$AI$232,MATCH($S13,Scénarios!$AI$2:$AI$232,0),MATCH(BA$4,Scénarios!$B$4:$AI$4,0))),"-")</f>
        <v>-</v>
      </c>
      <c r="BB13" s="443" t="str">
        <f>IFERROR(IF(INDEX(Scénarios!$B$2:$AK$237,MATCH($S13,Scénarios!$AI$2:$AI$237,0),MATCH(BB$4,Scénarios!$B$4:$AK$4,0))=0,"",INDEX(Scénarios!$B$2:$AK$237,MATCH($S13,Scénarios!$AI$2:$AI$237,0),MATCH(BB$4,Scénarios!$B$4:$AK$4,0))),"-")</f>
        <v>-</v>
      </c>
      <c r="BC13" s="443" t="str">
        <f>IFERROR(INDEX(Scénarios!$B$2:$AV$232,MATCH($S13,Scénarios!$AI$2:$AI$232,0),MATCH(BC$4,Scénarios!$B$4:$AV$4,0)),"-")</f>
        <v>-</v>
      </c>
    </row>
    <row r="14" spans="1:55" ht="25.5" customHeight="1" x14ac:dyDescent="0.25">
      <c r="O14" s="604" t="str">
        <f t="shared" si="0"/>
        <v>Fiche R10 sans décision :
Veuillez ajouter une décision</v>
      </c>
      <c r="P14" s="609" t="s">
        <v>2188</v>
      </c>
      <c r="Q14" s="605" t="s">
        <v>2067</v>
      </c>
      <c r="R14" s="584" t="s">
        <v>2068</v>
      </c>
      <c r="S14" s="587" t="s">
        <v>1887</v>
      </c>
      <c r="T14" s="588" t="str">
        <f>IFERROR(INDEX(Tab_sel!$B$7:$C$18,MATCH($AB14,Tab_sel!$C$7:$C$18,0),1),"-")</f>
        <v>-</v>
      </c>
      <c r="U14" s="589" t="str">
        <f>IFERROR(INDEX(Scénarios!$B$2:$AI$232,MATCH($S14,Scénarios!$AI$2:$AI$232,0),MATCH(U$4,Scénarios!$B$4:$AI$4,0)),"-")</f>
        <v>-</v>
      </c>
      <c r="V14" s="588" t="str">
        <f>IFERROR(INDEX(Scénarios!$B$2:$AI$232,MATCH($S14,Scénarios!$AI$2:$AI$232,0),MATCH(V$4,Scénarios!$B$4:$AI$4,0)),"-")</f>
        <v>-</v>
      </c>
      <c r="W14" s="588" t="str">
        <f>IFERROR(INDEX(Scénarios!$B$2:$AI$232,MATCH($S14,Scénarios!$AI$2:$AI$232,0),MATCH(W$4,Scénarios!$B$4:$AI$4,0)),"-")</f>
        <v>-</v>
      </c>
      <c r="X14" s="588" t="str">
        <f>IFERROR(VLOOKUP(AD14,Expo!$D$4:$E$35,2,FALSE),"-")</f>
        <v>-</v>
      </c>
      <c r="Y14" s="859" t="str">
        <f>IFERROR(IF(INDEX(Scénarios!$B$2:$AI$232,MATCH($S14,Scénarios!$AI$2:$AI$232,0),MATCH(Y$4,Scénarios!$B$4:$AI$4,0))=0,"",INDEX(Scénarios!$B$2:$AI$232,MATCH($S14,Scénarios!$AI$2:$AI$232,0),MATCH(Y$4,Scénarios!$B$4:$AI$4,0))),"-")</f>
        <v>-</v>
      </c>
      <c r="Z14" s="589" t="str">
        <f>IFERROR(INDEX(Scénarios!$B$2:$AI$232,MATCH($S14,Scénarios!$AI$2:$AI$232,0),MATCH(Z$4,Scénarios!$B$4:$AI$4,0)),"-")</f>
        <v>-</v>
      </c>
      <c r="AA14" s="589" t="str">
        <f>IFERROR(INDEX(Scénarios!$B$2:$AI$232,MATCH($S14,Scénarios!$AI$2:$AI$232,0),MATCH(AA$4,Scénarios!$B$4:$AI$4,0)),"-")</f>
        <v>-</v>
      </c>
      <c r="AB14" s="442" t="str">
        <f>IFERROR(INDEX(Scénarios!$B$2:$AI$232,MATCH($S14,Scénarios!$AI$2:$AI$232,0),MATCH(AB$4,Scénarios!$B$4:$AI$4,0)),"-")</f>
        <v>-</v>
      </c>
      <c r="AC14" s="442" t="str">
        <f>IFERROR(INDEX(Tab_sel!$B$24:$C$27,MATCH($U14,Tab_sel!$C$24:$C$27,0),1),"-")</f>
        <v>-</v>
      </c>
      <c r="AD14" s="443" t="str">
        <f>IFERROR(INDEX(Scénarios!$B$2:$AI$232,MATCH($S14,Scénarios!$AI$2:$AI$232,0),MATCH(AD$4,Scénarios!$B$4:$AI$4,0)),"-")</f>
        <v>-</v>
      </c>
      <c r="AE14" s="460" t="str">
        <f>IFERROR(INDEX(Scénarios!$B$2:$AI$232,MATCH($S14,Scénarios!$AI$2:$AI$232,0),MATCH(AE$4,Scénarios!$B$4:$AI$4,0)),"-")</f>
        <v>-</v>
      </c>
      <c r="AF14" s="460" t="str">
        <f>IFERROR(INDEX(Scénarios!$B$2:$AI$232,MATCH($S14,Scénarios!$AI$2:$AI$232,0),MATCH(AF$4,Scénarios!$B$4:$AI$4,0)),"-")</f>
        <v>-</v>
      </c>
      <c r="AG14" s="460" t="str">
        <f>IFERROR(INDEX(Scénarios!$B$2:$AI$232,MATCH($S14,Scénarios!$AI$2:$AI$232,0),MATCH(AG$4,Scénarios!$B$4:$AI$4,0)),"-")</f>
        <v>-</v>
      </c>
      <c r="AH14" s="460" t="str">
        <f>IFERROR(INDEX(Scénarios!$B$2:$AI$232,MATCH($S14,Scénarios!$AI$2:$AI$232,0),MATCH(AH$4,Scénarios!$B$4:$AI$4,0)),"-")</f>
        <v>-</v>
      </c>
      <c r="AI14" s="443" t="str">
        <f>IFERROR(INDEX(Scénarios!$B$2:$AI$232,MATCH($S14,Scénarios!$AI$2:$AI$232,0),MATCH(AI$4,Scénarios!$B$4:$AI$4,0)),"-")</f>
        <v>-</v>
      </c>
      <c r="AJ14" s="443" t="str">
        <f>IFERROR(INDEX(Param!$A$3:$C$7,MATCH($AI14,Param!$C$3:$C$7,0),1),"-")</f>
        <v>-</v>
      </c>
      <c r="AK14" s="443" t="str">
        <f>IFERROR(IF(INDEX(Scénarios!$B$2:$AI$232,MATCH($S14,Scénarios!$AI$2:$AI$232,0),MATCH(AK$4,Scénarios!$B$4:$AI$4,0))=0,"",INDEX(Scénarios!$B$2:$AI$232,MATCH($S14,Scénarios!$AI$2:$AI$232,0),MATCH(AK$4,Scénarios!$B$4:$AI$4,0))),"-")</f>
        <v>-</v>
      </c>
      <c r="AL14" s="443" t="str">
        <f>IFERROR(INDEX(Scénarios!$B$2:$AI$232,MATCH($S14,Scénarios!$AI$2:$AI$232,0),MATCH(AL$4,Scénarios!$B$4:$AI$4,0)),"-")</f>
        <v>-</v>
      </c>
      <c r="AM14" s="443" t="str">
        <f>IFERROR(INDEX(Param!$A$10:$C$14,MATCH($AL14,Param!$C$10:$C$14,0),1),"-")</f>
        <v>-</v>
      </c>
      <c r="AN14" s="443" t="str">
        <f>IFERROR(IF(INDEX(Scénarios!$B$2:$AI$232,MATCH($S14,Scénarios!$AI$2:$AI$232,0),MATCH(AN$4,Scénarios!$B$4:$AI$4,0))=0,"",INDEX(Scénarios!$B$2:$AI$232,MATCH($S14,Scénarios!$AI$2:$AI$232,0),MATCH(AN$4,Scénarios!$B$4:$AI$4,0))),"-")</f>
        <v>-</v>
      </c>
      <c r="AO14" s="443" t="str">
        <f>IFERROR(INDEX(Scénarios!$B$2:$AI$232,MATCH($S14,Scénarios!$AI$2:$AI$232,0),MATCH(AO$4,Scénarios!$B$4:$AI$4,0)),"-")</f>
        <v>-</v>
      </c>
      <c r="AP14" s="443" t="str">
        <f>IFERROR(INDEX(Param!$A$17:$C$21,MATCH($AO14,Param!$C$17:$C$21,0),1),"-")</f>
        <v>-</v>
      </c>
      <c r="AQ14" s="443" t="str">
        <f>IFERROR(IF(INDEX(Scénarios!$B$2:$AI$232,MATCH($S14,Scénarios!$AI$2:$AI$232,0),MATCH(AQ$4,Scénarios!$B$4:$AI$4,0))=0,"",INDEX(Scénarios!$B$2:$AI$232,MATCH($S14,Scénarios!$AI$2:$AI$232,0),MATCH(AQ$4,Scénarios!$B$4:$AI$4,0))),"-")</f>
        <v>-</v>
      </c>
      <c r="AR14" s="443" t="str">
        <f>IFERROR(INDEX(Scénarios!$B$2:$AI$232,MATCH($S14,Scénarios!$AI$2:$AI$232,0),MATCH(AR$4,Scénarios!$B$4:$AI$4,0)),"-")</f>
        <v>-</v>
      </c>
      <c r="AS14" s="443" t="str">
        <f>IFERROR(INDEX(Param!$A$24:$C$28,MATCH($AR14,Param!$C$24:$C$28,0),1),"-")</f>
        <v>-</v>
      </c>
      <c r="AT14" s="443" t="str">
        <f>IFERROR(IF(INDEX(Scénarios!$B$2:$AI$232,MATCH($S14,Scénarios!$AI$2:$AI$232,0),MATCH(AT$4,Scénarios!$B$4:$AI$4,0))=0,"",INDEX(Scénarios!$B$2:$AI$232,MATCH($S14,Scénarios!$AI$2:$AI$232,0),MATCH(AT$4,Scénarios!$B$4:$AI$4,0))),"-")</f>
        <v>-</v>
      </c>
      <c r="AU14" s="462" t="str">
        <f>IFERROR(INDEX(Scénarios!$B$2:$AI$232,MATCH($S14,Scénarios!$AI$2:$AI$232,0),MATCH(AU$4,Scénarios!$B$4:$AI$4,0)),"-")</f>
        <v>-</v>
      </c>
      <c r="AV14" s="462" t="str">
        <f>IFERROR(INDEX(Scénarios!$B$2:$AI$232,MATCH($S14,Scénarios!$AI$2:$AI$232,0),MATCH(AV$4,Scénarios!$B$4:$AI$4,0)),"-")</f>
        <v>-</v>
      </c>
      <c r="AW14" s="462" t="str">
        <f>IFERROR(INDEX(Scénarios!$B$2:$AI$232,MATCH($S14,Scénarios!$AI$2:$AI$232,0),MATCH(AW$4,Scénarios!$B$4:$AI$4,0)),"-")</f>
        <v>-</v>
      </c>
      <c r="AX14" s="462" t="str">
        <f>IFERROR(INDEX(Scénarios!$B$2:$AI$232,MATCH($S14,Scénarios!$AI$2:$AI$232,0),MATCH(AX$4,Scénarios!$B$4:$AI$4,0)),"-")</f>
        <v>-</v>
      </c>
      <c r="AY14" s="443" t="str">
        <f>IFERROR(INDEX(Scénarios!$B$2:$AI$232,MATCH($S14,Scénarios!$AI$2:$AI$232,0),MATCH(AY$4,Scénarios!$B$4:$AI$4,0)),"-")</f>
        <v>-</v>
      </c>
      <c r="AZ14" s="588" t="str">
        <f>IFERROR(INDEX(Param!$A$31:$C$35,MATCH($AY14,Param!$C$31:$C$35,0),1),"-")</f>
        <v>-</v>
      </c>
      <c r="BA14" s="588" t="str">
        <f>IFERROR(IF(INDEX(Scénarios!$B$2:$AI$232,MATCH($S14,Scénarios!$AI$2:$AI$232,0),MATCH(BA$4,Scénarios!$B$4:$AI$4,0))=0,"",INDEX(Scénarios!$B$2:$AI$232,MATCH($S14,Scénarios!$AI$2:$AI$232,0),MATCH(BA$4,Scénarios!$B$4:$AI$4,0))),"-")</f>
        <v>-</v>
      </c>
      <c r="BB14" s="443" t="str">
        <f>IFERROR(IF(INDEX(Scénarios!$B$2:$AK$237,MATCH($S14,Scénarios!$AI$2:$AI$237,0),MATCH(BB$4,Scénarios!$B$4:$AK$4,0))=0,"",INDEX(Scénarios!$B$2:$AK$237,MATCH($S14,Scénarios!$AI$2:$AI$237,0),MATCH(BB$4,Scénarios!$B$4:$AK$4,0))),"-")</f>
        <v>-</v>
      </c>
      <c r="BC14" s="443" t="str">
        <f>IFERROR(INDEX(Scénarios!$B$2:$AV$232,MATCH($S14,Scénarios!$AI$2:$AI$232,0),MATCH(BC$4,Scénarios!$B$4:$AV$4,0)),"-")</f>
        <v>-</v>
      </c>
    </row>
    <row r="15" spans="1:55" ht="30" customHeight="1" x14ac:dyDescent="0.25">
      <c r="O15" s="604" t="str">
        <f t="shared" si="0"/>
        <v>Fiche R11 sans décision :
Veuillez ajouter une décision</v>
      </c>
      <c r="P15" s="609" t="s">
        <v>2188</v>
      </c>
      <c r="Q15" s="605" t="s">
        <v>2067</v>
      </c>
      <c r="R15" s="585" t="s">
        <v>2068</v>
      </c>
      <c r="S15" s="587" t="s">
        <v>1888</v>
      </c>
      <c r="T15" s="588" t="str">
        <f>IFERROR(INDEX(Tab_sel!$B$7:$C$18,MATCH($AB15,Tab_sel!$C$7:$C$18,0),1),"-")</f>
        <v>-</v>
      </c>
      <c r="U15" s="589" t="str">
        <f>IFERROR(INDEX(Scénarios!$B$2:$AI$232,MATCH($S15,Scénarios!$AI$2:$AI$232,0),MATCH(U$4,Scénarios!$B$4:$AI$4,0)),"-")</f>
        <v>-</v>
      </c>
      <c r="V15" s="588" t="str">
        <f>IFERROR(INDEX(Scénarios!$B$2:$AI$232,MATCH($S15,Scénarios!$AI$2:$AI$232,0),MATCH(V$4,Scénarios!$B$4:$AI$4,0)),"-")</f>
        <v>-</v>
      </c>
      <c r="W15" s="588" t="str">
        <f>IFERROR(INDEX(Scénarios!$B$2:$AI$232,MATCH($S15,Scénarios!$AI$2:$AI$232,0),MATCH(W$4,Scénarios!$B$4:$AI$4,0)),"-")</f>
        <v>-</v>
      </c>
      <c r="X15" s="588" t="str">
        <f>IFERROR(VLOOKUP(AD15,Expo!$D$4:$E$35,2,FALSE),"-")</f>
        <v>-</v>
      </c>
      <c r="Y15" s="859" t="str">
        <f>IFERROR(IF(INDEX(Scénarios!$B$2:$AI$232,MATCH($S15,Scénarios!$AI$2:$AI$232,0),MATCH(Y$4,Scénarios!$B$4:$AI$4,0))=0,"",INDEX(Scénarios!$B$2:$AI$232,MATCH($S15,Scénarios!$AI$2:$AI$232,0),MATCH(Y$4,Scénarios!$B$4:$AI$4,0))),"-")</f>
        <v>-</v>
      </c>
      <c r="Z15" s="589" t="str">
        <f>IFERROR(INDEX(Scénarios!$B$2:$AI$232,MATCH($S15,Scénarios!$AI$2:$AI$232,0),MATCH(Z$4,Scénarios!$B$4:$AI$4,0)),"-")</f>
        <v>-</v>
      </c>
      <c r="AA15" s="589" t="str">
        <f>IFERROR(INDEX(Scénarios!$B$2:$AI$232,MATCH($S15,Scénarios!$AI$2:$AI$232,0),MATCH(AA$4,Scénarios!$B$4:$AI$4,0)),"-")</f>
        <v>-</v>
      </c>
      <c r="AB15" s="586" t="str">
        <f>IFERROR(INDEX(Scénarios!$B$2:$AI$232,MATCH($S15,Scénarios!$AI$2:$AI$232,0),MATCH(AB$4,Scénarios!$B$4:$AI$4,0)),"-")</f>
        <v>-</v>
      </c>
      <c r="AC15" s="442" t="str">
        <f>IFERROR(INDEX(Tab_sel!$B$24:$C$27,MATCH($U15,Tab_sel!$C$24:$C$27,0),1),"-")</f>
        <v>-</v>
      </c>
      <c r="AD15" s="443" t="str">
        <f>IFERROR(INDEX(Scénarios!$B$2:$AI$232,MATCH($S15,Scénarios!$AI$2:$AI$232,0),MATCH(AD$4,Scénarios!$B$4:$AI$4,0)),"-")</f>
        <v>-</v>
      </c>
      <c r="AE15" s="460" t="str">
        <f>IFERROR(INDEX(Scénarios!$B$2:$AI$232,MATCH($S15,Scénarios!$AI$2:$AI$232,0),MATCH(AE$4,Scénarios!$B$4:$AI$4,0)),"-")</f>
        <v>-</v>
      </c>
      <c r="AF15" s="460" t="str">
        <f>IFERROR(INDEX(Scénarios!$B$2:$AI$232,MATCH($S15,Scénarios!$AI$2:$AI$232,0),MATCH(AF$4,Scénarios!$B$4:$AI$4,0)),"-")</f>
        <v>-</v>
      </c>
      <c r="AG15" s="460" t="str">
        <f>IFERROR(INDEX(Scénarios!$B$2:$AI$232,MATCH($S15,Scénarios!$AI$2:$AI$232,0),MATCH(AG$4,Scénarios!$B$4:$AI$4,0)),"-")</f>
        <v>-</v>
      </c>
      <c r="AH15" s="460" t="str">
        <f>IFERROR(INDEX(Scénarios!$B$2:$AI$232,MATCH($S15,Scénarios!$AI$2:$AI$232,0),MATCH(AH$4,Scénarios!$B$4:$AI$4,0)),"-")</f>
        <v>-</v>
      </c>
      <c r="AI15" s="443" t="str">
        <f>IFERROR(INDEX(Scénarios!$B$2:$AI$232,MATCH($S15,Scénarios!$AI$2:$AI$232,0),MATCH(AI$4,Scénarios!$B$4:$AI$4,0)),"-")</f>
        <v>-</v>
      </c>
      <c r="AJ15" s="443" t="str">
        <f>IFERROR(INDEX(Param!$A$3:$C$7,MATCH($AI15,Param!$C$3:$C$7,0),1),"-")</f>
        <v>-</v>
      </c>
      <c r="AK15" s="443" t="str">
        <f>IFERROR(IF(INDEX(Scénarios!$B$2:$AI$232,MATCH($S15,Scénarios!$AI$2:$AI$232,0),MATCH(AK$4,Scénarios!$B$4:$AI$4,0))=0,"",INDEX(Scénarios!$B$2:$AI$232,MATCH($S15,Scénarios!$AI$2:$AI$232,0),MATCH(AK$4,Scénarios!$B$4:$AI$4,0))),"-")</f>
        <v>-</v>
      </c>
      <c r="AL15" s="443" t="str">
        <f>IFERROR(INDEX(Scénarios!$B$2:$AI$232,MATCH($S15,Scénarios!$AI$2:$AI$232,0),MATCH(AL$4,Scénarios!$B$4:$AI$4,0)),"-")</f>
        <v>-</v>
      </c>
      <c r="AM15" s="443" t="str">
        <f>IFERROR(INDEX(Param!$A$10:$C$14,MATCH($AL15,Param!$C$10:$C$14,0),1),"-")</f>
        <v>-</v>
      </c>
      <c r="AN15" s="443" t="str">
        <f>IFERROR(IF(INDEX(Scénarios!$B$2:$AI$232,MATCH($S15,Scénarios!$AI$2:$AI$232,0),MATCH(AN$4,Scénarios!$B$4:$AI$4,0))=0,"",INDEX(Scénarios!$B$2:$AI$232,MATCH($S15,Scénarios!$AI$2:$AI$232,0),MATCH(AN$4,Scénarios!$B$4:$AI$4,0))),"-")</f>
        <v>-</v>
      </c>
      <c r="AO15" s="443" t="str">
        <f>IFERROR(INDEX(Scénarios!$B$2:$AI$232,MATCH($S15,Scénarios!$AI$2:$AI$232,0),MATCH(AO$4,Scénarios!$B$4:$AI$4,0)),"-")</f>
        <v>-</v>
      </c>
      <c r="AP15" s="443" t="str">
        <f>IFERROR(INDEX(Param!$A$17:$C$21,MATCH($AO15,Param!$C$17:$C$21,0),1),"-")</f>
        <v>-</v>
      </c>
      <c r="AQ15" s="443" t="str">
        <f>IFERROR(IF(INDEX(Scénarios!$B$2:$AI$232,MATCH($S15,Scénarios!$AI$2:$AI$232,0),MATCH(AQ$4,Scénarios!$B$4:$AI$4,0))=0,"",INDEX(Scénarios!$B$2:$AI$232,MATCH($S15,Scénarios!$AI$2:$AI$232,0),MATCH(AQ$4,Scénarios!$B$4:$AI$4,0))),"-")</f>
        <v>-</v>
      </c>
      <c r="AR15" s="443" t="str">
        <f>IFERROR(INDEX(Scénarios!$B$2:$AI$232,MATCH($S15,Scénarios!$AI$2:$AI$232,0),MATCH(AR$4,Scénarios!$B$4:$AI$4,0)),"-")</f>
        <v>-</v>
      </c>
      <c r="AS15" s="443" t="str">
        <f>IFERROR(INDEX(Param!$A$24:$C$28,MATCH($AR15,Param!$C$24:$C$28,0),1),"-")</f>
        <v>-</v>
      </c>
      <c r="AT15" s="443" t="str">
        <f>IFERROR(IF(INDEX(Scénarios!$B$2:$AI$232,MATCH($S15,Scénarios!$AI$2:$AI$232,0),MATCH(AT$4,Scénarios!$B$4:$AI$4,0))=0,"",INDEX(Scénarios!$B$2:$AI$232,MATCH($S15,Scénarios!$AI$2:$AI$232,0),MATCH(AT$4,Scénarios!$B$4:$AI$4,0))),"-")</f>
        <v>-</v>
      </c>
      <c r="AU15" s="462" t="str">
        <f>IFERROR(INDEX(Scénarios!$B$2:$AI$232,MATCH($S15,Scénarios!$AI$2:$AI$232,0),MATCH(AU$4,Scénarios!$B$4:$AI$4,0)),"-")</f>
        <v>-</v>
      </c>
      <c r="AV15" s="462" t="str">
        <f>IFERROR(INDEX(Scénarios!$B$2:$AI$232,MATCH($S15,Scénarios!$AI$2:$AI$232,0),MATCH(AV$4,Scénarios!$B$4:$AI$4,0)),"-")</f>
        <v>-</v>
      </c>
      <c r="AW15" s="462" t="str">
        <f>IFERROR(INDEX(Scénarios!$B$2:$AI$232,MATCH($S15,Scénarios!$AI$2:$AI$232,0),MATCH(AW$4,Scénarios!$B$4:$AI$4,0)),"-")</f>
        <v>-</v>
      </c>
      <c r="AX15" s="462" t="str">
        <f>IFERROR(INDEX(Scénarios!$B$2:$AI$232,MATCH($S15,Scénarios!$AI$2:$AI$232,0),MATCH(AX$4,Scénarios!$B$4:$AI$4,0)),"-")</f>
        <v>-</v>
      </c>
      <c r="AY15" s="443" t="str">
        <f>IFERROR(INDEX(Scénarios!$B$2:$AI$232,MATCH($S15,Scénarios!$AI$2:$AI$232,0),MATCH(AY$4,Scénarios!$B$4:$AI$4,0)),"-")</f>
        <v>-</v>
      </c>
      <c r="AZ15" s="588" t="str">
        <f>IFERROR(INDEX(Param!$A$31:$C$35,MATCH($AY15,Param!$C$31:$C$35,0),1),"-")</f>
        <v>-</v>
      </c>
      <c r="BA15" s="588" t="str">
        <f>IFERROR(IF(INDEX(Scénarios!$B$2:$AI$232,MATCH($S15,Scénarios!$AI$2:$AI$232,0),MATCH(BA$4,Scénarios!$B$4:$AI$4,0))=0,"",INDEX(Scénarios!$B$2:$AI$232,MATCH($S15,Scénarios!$AI$2:$AI$232,0),MATCH(BA$4,Scénarios!$B$4:$AI$4,0))),"-")</f>
        <v>-</v>
      </c>
      <c r="BB15" s="443" t="str">
        <f>IFERROR(IF(INDEX(Scénarios!$B$2:$AK$237,MATCH($S15,Scénarios!$AI$2:$AI$237,0),MATCH(BB$4,Scénarios!$B$4:$AK$4,0))=0,"",INDEX(Scénarios!$B$2:$AK$237,MATCH($S15,Scénarios!$AI$2:$AI$237,0),MATCH(BB$4,Scénarios!$B$4:$AK$4,0))),"-")</f>
        <v>-</v>
      </c>
      <c r="BC15" s="443" t="str">
        <f>IFERROR(INDEX(Scénarios!$B$2:$AV$232,MATCH($S15,Scénarios!$AI$2:$AI$232,0),MATCH(BC$4,Scénarios!$B$4:$AV$4,0)),"-")</f>
        <v>-</v>
      </c>
    </row>
    <row r="16" spans="1:55" ht="30" customHeight="1" x14ac:dyDescent="0.25">
      <c r="O16" s="604" t="str">
        <f t="shared" si="0"/>
        <v>Fiche R12 sans décision :
Veuillez ajouter une décision</v>
      </c>
      <c r="P16" s="609" t="s">
        <v>2188</v>
      </c>
      <c r="Q16" s="605" t="s">
        <v>2067</v>
      </c>
      <c r="R16" s="585" t="s">
        <v>2068</v>
      </c>
      <c r="S16" s="587" t="s">
        <v>1889</v>
      </c>
      <c r="T16" s="588" t="str">
        <f>IFERROR(INDEX(Tab_sel!$B$7:$C$18,MATCH($AB16,Tab_sel!$C$7:$C$18,0),1),"-")</f>
        <v>-</v>
      </c>
      <c r="U16" s="589" t="str">
        <f>IFERROR(INDEX(Scénarios!$B$2:$AI$232,MATCH($S16,Scénarios!$AI$2:$AI$232,0),MATCH(U$4,Scénarios!$B$4:$AI$4,0)),"-")</f>
        <v>-</v>
      </c>
      <c r="V16" s="588" t="str">
        <f>IFERROR(INDEX(Scénarios!$B$2:$AI$232,MATCH($S16,Scénarios!$AI$2:$AI$232,0),MATCH(V$4,Scénarios!$B$4:$AI$4,0)),"-")</f>
        <v>-</v>
      </c>
      <c r="W16" s="588" t="str">
        <f>IFERROR(INDEX(Scénarios!$B$2:$AI$232,MATCH($S16,Scénarios!$AI$2:$AI$232,0),MATCH(W$4,Scénarios!$B$4:$AI$4,0)),"-")</f>
        <v>-</v>
      </c>
      <c r="X16" s="588" t="str">
        <f>IFERROR(VLOOKUP(AD16,Expo!$D$4:$E$35,2,FALSE),"-")</f>
        <v>-</v>
      </c>
      <c r="Y16" s="859" t="str">
        <f>IFERROR(IF(INDEX(Scénarios!$B$2:$AI$232,MATCH($S16,Scénarios!$AI$2:$AI$232,0),MATCH(Y$4,Scénarios!$B$4:$AI$4,0))=0,"",INDEX(Scénarios!$B$2:$AI$232,MATCH($S16,Scénarios!$AI$2:$AI$232,0),MATCH(Y$4,Scénarios!$B$4:$AI$4,0))),"-")</f>
        <v>-</v>
      </c>
      <c r="Z16" s="589" t="str">
        <f>IFERROR(INDEX(Scénarios!$B$2:$AI$232,MATCH($S16,Scénarios!$AI$2:$AI$232,0),MATCH(Z$4,Scénarios!$B$4:$AI$4,0)),"-")</f>
        <v>-</v>
      </c>
      <c r="AA16" s="589" t="str">
        <f>IFERROR(INDEX(Scénarios!$B$2:$AI$232,MATCH($S16,Scénarios!$AI$2:$AI$232,0),MATCH(AA$4,Scénarios!$B$4:$AI$4,0)),"-")</f>
        <v>-</v>
      </c>
      <c r="AB16" s="586" t="str">
        <f>IFERROR(INDEX(Scénarios!$B$2:$AI$232,MATCH($S16,Scénarios!$AI$2:$AI$232,0),MATCH(AB$4,Scénarios!$B$4:$AI$4,0)),"-")</f>
        <v>-</v>
      </c>
      <c r="AC16" s="442" t="str">
        <f>IFERROR(INDEX(Tab_sel!$B$24:$C$27,MATCH($U16,Tab_sel!$C$24:$C$27,0),1),"-")</f>
        <v>-</v>
      </c>
      <c r="AD16" s="443" t="str">
        <f>IFERROR(INDEX(Scénarios!$B$2:$AI$232,MATCH($S16,Scénarios!$AI$2:$AI$232,0),MATCH(AD$4,Scénarios!$B$4:$AI$4,0)),"-")</f>
        <v>-</v>
      </c>
      <c r="AE16" s="460" t="str">
        <f>IFERROR(INDEX(Scénarios!$B$2:$AI$232,MATCH($S16,Scénarios!$AI$2:$AI$232,0),MATCH(AE$4,Scénarios!$B$4:$AI$4,0)),"-")</f>
        <v>-</v>
      </c>
      <c r="AF16" s="460" t="str">
        <f>IFERROR(INDEX(Scénarios!$B$2:$AI$232,MATCH($S16,Scénarios!$AI$2:$AI$232,0),MATCH(AF$4,Scénarios!$B$4:$AI$4,0)),"-")</f>
        <v>-</v>
      </c>
      <c r="AG16" s="460" t="str">
        <f>IFERROR(INDEX(Scénarios!$B$2:$AI$232,MATCH($S16,Scénarios!$AI$2:$AI$232,0),MATCH(AG$4,Scénarios!$B$4:$AI$4,0)),"-")</f>
        <v>-</v>
      </c>
      <c r="AH16" s="460" t="str">
        <f>IFERROR(INDEX(Scénarios!$B$2:$AI$232,MATCH($S16,Scénarios!$AI$2:$AI$232,0),MATCH(AH$4,Scénarios!$B$4:$AI$4,0)),"-")</f>
        <v>-</v>
      </c>
      <c r="AI16" s="443" t="str">
        <f>IFERROR(INDEX(Scénarios!$B$2:$AI$232,MATCH($S16,Scénarios!$AI$2:$AI$232,0),MATCH(AI$4,Scénarios!$B$4:$AI$4,0)),"-")</f>
        <v>-</v>
      </c>
      <c r="AJ16" s="443" t="str">
        <f>IFERROR(INDEX(Param!$A$3:$C$7,MATCH($AI16,Param!$C$3:$C$7,0),1),"-")</f>
        <v>-</v>
      </c>
      <c r="AK16" s="443" t="str">
        <f>IFERROR(INDEX(Scénarios!$B$2:$AI$232,MATCH($S16,Scénarios!$AI$2:$AI$232,0),MATCH(AK$4,Scénarios!$B$4:$AI$4,0)),"-")</f>
        <v>-</v>
      </c>
      <c r="AL16" s="443" t="str">
        <f>IFERROR(INDEX(Scénarios!$B$2:$AI$232,MATCH($S16,Scénarios!$AI$2:$AI$232,0),MATCH(AL$4,Scénarios!$B$4:$AI$4,0)),"-")</f>
        <v>-</v>
      </c>
      <c r="AM16" s="443" t="str">
        <f>IFERROR(INDEX(Param!$A$10:$C$14,MATCH($AL16,Param!$C$10:$C$14,0),1),"-")</f>
        <v>-</v>
      </c>
      <c r="AN16" s="443" t="str">
        <f>IFERROR(IF(INDEX(Scénarios!$B$2:$AI$232,MATCH($S16,Scénarios!$AI$2:$AI$232,0),MATCH(AN$4,Scénarios!$B$4:$AI$4,0))=0,"",INDEX(Scénarios!$B$2:$AI$232,MATCH($S16,Scénarios!$AI$2:$AI$232,0),MATCH(AN$4,Scénarios!$B$4:$AI$4,0))),"-")</f>
        <v>-</v>
      </c>
      <c r="AO16" s="443" t="str">
        <f>IFERROR(INDEX(Scénarios!$B$2:$AI$232,MATCH($S16,Scénarios!$AI$2:$AI$232,0),MATCH(AO$4,Scénarios!$B$4:$AI$4,0)),"-")</f>
        <v>-</v>
      </c>
      <c r="AP16" s="443" t="str">
        <f>IFERROR(INDEX(Param!$A$17:$C$21,MATCH($AO16,Param!$C$17:$C$21,0),1),"-")</f>
        <v>-</v>
      </c>
      <c r="AQ16" s="443" t="str">
        <f>IFERROR(IF(INDEX(Scénarios!$B$2:$AI$232,MATCH($S16,Scénarios!$AI$2:$AI$232,0),MATCH(AQ$4,Scénarios!$B$4:$AI$4,0))=0,"",INDEX(Scénarios!$B$2:$AI$232,MATCH($S16,Scénarios!$AI$2:$AI$232,0),MATCH(AQ$4,Scénarios!$B$4:$AI$4,0))),"-")</f>
        <v>-</v>
      </c>
      <c r="AR16" s="443" t="str">
        <f>IFERROR(INDEX(Scénarios!$B$2:$AI$232,MATCH($S16,Scénarios!$AI$2:$AI$232,0),MATCH(AR$4,Scénarios!$B$4:$AI$4,0)),"-")</f>
        <v>-</v>
      </c>
      <c r="AS16" s="443" t="str">
        <f>IFERROR(INDEX(Param!$A$24:$C$28,MATCH($AR16,Param!$C$24:$C$28,0),1),"-")</f>
        <v>-</v>
      </c>
      <c r="AT16" s="443" t="str">
        <f>IFERROR(IF(INDEX(Scénarios!$B$2:$AI$232,MATCH($S16,Scénarios!$AI$2:$AI$232,0),MATCH(AT$4,Scénarios!$B$4:$AI$4,0))=0,"",INDEX(Scénarios!$B$2:$AI$232,MATCH($S16,Scénarios!$AI$2:$AI$232,0),MATCH(AT$4,Scénarios!$B$4:$AI$4,0))),"-")</f>
        <v>-</v>
      </c>
      <c r="AU16" s="462" t="str">
        <f>IFERROR(INDEX(Scénarios!$B$2:$AI$232,MATCH($S16,Scénarios!$AI$2:$AI$232,0),MATCH(AU$4,Scénarios!$B$4:$AI$4,0)),"-")</f>
        <v>-</v>
      </c>
      <c r="AV16" s="462" t="str">
        <f>IFERROR(INDEX(Scénarios!$B$2:$AI$232,MATCH($S16,Scénarios!$AI$2:$AI$232,0),MATCH(AV$4,Scénarios!$B$4:$AI$4,0)),"-")</f>
        <v>-</v>
      </c>
      <c r="AW16" s="462" t="str">
        <f>IFERROR(INDEX(Scénarios!$B$2:$AI$232,MATCH($S16,Scénarios!$AI$2:$AI$232,0),MATCH(AW$4,Scénarios!$B$4:$AI$4,0)),"-")</f>
        <v>-</v>
      </c>
      <c r="AX16" s="462" t="str">
        <f>IFERROR(INDEX(Scénarios!$B$2:$AI$232,MATCH($S16,Scénarios!$AI$2:$AI$232,0),MATCH(AX$4,Scénarios!$B$4:$AI$4,0)),"-")</f>
        <v>-</v>
      </c>
      <c r="AY16" s="443" t="str">
        <f>IFERROR(INDEX(Scénarios!$B$2:$AI$232,MATCH($S16,Scénarios!$AI$2:$AI$232,0),MATCH(AY$4,Scénarios!$B$4:$AI$4,0)),"-")</f>
        <v>-</v>
      </c>
      <c r="AZ16" s="588" t="str">
        <f>IFERROR(INDEX(Param!$A$31:$C$35,MATCH($AY16,Param!$C$31:$C$35,0),1),"-")</f>
        <v>-</v>
      </c>
      <c r="BA16" s="588" t="str">
        <f>IFERROR(IF(INDEX(Scénarios!$B$2:$AI$232,MATCH($S16,Scénarios!$AI$2:$AI$232,0),MATCH(BA$4,Scénarios!$B$4:$AI$4,0))=0,"",INDEX(Scénarios!$B$2:$AI$232,MATCH($S16,Scénarios!$AI$2:$AI$232,0),MATCH(BA$4,Scénarios!$B$4:$AI$4,0))),"-")</f>
        <v>-</v>
      </c>
      <c r="BB16" s="443" t="str">
        <f>IFERROR(IF(INDEX(Scénarios!$B$2:$AK$237,MATCH($S16,Scénarios!$AI$2:$AI$237,0),MATCH(BB$4,Scénarios!$B$4:$AK$4,0))=0,"",INDEX(Scénarios!$B$2:$AK$237,MATCH($S16,Scénarios!$AI$2:$AI$237,0),MATCH(BB$4,Scénarios!$B$4:$AK$4,0))),"-")</f>
        <v>-</v>
      </c>
      <c r="BC16" s="443" t="str">
        <f>IFERROR(INDEX(Scénarios!$B$2:$AV$232,MATCH($S16,Scénarios!$AI$2:$AI$232,0),MATCH(BC$4,Scénarios!$B$4:$AV$4,0)),"-")</f>
        <v>-</v>
      </c>
    </row>
    <row r="17" spans="15:55" ht="40.5" customHeight="1" x14ac:dyDescent="0.25">
      <c r="O17" s="604" t="str">
        <f t="shared" si="0"/>
        <v>Fiche R13 sans décision :
Veuillez ajouter une décision</v>
      </c>
      <c r="P17" s="609" t="s">
        <v>2188</v>
      </c>
      <c r="Q17" s="605" t="s">
        <v>2067</v>
      </c>
      <c r="R17" s="585" t="s">
        <v>2068</v>
      </c>
      <c r="S17" s="587" t="s">
        <v>1890</v>
      </c>
      <c r="T17" s="588" t="str">
        <f>IFERROR(INDEX(Tab_sel!$B$7:$C$18,MATCH($AB17,Tab_sel!$C$7:$C$18,0),1),"-")</f>
        <v>-</v>
      </c>
      <c r="U17" s="589" t="str">
        <f>IFERROR(INDEX(Scénarios!$B$2:$AI$232,MATCH($S17,Scénarios!$AI$2:$AI$232,0),MATCH(U$4,Scénarios!$B$4:$AI$4,0)),"-")</f>
        <v>-</v>
      </c>
      <c r="V17" s="588" t="str">
        <f>IFERROR(INDEX(Scénarios!$B$2:$AI$232,MATCH($S17,Scénarios!$AI$2:$AI$232,0),MATCH(V$4,Scénarios!$B$4:$AI$4,0)),"-")</f>
        <v>-</v>
      </c>
      <c r="W17" s="588" t="str">
        <f>IFERROR(INDEX(Scénarios!$B$2:$AI$232,MATCH($S17,Scénarios!$AI$2:$AI$232,0),MATCH(W$4,Scénarios!$B$4:$AI$4,0)),"-")</f>
        <v>-</v>
      </c>
      <c r="X17" s="588" t="str">
        <f>IFERROR(VLOOKUP(AD17,Expo!$D$4:$E$35,2,FALSE),"-")</f>
        <v>-</v>
      </c>
      <c r="Y17" s="859" t="str">
        <f>IFERROR(IF(INDEX(Scénarios!$B$2:$AI$232,MATCH($S17,Scénarios!$AI$2:$AI$232,0),MATCH(Y$4,Scénarios!$B$4:$AI$4,0))=0,"",INDEX(Scénarios!$B$2:$AI$232,MATCH($S17,Scénarios!$AI$2:$AI$232,0),MATCH(Y$4,Scénarios!$B$4:$AI$4,0))),"-")</f>
        <v>-</v>
      </c>
      <c r="Z17" s="589" t="str">
        <f>IFERROR(INDEX(Scénarios!$B$2:$AI$232,MATCH($S17,Scénarios!$AI$2:$AI$232,0),MATCH(Z$4,Scénarios!$B$4:$AI$4,0)),"-")</f>
        <v>-</v>
      </c>
      <c r="AA17" s="589" t="str">
        <f>IFERROR(INDEX(Scénarios!$B$2:$AI$232,MATCH($S17,Scénarios!$AI$2:$AI$232,0),MATCH(AA$4,Scénarios!$B$4:$AI$4,0)),"-")</f>
        <v>-</v>
      </c>
      <c r="AB17" s="586" t="str">
        <f>IFERROR(INDEX(Scénarios!$B$2:$AI$232,MATCH($S17,Scénarios!$AI$2:$AI$232,0),MATCH(AB$4,Scénarios!$B$4:$AI$4,0)),"-")</f>
        <v>-</v>
      </c>
      <c r="AC17" s="442" t="str">
        <f>IFERROR(INDEX(Tab_sel!$B$24:$C$27,MATCH($U17,Tab_sel!$C$24:$C$27,0),1),"-")</f>
        <v>-</v>
      </c>
      <c r="AD17" s="443" t="str">
        <f>IFERROR(INDEX(Scénarios!$B$2:$AI$232,MATCH($S17,Scénarios!$AI$2:$AI$232,0),MATCH(AD$4,Scénarios!$B$4:$AI$4,0)),"-")</f>
        <v>-</v>
      </c>
      <c r="AE17" s="460" t="str">
        <f>IFERROR(INDEX(Scénarios!$B$2:$AI$232,MATCH($S17,Scénarios!$AI$2:$AI$232,0),MATCH(AE$4,Scénarios!$B$4:$AI$4,0)),"-")</f>
        <v>-</v>
      </c>
      <c r="AF17" s="460" t="str">
        <f>IFERROR(INDEX(Scénarios!$B$2:$AI$232,MATCH($S17,Scénarios!$AI$2:$AI$232,0),MATCH(AF$4,Scénarios!$B$4:$AI$4,0)),"-")</f>
        <v>-</v>
      </c>
      <c r="AG17" s="460" t="str">
        <f>IFERROR(INDEX(Scénarios!$B$2:$AI$232,MATCH($S17,Scénarios!$AI$2:$AI$232,0),MATCH(AG$4,Scénarios!$B$4:$AI$4,0)),"-")</f>
        <v>-</v>
      </c>
      <c r="AH17" s="460" t="str">
        <f>IFERROR(INDEX(Scénarios!$B$2:$AI$232,MATCH($S17,Scénarios!$AI$2:$AI$232,0),MATCH(AH$4,Scénarios!$B$4:$AI$4,0)),"-")</f>
        <v>-</v>
      </c>
      <c r="AI17" s="443" t="str">
        <f>IFERROR(INDEX(Scénarios!$B$2:$AI$232,MATCH($S17,Scénarios!$AI$2:$AI$232,0),MATCH(AI$4,Scénarios!$B$4:$AI$4,0)),"-")</f>
        <v>-</v>
      </c>
      <c r="AJ17" s="443" t="str">
        <f>IFERROR(INDEX(Param!$A$3:$C$7,MATCH($AI17,Param!$C$3:$C$7,0),1),"-")</f>
        <v>-</v>
      </c>
      <c r="AK17" s="443" t="str">
        <f>IFERROR(INDEX(Scénarios!$B$2:$AI$232,MATCH($S17,Scénarios!$AI$2:$AI$232,0),MATCH(AK$4,Scénarios!$B$4:$AI$4,0)),"-")</f>
        <v>-</v>
      </c>
      <c r="AL17" s="443" t="str">
        <f>IFERROR(INDEX(Scénarios!$B$2:$AI$232,MATCH($S17,Scénarios!$AI$2:$AI$232,0),MATCH(AL$4,Scénarios!$B$4:$AI$4,0)),"-")</f>
        <v>-</v>
      </c>
      <c r="AM17" s="443" t="str">
        <f>IFERROR(INDEX(Param!$A$10:$C$14,MATCH($AL17,Param!$C$10:$C$14,0),1),"-")</f>
        <v>-</v>
      </c>
      <c r="AN17" s="443" t="str">
        <f>IFERROR(IF(INDEX(Scénarios!$B$2:$AI$232,MATCH($S17,Scénarios!$AI$2:$AI$232,0),MATCH(AN$4,Scénarios!$B$4:$AI$4,0))=0,"",INDEX(Scénarios!$B$2:$AI$232,MATCH($S17,Scénarios!$AI$2:$AI$232,0),MATCH(AN$4,Scénarios!$B$4:$AI$4,0))),"-")</f>
        <v>-</v>
      </c>
      <c r="AO17" s="443" t="str">
        <f>IFERROR(INDEX(Scénarios!$B$2:$AI$232,MATCH($S17,Scénarios!$AI$2:$AI$232,0),MATCH(AO$4,Scénarios!$B$4:$AI$4,0)),"-")</f>
        <v>-</v>
      </c>
      <c r="AP17" s="443" t="str">
        <f>IFERROR(INDEX(Param!$A$17:$C$21,MATCH($AO17,Param!$C$17:$C$21,0),1),"-")</f>
        <v>-</v>
      </c>
      <c r="AQ17" s="443" t="str">
        <f>IFERROR(IF(INDEX(Scénarios!$B$2:$AI$232,MATCH($S17,Scénarios!$AI$2:$AI$232,0),MATCH(AQ$4,Scénarios!$B$4:$AI$4,0))=0,"",INDEX(Scénarios!$B$2:$AI$232,MATCH($S17,Scénarios!$AI$2:$AI$232,0),MATCH(AQ$4,Scénarios!$B$4:$AI$4,0))),"-")</f>
        <v>-</v>
      </c>
      <c r="AR17" s="443" t="str">
        <f>IFERROR(INDEX(Scénarios!$B$2:$AI$232,MATCH($S17,Scénarios!$AI$2:$AI$232,0),MATCH(AR$4,Scénarios!$B$4:$AI$4,0)),"-")</f>
        <v>-</v>
      </c>
      <c r="AS17" s="443" t="str">
        <f>IFERROR(INDEX(Param!$A$24:$C$28,MATCH($AR17,Param!$C$24:$C$28,0),1),"-")</f>
        <v>-</v>
      </c>
      <c r="AT17" s="443" t="str">
        <f>IFERROR(IF(INDEX(Scénarios!$B$2:$AI$232,MATCH($S17,Scénarios!$AI$2:$AI$232,0),MATCH(AT$4,Scénarios!$B$4:$AI$4,0))=0,"",INDEX(Scénarios!$B$2:$AI$232,MATCH($S17,Scénarios!$AI$2:$AI$232,0),MATCH(AT$4,Scénarios!$B$4:$AI$4,0))),"-")</f>
        <v>-</v>
      </c>
      <c r="AU17" s="462" t="str">
        <f>IFERROR(INDEX(Scénarios!$B$2:$AI$232,MATCH($S17,Scénarios!$AI$2:$AI$232,0),MATCH(AU$4,Scénarios!$B$4:$AI$4,0)),"-")</f>
        <v>-</v>
      </c>
      <c r="AV17" s="462" t="str">
        <f>IFERROR(INDEX(Scénarios!$B$2:$AI$232,MATCH($S17,Scénarios!$AI$2:$AI$232,0),MATCH(AV$4,Scénarios!$B$4:$AI$4,0)),"-")</f>
        <v>-</v>
      </c>
      <c r="AW17" s="462" t="str">
        <f>IFERROR(INDEX(Scénarios!$B$2:$AI$232,MATCH($S17,Scénarios!$AI$2:$AI$232,0),MATCH(AW$4,Scénarios!$B$4:$AI$4,0)),"-")</f>
        <v>-</v>
      </c>
      <c r="AX17" s="462" t="str">
        <f>IFERROR(INDEX(Scénarios!$B$2:$AI$232,MATCH($S17,Scénarios!$AI$2:$AI$232,0),MATCH(AX$4,Scénarios!$B$4:$AI$4,0)),"-")</f>
        <v>-</v>
      </c>
      <c r="AY17" s="443" t="str">
        <f>IFERROR(INDEX(Scénarios!$B$2:$AI$232,MATCH($S17,Scénarios!$AI$2:$AI$232,0),MATCH(AY$4,Scénarios!$B$4:$AI$4,0)),"-")</f>
        <v>-</v>
      </c>
      <c r="AZ17" s="588" t="str">
        <f>IFERROR(INDEX(Param!$A$31:$C$35,MATCH($AY17,Param!$C$31:$C$35,0),1),"-")</f>
        <v>-</v>
      </c>
      <c r="BA17" s="588" t="str">
        <f>IFERROR(IF(INDEX(Scénarios!$B$2:$AI$232,MATCH($S17,Scénarios!$AI$2:$AI$232,0),MATCH(BA$4,Scénarios!$B$4:$AI$4,0))=0,"",INDEX(Scénarios!$B$2:$AI$232,MATCH($S17,Scénarios!$AI$2:$AI$232,0),MATCH(BA$4,Scénarios!$B$4:$AI$4,0))),"-")</f>
        <v>-</v>
      </c>
      <c r="BB17" s="443" t="str">
        <f>IFERROR(IF(INDEX(Scénarios!$B$2:$AK$237,MATCH($S17,Scénarios!$AI$2:$AI$237,0),MATCH(BB$4,Scénarios!$B$4:$AK$4,0))=0,"",INDEX(Scénarios!$B$2:$AK$237,MATCH($S17,Scénarios!$AI$2:$AI$237,0),MATCH(BB$4,Scénarios!$B$4:$AK$4,0))),"-")</f>
        <v>-</v>
      </c>
      <c r="BC17" s="443" t="str">
        <f>IFERROR(INDEX(Scénarios!$B$2:$AV$232,MATCH($S17,Scénarios!$AI$2:$AI$232,0),MATCH(BC$4,Scénarios!$B$4:$AV$4,0)),"-")</f>
        <v>-</v>
      </c>
    </row>
    <row r="18" spans="15:55" ht="30.75" customHeight="1" x14ac:dyDescent="0.25">
      <c r="O18" s="604" t="str">
        <f t="shared" si="0"/>
        <v>Fiche R14 sans décision :
Veuillez ajouter une décision</v>
      </c>
      <c r="P18" s="609" t="s">
        <v>2188</v>
      </c>
      <c r="Q18" s="605" t="s">
        <v>2067</v>
      </c>
      <c r="R18" s="585" t="s">
        <v>2068</v>
      </c>
      <c r="S18" s="587" t="s">
        <v>1891</v>
      </c>
      <c r="T18" s="588" t="str">
        <f>IFERROR(INDEX(Tab_sel!$B$7:$C$18,MATCH($AB18,Tab_sel!$C$7:$C$18,0),1),"-")</f>
        <v>-</v>
      </c>
      <c r="U18" s="589" t="str">
        <f>IFERROR(INDEX(Scénarios!$B$2:$AI$232,MATCH($S18,Scénarios!$AI$2:$AI$232,0),MATCH(U$4,Scénarios!$B$4:$AI$4,0)),"-")</f>
        <v>-</v>
      </c>
      <c r="V18" s="588" t="str">
        <f>IFERROR(INDEX(Scénarios!$B$2:$AI$232,MATCH($S18,Scénarios!$AI$2:$AI$232,0),MATCH(V$4,Scénarios!$B$4:$AI$4,0)),"-")</f>
        <v>-</v>
      </c>
      <c r="W18" s="588" t="str">
        <f>IFERROR(INDEX(Scénarios!$B$2:$AI$232,MATCH($S18,Scénarios!$AI$2:$AI$232,0),MATCH(W$4,Scénarios!$B$4:$AI$4,0)),"-")</f>
        <v>-</v>
      </c>
      <c r="X18" s="588" t="str">
        <f>IFERROR(VLOOKUP(AD18,Expo!$D$4:$E$35,2,FALSE),"-")</f>
        <v>-</v>
      </c>
      <c r="Y18" s="859" t="str">
        <f>IFERROR(IF(INDEX(Scénarios!$B$2:$AI$232,MATCH($S18,Scénarios!$AI$2:$AI$232,0),MATCH(Y$4,Scénarios!$B$4:$AI$4,0))=0,"",INDEX(Scénarios!$B$2:$AI$232,MATCH($S18,Scénarios!$AI$2:$AI$232,0),MATCH(Y$4,Scénarios!$B$4:$AI$4,0))),"-")</f>
        <v>-</v>
      </c>
      <c r="Z18" s="589" t="str">
        <f>IFERROR(INDEX(Scénarios!$B$2:$AI$232,MATCH($S18,Scénarios!$AI$2:$AI$232,0),MATCH(Z$4,Scénarios!$B$4:$AI$4,0)),"-")</f>
        <v>-</v>
      </c>
      <c r="AA18" s="589" t="str">
        <f>IFERROR(INDEX(Scénarios!$B$2:$AI$232,MATCH($S18,Scénarios!$AI$2:$AI$232,0),MATCH(AA$4,Scénarios!$B$4:$AI$4,0)),"-")</f>
        <v>-</v>
      </c>
      <c r="AB18" s="586" t="str">
        <f>IFERROR(INDEX(Scénarios!$B$2:$AI$232,MATCH($S18,Scénarios!$AI$2:$AI$232,0),MATCH(AB$4,Scénarios!$B$4:$AI$4,0)),"-")</f>
        <v>-</v>
      </c>
      <c r="AC18" s="442" t="str">
        <f>IFERROR(INDEX(Tab_sel!$B$24:$C$27,MATCH($U18,Tab_sel!$C$24:$C$27,0),1),"-")</f>
        <v>-</v>
      </c>
      <c r="AD18" s="443" t="str">
        <f>IFERROR(INDEX(Scénarios!$B$2:$AI$232,MATCH($S18,Scénarios!$AI$2:$AI$232,0),MATCH(AD$4,Scénarios!$B$4:$AI$4,0)),"-")</f>
        <v>-</v>
      </c>
      <c r="AE18" s="460" t="str">
        <f>IFERROR(INDEX(Scénarios!$B$2:$AI$232,MATCH($S18,Scénarios!$AI$2:$AI$232,0),MATCH(AE$4,Scénarios!$B$4:$AI$4,0)),"-")</f>
        <v>-</v>
      </c>
      <c r="AF18" s="460" t="str">
        <f>IFERROR(INDEX(Scénarios!$B$2:$AI$232,MATCH($S18,Scénarios!$AI$2:$AI$232,0),MATCH(AF$4,Scénarios!$B$4:$AI$4,0)),"-")</f>
        <v>-</v>
      </c>
      <c r="AG18" s="460" t="str">
        <f>IFERROR(INDEX(Scénarios!$B$2:$AI$232,MATCH($S18,Scénarios!$AI$2:$AI$232,0),MATCH(AG$4,Scénarios!$B$4:$AI$4,0)),"-")</f>
        <v>-</v>
      </c>
      <c r="AH18" s="460" t="str">
        <f>IFERROR(INDEX(Scénarios!$B$2:$AI$232,MATCH($S18,Scénarios!$AI$2:$AI$232,0),MATCH(AH$4,Scénarios!$B$4:$AI$4,0)),"-")</f>
        <v>-</v>
      </c>
      <c r="AI18" s="443" t="str">
        <f>IFERROR(INDEX(Scénarios!$B$2:$AI$232,MATCH($S18,Scénarios!$AI$2:$AI$232,0),MATCH(AI$4,Scénarios!$B$4:$AI$4,0)),"-")</f>
        <v>-</v>
      </c>
      <c r="AJ18" s="443" t="str">
        <f>IFERROR(INDEX(Param!$A$3:$C$7,MATCH($AI18,Param!$C$3:$C$7,0),1),"-")</f>
        <v>-</v>
      </c>
      <c r="AK18" s="443" t="str">
        <f>IFERROR(INDEX(Scénarios!$B$2:$AI$232,MATCH($S18,Scénarios!$AI$2:$AI$232,0),MATCH(AK$4,Scénarios!$B$4:$AI$4,0)),"-")</f>
        <v>-</v>
      </c>
      <c r="AL18" s="443" t="str">
        <f>IFERROR(INDEX(Scénarios!$B$2:$AI$232,MATCH($S18,Scénarios!$AI$2:$AI$232,0),MATCH(AL$4,Scénarios!$B$4:$AI$4,0)),"-")</f>
        <v>-</v>
      </c>
      <c r="AM18" s="443" t="str">
        <f>IFERROR(INDEX(Param!$A$10:$C$14,MATCH($AL18,Param!$C$10:$C$14,0),1),"-")</f>
        <v>-</v>
      </c>
      <c r="AN18" s="443" t="str">
        <f>IFERROR(IF(INDEX(Scénarios!$B$2:$AI$232,MATCH($S18,Scénarios!$AI$2:$AI$232,0),MATCH(AN$4,Scénarios!$B$4:$AI$4,0))=0,"",INDEX(Scénarios!$B$2:$AI$232,MATCH($S18,Scénarios!$AI$2:$AI$232,0),MATCH(AN$4,Scénarios!$B$4:$AI$4,0))),"-")</f>
        <v>-</v>
      </c>
      <c r="AO18" s="443" t="str">
        <f>IFERROR(INDEX(Scénarios!$B$2:$AI$232,MATCH($S18,Scénarios!$AI$2:$AI$232,0),MATCH(AO$4,Scénarios!$B$4:$AI$4,0)),"-")</f>
        <v>-</v>
      </c>
      <c r="AP18" s="443" t="str">
        <f>IFERROR(INDEX(Param!$A$17:$C$21,MATCH($AO18,Param!$C$17:$C$21,0),1),"-")</f>
        <v>-</v>
      </c>
      <c r="AQ18" s="443" t="str">
        <f>IFERROR(IF(INDEX(Scénarios!$B$2:$AI$232,MATCH($S18,Scénarios!$AI$2:$AI$232,0),MATCH(AQ$4,Scénarios!$B$4:$AI$4,0))=0,"",INDEX(Scénarios!$B$2:$AI$232,MATCH($S18,Scénarios!$AI$2:$AI$232,0),MATCH(AQ$4,Scénarios!$B$4:$AI$4,0))),"-")</f>
        <v>-</v>
      </c>
      <c r="AR18" s="443" t="str">
        <f>IFERROR(INDEX(Scénarios!$B$2:$AI$232,MATCH($S18,Scénarios!$AI$2:$AI$232,0),MATCH(AR$4,Scénarios!$B$4:$AI$4,0)),"-")</f>
        <v>-</v>
      </c>
      <c r="AS18" s="443" t="str">
        <f>IFERROR(INDEX(Param!$A$24:$C$28,MATCH($AR18,Param!$C$24:$C$28,0),1),"-")</f>
        <v>-</v>
      </c>
      <c r="AT18" s="443" t="str">
        <f>IFERROR(IF(INDEX(Scénarios!$B$2:$AI$232,MATCH($S18,Scénarios!$AI$2:$AI$232,0),MATCH(AT$4,Scénarios!$B$4:$AI$4,0))=0,"",INDEX(Scénarios!$B$2:$AI$232,MATCH($S18,Scénarios!$AI$2:$AI$232,0),MATCH(AT$4,Scénarios!$B$4:$AI$4,0))),"-")</f>
        <v>-</v>
      </c>
      <c r="AU18" s="462" t="str">
        <f>IFERROR(INDEX(Scénarios!$B$2:$AI$232,MATCH($S18,Scénarios!$AI$2:$AI$232,0),MATCH(AU$4,Scénarios!$B$4:$AI$4,0)),"-")</f>
        <v>-</v>
      </c>
      <c r="AV18" s="462" t="str">
        <f>IFERROR(INDEX(Scénarios!$B$2:$AI$232,MATCH($S18,Scénarios!$AI$2:$AI$232,0),MATCH(AV$4,Scénarios!$B$4:$AI$4,0)),"-")</f>
        <v>-</v>
      </c>
      <c r="AW18" s="462" t="str">
        <f>IFERROR(INDEX(Scénarios!$B$2:$AI$232,MATCH($S18,Scénarios!$AI$2:$AI$232,0),MATCH(AW$4,Scénarios!$B$4:$AI$4,0)),"-")</f>
        <v>-</v>
      </c>
      <c r="AX18" s="462" t="str">
        <f>IFERROR(INDEX(Scénarios!$B$2:$AI$232,MATCH($S18,Scénarios!$AI$2:$AI$232,0),MATCH(AX$4,Scénarios!$B$4:$AI$4,0)),"-")</f>
        <v>-</v>
      </c>
      <c r="AY18" s="443" t="str">
        <f>IFERROR(INDEX(Scénarios!$B$2:$AI$232,MATCH($S18,Scénarios!$AI$2:$AI$232,0),MATCH(AY$4,Scénarios!$B$4:$AI$4,0)),"-")</f>
        <v>-</v>
      </c>
      <c r="AZ18" s="588" t="str">
        <f>IFERROR(INDEX(Param!$A$31:$C$35,MATCH($AY18,Param!$C$31:$C$35,0),1),"-")</f>
        <v>-</v>
      </c>
      <c r="BA18" s="588" t="str">
        <f>IFERROR(IF(INDEX(Scénarios!$B$2:$AI$232,MATCH($S18,Scénarios!$AI$2:$AI$232,0),MATCH(BA$4,Scénarios!$B$4:$AI$4,0))=0,"",INDEX(Scénarios!$B$2:$AI$232,MATCH($S18,Scénarios!$AI$2:$AI$232,0),MATCH(BA$4,Scénarios!$B$4:$AI$4,0))),"-")</f>
        <v>-</v>
      </c>
      <c r="BB18" s="443" t="str">
        <f>IFERROR(IF(INDEX(Scénarios!$B$2:$AK$237,MATCH($S18,Scénarios!$AI$2:$AI$237,0),MATCH(BB$4,Scénarios!$B$4:$AK$4,0))=0,"",INDEX(Scénarios!$B$2:$AK$237,MATCH($S18,Scénarios!$AI$2:$AI$237,0),MATCH(BB$4,Scénarios!$B$4:$AK$4,0))),"-")</f>
        <v>-</v>
      </c>
      <c r="BC18" s="443" t="str">
        <f>IFERROR(INDEX(Scénarios!$B$2:$AV$232,MATCH($S18,Scénarios!$AI$2:$AI$232,0),MATCH(BC$4,Scénarios!$B$4:$AV$4,0)),"-")</f>
        <v>-</v>
      </c>
    </row>
    <row r="19" spans="15:55" ht="25.5" customHeight="1" x14ac:dyDescent="0.25">
      <c r="O19" s="604" t="str">
        <f t="shared" si="0"/>
        <v>Fiche R15 sans décision :
Veuillez ajouter une décision</v>
      </c>
      <c r="P19" s="609" t="s">
        <v>2188</v>
      </c>
      <c r="Q19" s="605" t="s">
        <v>2067</v>
      </c>
      <c r="R19" s="585" t="s">
        <v>2068</v>
      </c>
      <c r="S19" s="587" t="s">
        <v>1892</v>
      </c>
      <c r="T19" s="588" t="str">
        <f>IFERROR(INDEX(Tab_sel!$B$7:$C$18,MATCH($AB19,Tab_sel!$C$7:$C$18,0),1),"-")</f>
        <v>-</v>
      </c>
      <c r="U19" s="589" t="str">
        <f>IFERROR(INDEX(Scénarios!$B$2:$AI$232,MATCH($S19,Scénarios!$AI$2:$AI$232,0),MATCH(U$4,Scénarios!$B$4:$AI$4,0)),"-")</f>
        <v>-</v>
      </c>
      <c r="V19" s="588" t="str">
        <f>IFERROR(INDEX(Scénarios!$B$2:$AI$232,MATCH($S19,Scénarios!$AI$2:$AI$232,0),MATCH(V$4,Scénarios!$B$4:$AI$4,0)),"-")</f>
        <v>-</v>
      </c>
      <c r="W19" s="588" t="str">
        <f>IFERROR(INDEX(Scénarios!$B$2:$AI$232,MATCH($S19,Scénarios!$AI$2:$AI$232,0),MATCH(W$4,Scénarios!$B$4:$AI$4,0)),"-")</f>
        <v>-</v>
      </c>
      <c r="X19" s="588" t="str">
        <f>IFERROR(VLOOKUP(AD19,Expo!$D$4:$E$35,2,FALSE),"-")</f>
        <v>-</v>
      </c>
      <c r="Y19" s="859" t="str">
        <f>IFERROR(IF(INDEX(Scénarios!$B$2:$AI$232,MATCH($S19,Scénarios!$AI$2:$AI$232,0),MATCH(Y$4,Scénarios!$B$4:$AI$4,0))=0,"",INDEX(Scénarios!$B$2:$AI$232,MATCH($S19,Scénarios!$AI$2:$AI$232,0),MATCH(Y$4,Scénarios!$B$4:$AI$4,0))),"-")</f>
        <v>-</v>
      </c>
      <c r="Z19" s="589" t="str">
        <f>IFERROR(INDEX(Scénarios!$B$2:$AI$232,MATCH($S19,Scénarios!$AI$2:$AI$232,0),MATCH(Z$4,Scénarios!$B$4:$AI$4,0)),"-")</f>
        <v>-</v>
      </c>
      <c r="AA19" s="589" t="str">
        <f>IFERROR(INDEX(Scénarios!$B$2:$AI$232,MATCH($S19,Scénarios!$AI$2:$AI$232,0),MATCH(AA$4,Scénarios!$B$4:$AI$4,0)),"-")</f>
        <v>-</v>
      </c>
      <c r="AB19" s="586" t="str">
        <f>IFERROR(INDEX(Scénarios!$B$2:$AI$232,MATCH($S19,Scénarios!$AI$2:$AI$232,0),MATCH(AB$4,Scénarios!$B$4:$AI$4,0)),"-")</f>
        <v>-</v>
      </c>
      <c r="AC19" s="442" t="str">
        <f>IFERROR(INDEX(Tab_sel!$B$24:$C$27,MATCH($U19,Tab_sel!$C$24:$C$27,0),1),"-")</f>
        <v>-</v>
      </c>
      <c r="AD19" s="443" t="str">
        <f>IFERROR(INDEX(Scénarios!$B$2:$AI$232,MATCH($S19,Scénarios!$AI$2:$AI$232,0),MATCH(AD$4,Scénarios!$B$4:$AI$4,0)),"-")</f>
        <v>-</v>
      </c>
      <c r="AE19" s="460" t="str">
        <f>IFERROR(INDEX(Scénarios!$B$2:$AI$232,MATCH($S19,Scénarios!$AI$2:$AI$232,0),MATCH(AE$4,Scénarios!$B$4:$AI$4,0)),"-")</f>
        <v>-</v>
      </c>
      <c r="AF19" s="460" t="str">
        <f>IFERROR(INDEX(Scénarios!$B$2:$AI$232,MATCH($S19,Scénarios!$AI$2:$AI$232,0),MATCH(AF$4,Scénarios!$B$4:$AI$4,0)),"-")</f>
        <v>-</v>
      </c>
      <c r="AG19" s="460" t="str">
        <f>IFERROR(INDEX(Scénarios!$B$2:$AI$232,MATCH($S19,Scénarios!$AI$2:$AI$232,0),MATCH(AG$4,Scénarios!$B$4:$AI$4,0)),"-")</f>
        <v>-</v>
      </c>
      <c r="AH19" s="460" t="str">
        <f>IFERROR(INDEX(Scénarios!$B$2:$AI$232,MATCH($S19,Scénarios!$AI$2:$AI$232,0),MATCH(AH$4,Scénarios!$B$4:$AI$4,0)),"-")</f>
        <v>-</v>
      </c>
      <c r="AI19" s="443" t="str">
        <f>IFERROR(INDEX(Scénarios!$B$2:$AI$232,MATCH($S19,Scénarios!$AI$2:$AI$232,0),MATCH(AI$4,Scénarios!$B$4:$AI$4,0)),"-")</f>
        <v>-</v>
      </c>
      <c r="AJ19" s="443" t="str">
        <f>IFERROR(INDEX(Param!$A$3:$C$7,MATCH($AI19,Param!$C$3:$C$7,0),1),"-")</f>
        <v>-</v>
      </c>
      <c r="AK19" s="443" t="str">
        <f>IFERROR(INDEX(Scénarios!$B$2:$AI$232,MATCH($S19,Scénarios!$AI$2:$AI$232,0),MATCH(AK$4,Scénarios!$B$4:$AI$4,0)),"-")</f>
        <v>-</v>
      </c>
      <c r="AL19" s="443" t="str">
        <f>IFERROR(INDEX(Scénarios!$B$2:$AI$232,MATCH($S19,Scénarios!$AI$2:$AI$232,0),MATCH(AL$4,Scénarios!$B$4:$AI$4,0)),"-")</f>
        <v>-</v>
      </c>
      <c r="AM19" s="443" t="str">
        <f>IFERROR(INDEX(Param!$A$10:$C$14,MATCH($AL19,Param!$C$10:$C$14,0),1),"-")</f>
        <v>-</v>
      </c>
      <c r="AN19" s="443" t="str">
        <f>IFERROR(IF(INDEX(Scénarios!$B$2:$AI$232,MATCH($S19,Scénarios!$AI$2:$AI$232,0),MATCH(AN$4,Scénarios!$B$4:$AI$4,0))=0,"",INDEX(Scénarios!$B$2:$AI$232,MATCH($S19,Scénarios!$AI$2:$AI$232,0),MATCH(AN$4,Scénarios!$B$4:$AI$4,0))),"-")</f>
        <v>-</v>
      </c>
      <c r="AO19" s="443" t="str">
        <f>IFERROR(INDEX(Scénarios!$B$2:$AI$232,MATCH($S19,Scénarios!$AI$2:$AI$232,0),MATCH(AO$4,Scénarios!$B$4:$AI$4,0)),"-")</f>
        <v>-</v>
      </c>
      <c r="AP19" s="443" t="str">
        <f>IFERROR(INDEX(Param!$A$17:$C$21,MATCH($AO19,Param!$C$17:$C$21,0),1),"-")</f>
        <v>-</v>
      </c>
      <c r="AQ19" s="443" t="str">
        <f>IFERROR(IF(INDEX(Scénarios!$B$2:$AI$232,MATCH($S19,Scénarios!$AI$2:$AI$232,0),MATCH(AQ$4,Scénarios!$B$4:$AI$4,0))=0,"",INDEX(Scénarios!$B$2:$AI$232,MATCH($S19,Scénarios!$AI$2:$AI$232,0),MATCH(AQ$4,Scénarios!$B$4:$AI$4,0))),"-")</f>
        <v>-</v>
      </c>
      <c r="AR19" s="443" t="str">
        <f>IFERROR(INDEX(Scénarios!$B$2:$AI$232,MATCH($S19,Scénarios!$AI$2:$AI$232,0),MATCH(AR$4,Scénarios!$B$4:$AI$4,0)),"-")</f>
        <v>-</v>
      </c>
      <c r="AS19" s="443" t="str">
        <f>IFERROR(INDEX(Param!$A$24:$C$28,MATCH($AR19,Param!$C$24:$C$28,0),1),"-")</f>
        <v>-</v>
      </c>
      <c r="AT19" s="443" t="str">
        <f>IFERROR(IF(INDEX(Scénarios!$B$2:$AI$232,MATCH($S19,Scénarios!$AI$2:$AI$232,0),MATCH(AT$4,Scénarios!$B$4:$AI$4,0))=0,"",INDEX(Scénarios!$B$2:$AI$232,MATCH($S19,Scénarios!$AI$2:$AI$232,0),MATCH(AT$4,Scénarios!$B$4:$AI$4,0))),"-")</f>
        <v>-</v>
      </c>
      <c r="AU19" s="462" t="str">
        <f>IFERROR(INDEX(Scénarios!$B$2:$AI$232,MATCH($S19,Scénarios!$AI$2:$AI$232,0),MATCH(AU$4,Scénarios!$B$4:$AI$4,0)),"-")</f>
        <v>-</v>
      </c>
      <c r="AV19" s="462" t="str">
        <f>IFERROR(INDEX(Scénarios!$B$2:$AI$232,MATCH($S19,Scénarios!$AI$2:$AI$232,0),MATCH(AV$4,Scénarios!$B$4:$AI$4,0)),"-")</f>
        <v>-</v>
      </c>
      <c r="AW19" s="462" t="str">
        <f>IFERROR(INDEX(Scénarios!$B$2:$AI$232,MATCH($S19,Scénarios!$AI$2:$AI$232,0),MATCH(AW$4,Scénarios!$B$4:$AI$4,0)),"-")</f>
        <v>-</v>
      </c>
      <c r="AX19" s="462" t="str">
        <f>IFERROR(INDEX(Scénarios!$B$2:$AI$232,MATCH($S19,Scénarios!$AI$2:$AI$232,0),MATCH(AX$4,Scénarios!$B$4:$AI$4,0)),"-")</f>
        <v>-</v>
      </c>
      <c r="AY19" s="443" t="str">
        <f>IFERROR(INDEX(Scénarios!$B$2:$AI$232,MATCH($S19,Scénarios!$AI$2:$AI$232,0),MATCH(AY$4,Scénarios!$B$4:$AI$4,0)),"-")</f>
        <v>-</v>
      </c>
      <c r="AZ19" s="588" t="str">
        <f>IFERROR(INDEX(Param!$A$31:$C$35,MATCH($AY19,Param!$C$31:$C$35,0),1),"-")</f>
        <v>-</v>
      </c>
      <c r="BA19" s="588" t="str">
        <f>IFERROR(IF(INDEX(Scénarios!$B$2:$AI$232,MATCH($S19,Scénarios!$AI$2:$AI$232,0),MATCH(BA$4,Scénarios!$B$4:$AI$4,0))=0,"",INDEX(Scénarios!$B$2:$AI$232,MATCH($S19,Scénarios!$AI$2:$AI$232,0),MATCH(BA$4,Scénarios!$B$4:$AI$4,0))),"-")</f>
        <v>-</v>
      </c>
      <c r="BB19" s="443" t="str">
        <f>IFERROR(IF(INDEX(Scénarios!$B$2:$AK$237,MATCH($S19,Scénarios!$AI$2:$AI$237,0),MATCH(BB$4,Scénarios!$B$4:$AK$4,0))=0,"",INDEX(Scénarios!$B$2:$AK$237,MATCH($S19,Scénarios!$AI$2:$AI$237,0),MATCH(BB$4,Scénarios!$B$4:$AK$4,0))),"-")</f>
        <v>-</v>
      </c>
      <c r="BC19" s="443" t="str">
        <f>IFERROR(INDEX(Scénarios!$B$2:$AV$232,MATCH($S19,Scénarios!$AI$2:$AI$232,0),MATCH(BC$4,Scénarios!$B$4:$AV$4,0)),"-")</f>
        <v>-</v>
      </c>
    </row>
    <row r="20" spans="15:55" ht="25.5" customHeight="1" x14ac:dyDescent="0.25">
      <c r="O20" s="604" t="str">
        <f t="shared" si="0"/>
        <v>Fiche R16 sans décision :
Veuillez ajouter une décision</v>
      </c>
      <c r="P20" s="609" t="s">
        <v>2188</v>
      </c>
      <c r="Q20" s="605" t="s">
        <v>2067</v>
      </c>
      <c r="R20" s="585" t="s">
        <v>2068</v>
      </c>
      <c r="S20" s="587" t="s">
        <v>1893</v>
      </c>
      <c r="T20" s="588" t="str">
        <f>IFERROR(INDEX(Tab_sel!$B$7:$C$18,MATCH($AB20,Tab_sel!$C$7:$C$18,0),1),"-")</f>
        <v>-</v>
      </c>
      <c r="U20" s="589" t="str">
        <f>IFERROR(INDEX(Scénarios!$B$2:$AI$232,MATCH($S20,Scénarios!$AI$2:$AI$232,0),MATCH(U$4,Scénarios!$B$4:$AI$4,0)),"-")</f>
        <v>-</v>
      </c>
      <c r="V20" s="588" t="str">
        <f>IFERROR(INDEX(Scénarios!$B$2:$AI$232,MATCH($S20,Scénarios!$AI$2:$AI$232,0),MATCH(V$4,Scénarios!$B$4:$AI$4,0)),"-")</f>
        <v>-</v>
      </c>
      <c r="W20" s="588" t="str">
        <f>IFERROR(INDEX(Scénarios!$B$2:$AI$232,MATCH($S20,Scénarios!$AI$2:$AI$232,0),MATCH(W$4,Scénarios!$B$4:$AI$4,0)),"-")</f>
        <v>-</v>
      </c>
      <c r="X20" s="588" t="str">
        <f>IFERROR(VLOOKUP(AD20,Expo!$D$4:$E$35,2,FALSE),"-")</f>
        <v>-</v>
      </c>
      <c r="Y20" s="859" t="str">
        <f>IFERROR(IF(INDEX(Scénarios!$B$2:$AI$232,MATCH($S20,Scénarios!$AI$2:$AI$232,0),MATCH(Y$4,Scénarios!$B$4:$AI$4,0))=0,"",INDEX(Scénarios!$B$2:$AI$232,MATCH($S20,Scénarios!$AI$2:$AI$232,0),MATCH(Y$4,Scénarios!$B$4:$AI$4,0))),"-")</f>
        <v>-</v>
      </c>
      <c r="Z20" s="589" t="str">
        <f>IFERROR(INDEX(Scénarios!$B$2:$AI$232,MATCH($S20,Scénarios!$AI$2:$AI$232,0),MATCH(Z$4,Scénarios!$B$4:$AI$4,0)),"-")</f>
        <v>-</v>
      </c>
      <c r="AA20" s="589" t="str">
        <f>IFERROR(INDEX(Scénarios!$B$2:$AI$232,MATCH($S20,Scénarios!$AI$2:$AI$232,0),MATCH(AA$4,Scénarios!$B$4:$AI$4,0)),"-")</f>
        <v>-</v>
      </c>
      <c r="AB20" s="586" t="str">
        <f>IFERROR(INDEX(Scénarios!$B$2:$AI$232,MATCH($S20,Scénarios!$AI$2:$AI$232,0),MATCH(AB$4,Scénarios!$B$4:$AI$4,0)),"-")</f>
        <v>-</v>
      </c>
      <c r="AC20" s="442" t="str">
        <f>IFERROR(INDEX(Tab_sel!$B$24:$C$27,MATCH($U20,Tab_sel!$C$24:$C$27,0),1),"-")</f>
        <v>-</v>
      </c>
      <c r="AD20" s="443" t="str">
        <f>IFERROR(INDEX(Scénarios!$B$2:$AI$232,MATCH($S20,Scénarios!$AI$2:$AI$232,0),MATCH(AD$4,Scénarios!$B$4:$AI$4,0)),"-")</f>
        <v>-</v>
      </c>
      <c r="AE20" s="460" t="str">
        <f>IFERROR(INDEX(Scénarios!$B$2:$AI$232,MATCH($S20,Scénarios!$AI$2:$AI$232,0),MATCH(AE$4,Scénarios!$B$4:$AI$4,0)),"-")</f>
        <v>-</v>
      </c>
      <c r="AF20" s="460" t="str">
        <f>IFERROR(INDEX(Scénarios!$B$2:$AI$232,MATCH($S20,Scénarios!$AI$2:$AI$232,0),MATCH(AF$4,Scénarios!$B$4:$AI$4,0)),"-")</f>
        <v>-</v>
      </c>
      <c r="AG20" s="460" t="str">
        <f>IFERROR(INDEX(Scénarios!$B$2:$AI$232,MATCH($S20,Scénarios!$AI$2:$AI$232,0),MATCH(AG$4,Scénarios!$B$4:$AI$4,0)),"-")</f>
        <v>-</v>
      </c>
      <c r="AH20" s="460" t="str">
        <f>IFERROR(INDEX(Scénarios!$B$2:$AI$232,MATCH($S20,Scénarios!$AI$2:$AI$232,0),MATCH(AH$4,Scénarios!$B$4:$AI$4,0)),"-")</f>
        <v>-</v>
      </c>
      <c r="AI20" s="443" t="str">
        <f>IFERROR(INDEX(Scénarios!$B$2:$AI$232,MATCH($S20,Scénarios!$AI$2:$AI$232,0),MATCH(AI$4,Scénarios!$B$4:$AI$4,0)),"-")</f>
        <v>-</v>
      </c>
      <c r="AJ20" s="443" t="str">
        <f>IFERROR(INDEX(Param!$A$3:$C$7,MATCH($AI20,Param!$C$3:$C$7,0),1),"-")</f>
        <v>-</v>
      </c>
      <c r="AK20" s="443" t="str">
        <f>IFERROR(INDEX(Scénarios!$B$2:$AI$232,MATCH($S20,Scénarios!$AI$2:$AI$232,0),MATCH(AK$4,Scénarios!$B$4:$AI$4,0)),"-")</f>
        <v>-</v>
      </c>
      <c r="AL20" s="443" t="str">
        <f>IFERROR(INDEX(Scénarios!$B$2:$AI$232,MATCH($S20,Scénarios!$AI$2:$AI$232,0),MATCH(AL$4,Scénarios!$B$4:$AI$4,0)),"-")</f>
        <v>-</v>
      </c>
      <c r="AM20" s="443" t="str">
        <f>IFERROR(INDEX(Param!$A$10:$C$14,MATCH($AL20,Param!$C$10:$C$14,0),1),"-")</f>
        <v>-</v>
      </c>
      <c r="AN20" s="443" t="str">
        <f>IFERROR(IF(INDEX(Scénarios!$B$2:$AI$232,MATCH($S20,Scénarios!$AI$2:$AI$232,0),MATCH(AN$4,Scénarios!$B$4:$AI$4,0))=0,"",INDEX(Scénarios!$B$2:$AI$232,MATCH($S20,Scénarios!$AI$2:$AI$232,0),MATCH(AN$4,Scénarios!$B$4:$AI$4,0))),"-")</f>
        <v>-</v>
      </c>
      <c r="AO20" s="443" t="str">
        <f>IFERROR(INDEX(Scénarios!$B$2:$AI$232,MATCH($S20,Scénarios!$AI$2:$AI$232,0),MATCH(AO$4,Scénarios!$B$4:$AI$4,0)),"-")</f>
        <v>-</v>
      </c>
      <c r="AP20" s="443" t="str">
        <f>IFERROR(INDEX(Param!$A$17:$C$21,MATCH($AO20,Param!$C$17:$C$21,0),1),"-")</f>
        <v>-</v>
      </c>
      <c r="AQ20" s="443" t="str">
        <f>IFERROR(IF(INDEX(Scénarios!$B$2:$AI$232,MATCH($S20,Scénarios!$AI$2:$AI$232,0),MATCH(AQ$4,Scénarios!$B$4:$AI$4,0))=0,"",INDEX(Scénarios!$B$2:$AI$232,MATCH($S20,Scénarios!$AI$2:$AI$232,0),MATCH(AQ$4,Scénarios!$B$4:$AI$4,0))),"-")</f>
        <v>-</v>
      </c>
      <c r="AR20" s="443" t="str">
        <f>IFERROR(INDEX(Scénarios!$B$2:$AI$232,MATCH($S20,Scénarios!$AI$2:$AI$232,0),MATCH(AR$4,Scénarios!$B$4:$AI$4,0)),"-")</f>
        <v>-</v>
      </c>
      <c r="AS20" s="443" t="str">
        <f>IFERROR(INDEX(Param!$A$24:$C$28,MATCH($AR20,Param!$C$24:$C$28,0),1),"-")</f>
        <v>-</v>
      </c>
      <c r="AT20" s="443" t="str">
        <f>IFERROR(IF(INDEX(Scénarios!$B$2:$AI$232,MATCH($S20,Scénarios!$AI$2:$AI$232,0),MATCH(AT$4,Scénarios!$B$4:$AI$4,0))=0,"",INDEX(Scénarios!$B$2:$AI$232,MATCH($S20,Scénarios!$AI$2:$AI$232,0),MATCH(AT$4,Scénarios!$B$4:$AI$4,0))),"-")</f>
        <v>-</v>
      </c>
      <c r="AU20" s="462" t="str">
        <f>IFERROR(INDEX(Scénarios!$B$2:$AI$232,MATCH($S20,Scénarios!$AI$2:$AI$232,0),MATCH(AU$4,Scénarios!$B$4:$AI$4,0)),"-")</f>
        <v>-</v>
      </c>
      <c r="AV20" s="462" t="str">
        <f>IFERROR(INDEX(Scénarios!$B$2:$AI$232,MATCH($S20,Scénarios!$AI$2:$AI$232,0),MATCH(AV$4,Scénarios!$B$4:$AI$4,0)),"-")</f>
        <v>-</v>
      </c>
      <c r="AW20" s="462" t="str">
        <f>IFERROR(INDEX(Scénarios!$B$2:$AI$232,MATCH($S20,Scénarios!$AI$2:$AI$232,0),MATCH(AW$4,Scénarios!$B$4:$AI$4,0)),"-")</f>
        <v>-</v>
      </c>
      <c r="AX20" s="462" t="str">
        <f>IFERROR(INDEX(Scénarios!$B$2:$AI$232,MATCH($S20,Scénarios!$AI$2:$AI$232,0),MATCH(AX$4,Scénarios!$B$4:$AI$4,0)),"-")</f>
        <v>-</v>
      </c>
      <c r="AY20" s="443" t="str">
        <f>IFERROR(INDEX(Scénarios!$B$2:$AI$232,MATCH($S20,Scénarios!$AI$2:$AI$232,0),MATCH(AY$4,Scénarios!$B$4:$AI$4,0)),"-")</f>
        <v>-</v>
      </c>
      <c r="AZ20" s="588" t="str">
        <f>IFERROR(INDEX(Param!$A$31:$C$35,MATCH($AY20,Param!$C$31:$C$35,0),1),"-")</f>
        <v>-</v>
      </c>
      <c r="BA20" s="588" t="str">
        <f>IFERROR(IF(INDEX(Scénarios!$B$2:$AI$232,MATCH($S20,Scénarios!$AI$2:$AI$232,0),MATCH(BA$4,Scénarios!$B$4:$AI$4,0))=0,"",INDEX(Scénarios!$B$2:$AI$232,MATCH($S20,Scénarios!$AI$2:$AI$232,0),MATCH(BA$4,Scénarios!$B$4:$AI$4,0))),"-")</f>
        <v>-</v>
      </c>
      <c r="BB20" s="443" t="str">
        <f>IFERROR(IF(INDEX(Scénarios!$B$2:$AK$237,MATCH($S20,Scénarios!$AI$2:$AI$237,0),MATCH(BB$4,Scénarios!$B$4:$AK$4,0))=0,"",INDEX(Scénarios!$B$2:$AK$237,MATCH($S20,Scénarios!$AI$2:$AI$237,0),MATCH(BB$4,Scénarios!$B$4:$AK$4,0))),"-")</f>
        <v>-</v>
      </c>
      <c r="BC20" s="443" t="str">
        <f>IFERROR(INDEX(Scénarios!$B$2:$AV$232,MATCH($S20,Scénarios!$AI$2:$AI$232,0),MATCH(BC$4,Scénarios!$B$4:$AV$4,0)),"-")</f>
        <v>-</v>
      </c>
    </row>
    <row r="21" spans="15:55" ht="25.5" customHeight="1" x14ac:dyDescent="0.25">
      <c r="O21" s="604" t="str">
        <f t="shared" si="0"/>
        <v>Fiche R17 sans décision :
Veuillez ajouter une décision</v>
      </c>
      <c r="P21" s="609" t="s">
        <v>2188</v>
      </c>
      <c r="Q21" s="605" t="s">
        <v>2067</v>
      </c>
      <c r="R21" s="585" t="s">
        <v>2068</v>
      </c>
      <c r="S21" s="587" t="s">
        <v>1894</v>
      </c>
      <c r="T21" s="588" t="str">
        <f>IFERROR(INDEX(Tab_sel!$B$7:$C$18,MATCH($AB21,Tab_sel!$C$7:$C$18,0),1),"-")</f>
        <v>-</v>
      </c>
      <c r="U21" s="589" t="str">
        <f>IFERROR(INDEX(Scénarios!$B$2:$AI$232,MATCH($S21,Scénarios!$AI$2:$AI$232,0),MATCH(U$4,Scénarios!$B$4:$AI$4,0)),"-")</f>
        <v>-</v>
      </c>
      <c r="V21" s="588" t="str">
        <f>IFERROR(INDEX(Scénarios!$B$2:$AI$232,MATCH($S21,Scénarios!$AI$2:$AI$232,0),MATCH(V$4,Scénarios!$B$4:$AI$4,0)),"-")</f>
        <v>-</v>
      </c>
      <c r="W21" s="588" t="str">
        <f>IFERROR(INDEX(Scénarios!$B$2:$AI$232,MATCH($S21,Scénarios!$AI$2:$AI$232,0),MATCH(W$4,Scénarios!$B$4:$AI$4,0)),"-")</f>
        <v>-</v>
      </c>
      <c r="X21" s="588" t="str">
        <f>IFERROR(VLOOKUP(AD21,Expo!$D$4:$E$35,2,FALSE),"-")</f>
        <v>-</v>
      </c>
      <c r="Y21" s="859" t="str">
        <f>IFERROR(IF(INDEX(Scénarios!$B$2:$AI$232,MATCH($S21,Scénarios!$AI$2:$AI$232,0),MATCH(Y$4,Scénarios!$B$4:$AI$4,0))=0,"",INDEX(Scénarios!$B$2:$AI$232,MATCH($S21,Scénarios!$AI$2:$AI$232,0),MATCH(Y$4,Scénarios!$B$4:$AI$4,0))),"-")</f>
        <v>-</v>
      </c>
      <c r="Z21" s="589" t="str">
        <f>IFERROR(INDEX(Scénarios!$B$2:$AI$232,MATCH($S21,Scénarios!$AI$2:$AI$232,0),MATCH(Z$4,Scénarios!$B$4:$AI$4,0)),"-")</f>
        <v>-</v>
      </c>
      <c r="AA21" s="589" t="str">
        <f>IFERROR(INDEX(Scénarios!$B$2:$AI$232,MATCH($S21,Scénarios!$AI$2:$AI$232,0),MATCH(AA$4,Scénarios!$B$4:$AI$4,0)),"-")</f>
        <v>-</v>
      </c>
      <c r="AB21" s="586" t="str">
        <f>IFERROR(INDEX(Scénarios!$B$2:$AI$232,MATCH($S21,Scénarios!$AI$2:$AI$232,0),MATCH(AB$4,Scénarios!$B$4:$AI$4,0)),"-")</f>
        <v>-</v>
      </c>
      <c r="AC21" s="442" t="str">
        <f>IFERROR(INDEX(Tab_sel!$B$24:$C$27,MATCH($U21,Tab_sel!$C$24:$C$27,0),1),"-")</f>
        <v>-</v>
      </c>
      <c r="AD21" s="443" t="str">
        <f>IFERROR(INDEX(Scénarios!$B$2:$AI$232,MATCH($S21,Scénarios!$AI$2:$AI$232,0),MATCH(AD$4,Scénarios!$B$4:$AI$4,0)),"-")</f>
        <v>-</v>
      </c>
      <c r="AE21" s="460" t="str">
        <f>IFERROR(INDEX(Scénarios!$B$2:$AI$232,MATCH($S21,Scénarios!$AI$2:$AI$232,0),MATCH(AE$4,Scénarios!$B$4:$AI$4,0)),"-")</f>
        <v>-</v>
      </c>
      <c r="AF21" s="460" t="str">
        <f>IFERROR(INDEX(Scénarios!$B$2:$AI$232,MATCH($S21,Scénarios!$AI$2:$AI$232,0),MATCH(AF$4,Scénarios!$B$4:$AI$4,0)),"-")</f>
        <v>-</v>
      </c>
      <c r="AG21" s="460" t="str">
        <f>IFERROR(INDEX(Scénarios!$B$2:$AI$232,MATCH($S21,Scénarios!$AI$2:$AI$232,0),MATCH(AG$4,Scénarios!$B$4:$AI$4,0)),"-")</f>
        <v>-</v>
      </c>
      <c r="AH21" s="460" t="str">
        <f>IFERROR(INDEX(Scénarios!$B$2:$AI$232,MATCH($S21,Scénarios!$AI$2:$AI$232,0),MATCH(AH$4,Scénarios!$B$4:$AI$4,0)),"-")</f>
        <v>-</v>
      </c>
      <c r="AI21" s="443" t="str">
        <f>IFERROR(INDEX(Scénarios!$B$2:$AI$232,MATCH($S21,Scénarios!$AI$2:$AI$232,0),MATCH(AI$4,Scénarios!$B$4:$AI$4,0)),"-")</f>
        <v>-</v>
      </c>
      <c r="AJ21" s="443" t="str">
        <f>IFERROR(INDEX(Param!$A$3:$C$7,MATCH($AI21,Param!$C$3:$C$7,0),1),"-")</f>
        <v>-</v>
      </c>
      <c r="AK21" s="443" t="str">
        <f>IFERROR(INDEX(Scénarios!$B$2:$AI$232,MATCH($S21,Scénarios!$AI$2:$AI$232,0),MATCH(AK$4,Scénarios!$B$4:$AI$4,0)),"-")</f>
        <v>-</v>
      </c>
      <c r="AL21" s="443" t="str">
        <f>IFERROR(INDEX(Scénarios!$B$2:$AI$232,MATCH($S21,Scénarios!$AI$2:$AI$232,0),MATCH(AL$4,Scénarios!$B$4:$AI$4,0)),"-")</f>
        <v>-</v>
      </c>
      <c r="AM21" s="443" t="str">
        <f>IFERROR(INDEX(Param!$A$10:$C$14,MATCH($AL21,Param!$C$10:$C$14,0),1),"-")</f>
        <v>-</v>
      </c>
      <c r="AN21" s="443" t="str">
        <f>IFERROR(IF(INDEX(Scénarios!$B$2:$AI$232,MATCH($S21,Scénarios!$AI$2:$AI$232,0),MATCH(AN$4,Scénarios!$B$4:$AI$4,0))=0,"",INDEX(Scénarios!$B$2:$AI$232,MATCH($S21,Scénarios!$AI$2:$AI$232,0),MATCH(AN$4,Scénarios!$B$4:$AI$4,0))),"-")</f>
        <v>-</v>
      </c>
      <c r="AO21" s="443" t="str">
        <f>IFERROR(INDEX(Scénarios!$B$2:$AI$232,MATCH($S21,Scénarios!$AI$2:$AI$232,0),MATCH(AO$4,Scénarios!$B$4:$AI$4,0)),"-")</f>
        <v>-</v>
      </c>
      <c r="AP21" s="443" t="str">
        <f>IFERROR(INDEX(Param!$A$17:$C$21,MATCH($AO21,Param!$C$17:$C$21,0),1),"-")</f>
        <v>-</v>
      </c>
      <c r="AQ21" s="443" t="str">
        <f>IFERROR(IF(INDEX(Scénarios!$B$2:$AI$232,MATCH($S21,Scénarios!$AI$2:$AI$232,0),MATCH(AQ$4,Scénarios!$B$4:$AI$4,0))=0,"",INDEX(Scénarios!$B$2:$AI$232,MATCH($S21,Scénarios!$AI$2:$AI$232,0),MATCH(AQ$4,Scénarios!$B$4:$AI$4,0))),"-")</f>
        <v>-</v>
      </c>
      <c r="AR21" s="443" t="str">
        <f>IFERROR(INDEX(Scénarios!$B$2:$AI$232,MATCH($S21,Scénarios!$AI$2:$AI$232,0),MATCH(AR$4,Scénarios!$B$4:$AI$4,0)),"-")</f>
        <v>-</v>
      </c>
      <c r="AS21" s="443" t="str">
        <f>IFERROR(INDEX(Param!$A$24:$C$28,MATCH($AR21,Param!$C$24:$C$28,0),1),"-")</f>
        <v>-</v>
      </c>
      <c r="AT21" s="443" t="str">
        <f>IFERROR(IF(INDEX(Scénarios!$B$2:$AI$232,MATCH($S21,Scénarios!$AI$2:$AI$232,0),MATCH(AT$4,Scénarios!$B$4:$AI$4,0))=0,"",INDEX(Scénarios!$B$2:$AI$232,MATCH($S21,Scénarios!$AI$2:$AI$232,0),MATCH(AT$4,Scénarios!$B$4:$AI$4,0))),"-")</f>
        <v>-</v>
      </c>
      <c r="AU21" s="462" t="str">
        <f>IFERROR(INDEX(Scénarios!$B$2:$AI$232,MATCH($S21,Scénarios!$AI$2:$AI$232,0),MATCH(AU$4,Scénarios!$B$4:$AI$4,0)),"-")</f>
        <v>-</v>
      </c>
      <c r="AV21" s="462" t="str">
        <f>IFERROR(INDEX(Scénarios!$B$2:$AI$232,MATCH($S21,Scénarios!$AI$2:$AI$232,0),MATCH(AV$4,Scénarios!$B$4:$AI$4,0)),"-")</f>
        <v>-</v>
      </c>
      <c r="AW21" s="462" t="str">
        <f>IFERROR(INDEX(Scénarios!$B$2:$AI$232,MATCH($S21,Scénarios!$AI$2:$AI$232,0),MATCH(AW$4,Scénarios!$B$4:$AI$4,0)),"-")</f>
        <v>-</v>
      </c>
      <c r="AX21" s="462" t="str">
        <f>IFERROR(INDEX(Scénarios!$B$2:$AI$232,MATCH($S21,Scénarios!$AI$2:$AI$232,0),MATCH(AX$4,Scénarios!$B$4:$AI$4,0)),"-")</f>
        <v>-</v>
      </c>
      <c r="AY21" s="443" t="str">
        <f>IFERROR(INDEX(Scénarios!$B$2:$AI$232,MATCH($S21,Scénarios!$AI$2:$AI$232,0),MATCH(AY$4,Scénarios!$B$4:$AI$4,0)),"-")</f>
        <v>-</v>
      </c>
      <c r="AZ21" s="588" t="str">
        <f>IFERROR(INDEX(Param!$A$31:$C$35,MATCH($AY21,Param!$C$31:$C$35,0),1),"-")</f>
        <v>-</v>
      </c>
      <c r="BA21" s="588" t="str">
        <f>IFERROR(IF(INDEX(Scénarios!$B$2:$AI$232,MATCH($S21,Scénarios!$AI$2:$AI$232,0),MATCH(BA$4,Scénarios!$B$4:$AI$4,0))=0,"",INDEX(Scénarios!$B$2:$AI$232,MATCH($S21,Scénarios!$AI$2:$AI$232,0),MATCH(BA$4,Scénarios!$B$4:$AI$4,0))),"-")</f>
        <v>-</v>
      </c>
      <c r="BB21" s="443" t="str">
        <f>IFERROR(IF(INDEX(Scénarios!$B$2:$AK$237,MATCH($S21,Scénarios!$AI$2:$AI$237,0),MATCH(BB$4,Scénarios!$B$4:$AK$4,0))=0,"",INDEX(Scénarios!$B$2:$AK$237,MATCH($S21,Scénarios!$AI$2:$AI$237,0),MATCH(BB$4,Scénarios!$B$4:$AK$4,0))),"-")</f>
        <v>-</v>
      </c>
      <c r="BC21" s="443" t="str">
        <f>IFERROR(INDEX(Scénarios!$B$2:$AV$232,MATCH($S21,Scénarios!$AI$2:$AI$232,0),MATCH(BC$4,Scénarios!$B$4:$AV$4,0)),"-")</f>
        <v>-</v>
      </c>
    </row>
    <row r="22" spans="15:55" ht="25.5" customHeight="1" x14ac:dyDescent="0.25">
      <c r="O22" s="604" t="str">
        <f t="shared" si="0"/>
        <v>Fiche R18 sans décision :
Veuillez ajouter une décision</v>
      </c>
      <c r="P22" s="609" t="s">
        <v>2188</v>
      </c>
      <c r="Q22" s="605" t="s">
        <v>2067</v>
      </c>
      <c r="R22" s="585" t="s">
        <v>2068</v>
      </c>
      <c r="S22" s="587" t="s">
        <v>1895</v>
      </c>
      <c r="T22" s="588" t="str">
        <f>IFERROR(INDEX(Tab_sel!$B$7:$C$18,MATCH($AB22,Tab_sel!$C$7:$C$18,0),1),"-")</f>
        <v>-</v>
      </c>
      <c r="U22" s="589" t="str">
        <f>IFERROR(INDEX(Scénarios!$B$2:$AI$232,MATCH($S22,Scénarios!$AI$2:$AI$232,0),MATCH(U$4,Scénarios!$B$4:$AI$4,0)),"-")</f>
        <v>-</v>
      </c>
      <c r="V22" s="588" t="str">
        <f>IFERROR(INDEX(Scénarios!$B$2:$AI$232,MATCH($S22,Scénarios!$AI$2:$AI$232,0),MATCH(V$4,Scénarios!$B$4:$AI$4,0)),"-")</f>
        <v>-</v>
      </c>
      <c r="W22" s="588" t="str">
        <f>IFERROR(INDEX(Scénarios!$B$2:$AI$232,MATCH($S22,Scénarios!$AI$2:$AI$232,0),MATCH(W$4,Scénarios!$B$4:$AI$4,0)),"-")</f>
        <v>-</v>
      </c>
      <c r="X22" s="588" t="str">
        <f>IFERROR(VLOOKUP(AD22,Expo!$D$4:$E$35,2,FALSE),"-")</f>
        <v>-</v>
      </c>
      <c r="Y22" s="859" t="str">
        <f>IFERROR(IF(INDEX(Scénarios!$B$2:$AI$232,MATCH($S22,Scénarios!$AI$2:$AI$232,0),MATCH(Y$4,Scénarios!$B$4:$AI$4,0))=0,"",INDEX(Scénarios!$B$2:$AI$232,MATCH($S22,Scénarios!$AI$2:$AI$232,0),MATCH(Y$4,Scénarios!$B$4:$AI$4,0))),"-")</f>
        <v>-</v>
      </c>
      <c r="Z22" s="589" t="str">
        <f>IFERROR(INDEX(Scénarios!$B$2:$AI$232,MATCH($S22,Scénarios!$AI$2:$AI$232,0),MATCH(Z$4,Scénarios!$B$4:$AI$4,0)),"-")</f>
        <v>-</v>
      </c>
      <c r="AA22" s="589" t="str">
        <f>IFERROR(INDEX(Scénarios!$B$2:$AI$232,MATCH($S22,Scénarios!$AI$2:$AI$232,0),MATCH(AA$4,Scénarios!$B$4:$AI$4,0)),"-")</f>
        <v>-</v>
      </c>
      <c r="AB22" s="586" t="str">
        <f>IFERROR(INDEX(Scénarios!$B$2:$AI$232,MATCH($S22,Scénarios!$AI$2:$AI$232,0),MATCH(AB$4,Scénarios!$B$4:$AI$4,0)),"-")</f>
        <v>-</v>
      </c>
      <c r="AC22" s="442" t="str">
        <f>IFERROR(INDEX(Tab_sel!$B$24:$C$27,MATCH($U22,Tab_sel!$C$24:$C$27,0),1),"-")</f>
        <v>-</v>
      </c>
      <c r="AD22" s="443" t="str">
        <f>IFERROR(INDEX(Scénarios!$B$2:$AI$232,MATCH($S22,Scénarios!$AI$2:$AI$232,0),MATCH(AD$4,Scénarios!$B$4:$AI$4,0)),"-")</f>
        <v>-</v>
      </c>
      <c r="AE22" s="460" t="str">
        <f>IFERROR(INDEX(Scénarios!$B$2:$AI$232,MATCH($S22,Scénarios!$AI$2:$AI$232,0),MATCH(AE$4,Scénarios!$B$4:$AI$4,0)),"-")</f>
        <v>-</v>
      </c>
      <c r="AF22" s="460" t="str">
        <f>IFERROR(INDEX(Scénarios!$B$2:$AI$232,MATCH($S22,Scénarios!$AI$2:$AI$232,0),MATCH(AF$4,Scénarios!$B$4:$AI$4,0)),"-")</f>
        <v>-</v>
      </c>
      <c r="AG22" s="460" t="str">
        <f>IFERROR(INDEX(Scénarios!$B$2:$AI$232,MATCH($S22,Scénarios!$AI$2:$AI$232,0),MATCH(AG$4,Scénarios!$B$4:$AI$4,0)),"-")</f>
        <v>-</v>
      </c>
      <c r="AH22" s="460" t="str">
        <f>IFERROR(INDEX(Scénarios!$B$2:$AI$232,MATCH($S22,Scénarios!$AI$2:$AI$232,0),MATCH(AH$4,Scénarios!$B$4:$AI$4,0)),"-")</f>
        <v>-</v>
      </c>
      <c r="AI22" s="443" t="str">
        <f>IFERROR(INDEX(Scénarios!$B$2:$AI$232,MATCH($S22,Scénarios!$AI$2:$AI$232,0),MATCH(AI$4,Scénarios!$B$4:$AI$4,0)),"-")</f>
        <v>-</v>
      </c>
      <c r="AJ22" s="443" t="str">
        <f>IFERROR(INDEX(Param!$A$3:$C$7,MATCH($AI22,Param!$C$3:$C$7,0),1),"-")</f>
        <v>-</v>
      </c>
      <c r="AK22" s="443" t="str">
        <f>IFERROR(INDEX(Scénarios!$B$2:$AI$232,MATCH($S22,Scénarios!$AI$2:$AI$232,0),MATCH(AK$4,Scénarios!$B$4:$AI$4,0)),"-")</f>
        <v>-</v>
      </c>
      <c r="AL22" s="443" t="str">
        <f>IFERROR(INDEX(Scénarios!$B$2:$AI$232,MATCH($S22,Scénarios!$AI$2:$AI$232,0),MATCH(AL$4,Scénarios!$B$4:$AI$4,0)),"-")</f>
        <v>-</v>
      </c>
      <c r="AM22" s="443" t="str">
        <f>IFERROR(INDEX(Param!$A$10:$C$14,MATCH($AL22,Param!$C$10:$C$14,0),1),"-")</f>
        <v>-</v>
      </c>
      <c r="AN22" s="443" t="str">
        <f>IFERROR(IF(INDEX(Scénarios!$B$2:$AI$232,MATCH($S22,Scénarios!$AI$2:$AI$232,0),MATCH(AN$4,Scénarios!$B$4:$AI$4,0))=0,"",INDEX(Scénarios!$B$2:$AI$232,MATCH($S22,Scénarios!$AI$2:$AI$232,0),MATCH(AN$4,Scénarios!$B$4:$AI$4,0))),"-")</f>
        <v>-</v>
      </c>
      <c r="AO22" s="443" t="str">
        <f>IFERROR(INDEX(Scénarios!$B$2:$AI$232,MATCH($S22,Scénarios!$AI$2:$AI$232,0),MATCH(AO$4,Scénarios!$B$4:$AI$4,0)),"-")</f>
        <v>-</v>
      </c>
      <c r="AP22" s="443" t="str">
        <f>IFERROR(INDEX(Param!$A$17:$C$21,MATCH($AO22,Param!$C$17:$C$21,0),1),"-")</f>
        <v>-</v>
      </c>
      <c r="AQ22" s="443" t="str">
        <f>IFERROR(IF(INDEX(Scénarios!$B$2:$AI$232,MATCH($S22,Scénarios!$AI$2:$AI$232,0),MATCH(AQ$4,Scénarios!$B$4:$AI$4,0))=0,"",INDEX(Scénarios!$B$2:$AI$232,MATCH($S22,Scénarios!$AI$2:$AI$232,0),MATCH(AQ$4,Scénarios!$B$4:$AI$4,0))),"-")</f>
        <v>-</v>
      </c>
      <c r="AR22" s="443" t="str">
        <f>IFERROR(INDEX(Scénarios!$B$2:$AI$232,MATCH($S22,Scénarios!$AI$2:$AI$232,0),MATCH(AR$4,Scénarios!$B$4:$AI$4,0)),"-")</f>
        <v>-</v>
      </c>
      <c r="AS22" s="443" t="str">
        <f>IFERROR(INDEX(Param!$A$24:$C$28,MATCH($AR22,Param!$C$24:$C$28,0),1),"-")</f>
        <v>-</v>
      </c>
      <c r="AT22" s="443" t="str">
        <f>IFERROR(IF(INDEX(Scénarios!$B$2:$AI$232,MATCH($S22,Scénarios!$AI$2:$AI$232,0),MATCH(AT$4,Scénarios!$B$4:$AI$4,0))=0,"",INDEX(Scénarios!$B$2:$AI$232,MATCH($S22,Scénarios!$AI$2:$AI$232,0),MATCH(AT$4,Scénarios!$B$4:$AI$4,0))),"-")</f>
        <v>-</v>
      </c>
      <c r="AU22" s="462" t="str">
        <f>IFERROR(INDEX(Scénarios!$B$2:$AI$232,MATCH($S22,Scénarios!$AI$2:$AI$232,0),MATCH(AU$4,Scénarios!$B$4:$AI$4,0)),"-")</f>
        <v>-</v>
      </c>
      <c r="AV22" s="462" t="str">
        <f>IFERROR(INDEX(Scénarios!$B$2:$AI$232,MATCH($S22,Scénarios!$AI$2:$AI$232,0),MATCH(AV$4,Scénarios!$B$4:$AI$4,0)),"-")</f>
        <v>-</v>
      </c>
      <c r="AW22" s="462" t="str">
        <f>IFERROR(INDEX(Scénarios!$B$2:$AI$232,MATCH($S22,Scénarios!$AI$2:$AI$232,0),MATCH(AW$4,Scénarios!$B$4:$AI$4,0)),"-")</f>
        <v>-</v>
      </c>
      <c r="AX22" s="462" t="str">
        <f>IFERROR(INDEX(Scénarios!$B$2:$AI$232,MATCH($S22,Scénarios!$AI$2:$AI$232,0),MATCH(AX$4,Scénarios!$B$4:$AI$4,0)),"-")</f>
        <v>-</v>
      </c>
      <c r="AY22" s="443" t="str">
        <f>IFERROR(INDEX(Scénarios!$B$2:$AI$232,MATCH($S22,Scénarios!$AI$2:$AI$232,0),MATCH(AY$4,Scénarios!$B$4:$AI$4,0)),"-")</f>
        <v>-</v>
      </c>
      <c r="AZ22" s="588" t="str">
        <f>IFERROR(INDEX(Param!$A$31:$C$35,MATCH($AY22,Param!$C$31:$C$35,0),1),"-")</f>
        <v>-</v>
      </c>
      <c r="BA22" s="588" t="str">
        <f>IFERROR(IF(INDEX(Scénarios!$B$2:$AI$232,MATCH($S22,Scénarios!$AI$2:$AI$232,0),MATCH(BA$4,Scénarios!$B$4:$AI$4,0))=0,"",INDEX(Scénarios!$B$2:$AI$232,MATCH($S22,Scénarios!$AI$2:$AI$232,0),MATCH(BA$4,Scénarios!$B$4:$AI$4,0))),"-")</f>
        <v>-</v>
      </c>
      <c r="BB22" s="443" t="str">
        <f>IFERROR(IF(INDEX(Scénarios!$B$2:$AK$237,MATCH($S22,Scénarios!$AI$2:$AI$237,0),MATCH(BB$4,Scénarios!$B$4:$AK$4,0))=0,"",INDEX(Scénarios!$B$2:$AK$237,MATCH($S22,Scénarios!$AI$2:$AI$237,0),MATCH(BB$4,Scénarios!$B$4:$AK$4,0))),"-")</f>
        <v>-</v>
      </c>
      <c r="BC22" s="443" t="str">
        <f>IFERROR(INDEX(Scénarios!$B$2:$AV$232,MATCH($S22,Scénarios!$AI$2:$AI$232,0),MATCH(BC$4,Scénarios!$B$4:$AV$4,0)),"-")</f>
        <v>-</v>
      </c>
    </row>
    <row r="23" spans="15:55" ht="25.5" customHeight="1" x14ac:dyDescent="0.25">
      <c r="O23" s="604" t="str">
        <f t="shared" si="0"/>
        <v>Fiche R19 sans décision :
Veuillez ajouter une décision</v>
      </c>
      <c r="P23" s="609" t="s">
        <v>2188</v>
      </c>
      <c r="Q23" s="605" t="s">
        <v>2067</v>
      </c>
      <c r="R23" s="585" t="s">
        <v>2068</v>
      </c>
      <c r="S23" s="587" t="s">
        <v>1896</v>
      </c>
      <c r="T23" s="588" t="str">
        <f>IFERROR(INDEX(Tab_sel!$B$7:$C$18,MATCH($AB23,Tab_sel!$C$7:$C$18,0),1),"-")</f>
        <v>-</v>
      </c>
      <c r="U23" s="589" t="str">
        <f>IFERROR(INDEX(Scénarios!$B$2:$AI$232,MATCH($S23,Scénarios!$AI$2:$AI$232,0),MATCH(U$4,Scénarios!$B$4:$AI$4,0)),"-")</f>
        <v>-</v>
      </c>
      <c r="V23" s="588" t="str">
        <f>IFERROR(INDEX(Scénarios!$B$2:$AI$232,MATCH($S23,Scénarios!$AI$2:$AI$232,0),MATCH(V$4,Scénarios!$B$4:$AI$4,0)),"-")</f>
        <v>-</v>
      </c>
      <c r="W23" s="588" t="str">
        <f>IFERROR(INDEX(Scénarios!$B$2:$AI$232,MATCH($S23,Scénarios!$AI$2:$AI$232,0),MATCH(W$4,Scénarios!$B$4:$AI$4,0)),"-")</f>
        <v>-</v>
      </c>
      <c r="X23" s="588" t="str">
        <f>IFERROR(VLOOKUP(AD23,Expo!$D$4:$E$35,2,FALSE),"-")</f>
        <v>-</v>
      </c>
      <c r="Y23" s="859" t="str">
        <f>IFERROR(IF(INDEX(Scénarios!$B$2:$AI$232,MATCH($S23,Scénarios!$AI$2:$AI$232,0),MATCH(Y$4,Scénarios!$B$4:$AI$4,0))=0,"",INDEX(Scénarios!$B$2:$AI$232,MATCH($S23,Scénarios!$AI$2:$AI$232,0),MATCH(Y$4,Scénarios!$B$4:$AI$4,0))),"-")</f>
        <v>-</v>
      </c>
      <c r="Z23" s="589" t="str">
        <f>IFERROR(INDEX(Scénarios!$B$2:$AI$232,MATCH($S23,Scénarios!$AI$2:$AI$232,0),MATCH(Z$4,Scénarios!$B$4:$AI$4,0)),"-")</f>
        <v>-</v>
      </c>
      <c r="AA23" s="589" t="str">
        <f>IFERROR(INDEX(Scénarios!$B$2:$AI$232,MATCH($S23,Scénarios!$AI$2:$AI$232,0),MATCH(AA$4,Scénarios!$B$4:$AI$4,0)),"-")</f>
        <v>-</v>
      </c>
      <c r="AB23" s="586" t="str">
        <f>IFERROR(INDEX(Scénarios!$B$2:$AI$232,MATCH($S23,Scénarios!$AI$2:$AI$232,0),MATCH(AB$4,Scénarios!$B$4:$AI$4,0)),"-")</f>
        <v>-</v>
      </c>
      <c r="AC23" s="442" t="str">
        <f>IFERROR(INDEX(Tab_sel!$B$24:$C$27,MATCH($U23,Tab_sel!$C$24:$C$27,0),1),"-")</f>
        <v>-</v>
      </c>
      <c r="AD23" s="443" t="str">
        <f>IFERROR(INDEX(Scénarios!$B$2:$AI$232,MATCH($S23,Scénarios!$AI$2:$AI$232,0),MATCH(AD$4,Scénarios!$B$4:$AI$4,0)),"-")</f>
        <v>-</v>
      </c>
      <c r="AE23" s="460" t="str">
        <f>IFERROR(INDEX(Scénarios!$B$2:$AI$232,MATCH($S23,Scénarios!$AI$2:$AI$232,0),MATCH(AE$4,Scénarios!$B$4:$AI$4,0)),"-")</f>
        <v>-</v>
      </c>
      <c r="AF23" s="460" t="str">
        <f>IFERROR(INDEX(Scénarios!$B$2:$AI$232,MATCH($S23,Scénarios!$AI$2:$AI$232,0),MATCH(AF$4,Scénarios!$B$4:$AI$4,0)),"-")</f>
        <v>-</v>
      </c>
      <c r="AG23" s="460" t="str">
        <f>IFERROR(INDEX(Scénarios!$B$2:$AI$232,MATCH($S23,Scénarios!$AI$2:$AI$232,0),MATCH(AG$4,Scénarios!$B$4:$AI$4,0)),"-")</f>
        <v>-</v>
      </c>
      <c r="AH23" s="460" t="str">
        <f>IFERROR(INDEX(Scénarios!$B$2:$AI$232,MATCH($S23,Scénarios!$AI$2:$AI$232,0),MATCH(AH$4,Scénarios!$B$4:$AI$4,0)),"-")</f>
        <v>-</v>
      </c>
      <c r="AI23" s="443" t="str">
        <f>IFERROR(INDEX(Scénarios!$B$2:$AI$232,MATCH($S23,Scénarios!$AI$2:$AI$232,0),MATCH(AI$4,Scénarios!$B$4:$AI$4,0)),"-")</f>
        <v>-</v>
      </c>
      <c r="AJ23" s="443" t="str">
        <f>IFERROR(INDEX(Param!$A$3:$C$7,MATCH($AI23,Param!$C$3:$C$7,0),1),"-")</f>
        <v>-</v>
      </c>
      <c r="AK23" s="443" t="str">
        <f>IFERROR(INDEX(Scénarios!$B$2:$AI$232,MATCH($S23,Scénarios!$AI$2:$AI$232,0),MATCH(AK$4,Scénarios!$B$4:$AI$4,0)),"-")</f>
        <v>-</v>
      </c>
      <c r="AL23" s="443" t="str">
        <f>IFERROR(INDEX(Scénarios!$B$2:$AI$232,MATCH($S23,Scénarios!$AI$2:$AI$232,0),MATCH(AL$4,Scénarios!$B$4:$AI$4,0)),"-")</f>
        <v>-</v>
      </c>
      <c r="AM23" s="443" t="str">
        <f>IFERROR(INDEX(Param!$A$10:$C$14,MATCH($AL23,Param!$C$10:$C$14,0),1),"-")</f>
        <v>-</v>
      </c>
      <c r="AN23" s="443" t="str">
        <f>IFERROR(IF(INDEX(Scénarios!$B$2:$AI$232,MATCH($S23,Scénarios!$AI$2:$AI$232,0),MATCH(AN$4,Scénarios!$B$4:$AI$4,0))=0,"",INDEX(Scénarios!$B$2:$AI$232,MATCH($S23,Scénarios!$AI$2:$AI$232,0),MATCH(AN$4,Scénarios!$B$4:$AI$4,0))),"-")</f>
        <v>-</v>
      </c>
      <c r="AO23" s="443" t="str">
        <f>IFERROR(INDEX(Scénarios!$B$2:$AI$232,MATCH($S23,Scénarios!$AI$2:$AI$232,0),MATCH(AO$4,Scénarios!$B$4:$AI$4,0)),"-")</f>
        <v>-</v>
      </c>
      <c r="AP23" s="443" t="str">
        <f>IFERROR(INDEX(Param!$A$17:$C$21,MATCH($AO23,Param!$C$17:$C$21,0),1),"-")</f>
        <v>-</v>
      </c>
      <c r="AQ23" s="443" t="str">
        <f>IFERROR(IF(INDEX(Scénarios!$B$2:$AI$232,MATCH($S23,Scénarios!$AI$2:$AI$232,0),MATCH(AQ$4,Scénarios!$B$4:$AI$4,0))=0,"",INDEX(Scénarios!$B$2:$AI$232,MATCH($S23,Scénarios!$AI$2:$AI$232,0),MATCH(AQ$4,Scénarios!$B$4:$AI$4,0))),"-")</f>
        <v>-</v>
      </c>
      <c r="AR23" s="443" t="str">
        <f>IFERROR(INDEX(Scénarios!$B$2:$AI$232,MATCH($S23,Scénarios!$AI$2:$AI$232,0),MATCH(AR$4,Scénarios!$B$4:$AI$4,0)),"-")</f>
        <v>-</v>
      </c>
      <c r="AS23" s="443" t="str">
        <f>IFERROR(INDEX(Param!$A$24:$C$28,MATCH($AR23,Param!$C$24:$C$28,0),1),"-")</f>
        <v>-</v>
      </c>
      <c r="AT23" s="443" t="str">
        <f>IFERROR(IF(INDEX(Scénarios!$B$2:$AI$232,MATCH($S23,Scénarios!$AI$2:$AI$232,0),MATCH(AT$4,Scénarios!$B$4:$AI$4,0))=0,"",INDEX(Scénarios!$B$2:$AI$232,MATCH($S23,Scénarios!$AI$2:$AI$232,0),MATCH(AT$4,Scénarios!$B$4:$AI$4,0))),"-")</f>
        <v>-</v>
      </c>
      <c r="AU23" s="462" t="str">
        <f>IFERROR(INDEX(Scénarios!$B$2:$AI$232,MATCH($S23,Scénarios!$AI$2:$AI$232,0),MATCH(AU$4,Scénarios!$B$4:$AI$4,0)),"-")</f>
        <v>-</v>
      </c>
      <c r="AV23" s="462" t="str">
        <f>IFERROR(INDEX(Scénarios!$B$2:$AI$232,MATCH($S23,Scénarios!$AI$2:$AI$232,0),MATCH(AV$4,Scénarios!$B$4:$AI$4,0)),"-")</f>
        <v>-</v>
      </c>
      <c r="AW23" s="462" t="str">
        <f>IFERROR(INDEX(Scénarios!$B$2:$AI$232,MATCH($S23,Scénarios!$AI$2:$AI$232,0),MATCH(AW$4,Scénarios!$B$4:$AI$4,0)),"-")</f>
        <v>-</v>
      </c>
      <c r="AX23" s="462" t="str">
        <f>IFERROR(INDEX(Scénarios!$B$2:$AI$232,MATCH($S23,Scénarios!$AI$2:$AI$232,0),MATCH(AX$4,Scénarios!$B$4:$AI$4,0)),"-")</f>
        <v>-</v>
      </c>
      <c r="AY23" s="443" t="str">
        <f>IFERROR(INDEX(Scénarios!$B$2:$AI$232,MATCH($S23,Scénarios!$AI$2:$AI$232,0),MATCH(AY$4,Scénarios!$B$4:$AI$4,0)),"-")</f>
        <v>-</v>
      </c>
      <c r="AZ23" s="588" t="str">
        <f>IFERROR(INDEX(Param!$A$31:$C$35,MATCH($AY23,Param!$C$31:$C$35,0),1),"-")</f>
        <v>-</v>
      </c>
      <c r="BA23" s="588" t="str">
        <f>IFERROR(IF(INDEX(Scénarios!$B$2:$AI$232,MATCH($S23,Scénarios!$AI$2:$AI$232,0),MATCH(BA$4,Scénarios!$B$4:$AI$4,0))=0,"",INDEX(Scénarios!$B$2:$AI$232,MATCH($S23,Scénarios!$AI$2:$AI$232,0),MATCH(BA$4,Scénarios!$B$4:$AI$4,0))),"-")</f>
        <v>-</v>
      </c>
      <c r="BB23" s="443" t="str">
        <f>IFERROR(IF(INDEX(Scénarios!$B$2:$AK$237,MATCH($S23,Scénarios!$AI$2:$AI$237,0),MATCH(BB$4,Scénarios!$B$4:$AK$4,0))=0,"",INDEX(Scénarios!$B$2:$AK$237,MATCH($S23,Scénarios!$AI$2:$AI$237,0),MATCH(BB$4,Scénarios!$B$4:$AK$4,0))),"-")</f>
        <v>-</v>
      </c>
      <c r="BC23" s="443" t="str">
        <f>IFERROR(INDEX(Scénarios!$B$2:$AV$232,MATCH($S23,Scénarios!$AI$2:$AI$232,0),MATCH(BC$4,Scénarios!$B$4:$AV$4,0)),"-")</f>
        <v>-</v>
      </c>
    </row>
    <row r="24" spans="15:55" ht="25.5" customHeight="1" x14ac:dyDescent="0.25">
      <c r="O24" s="604" t="str">
        <f t="shared" si="0"/>
        <v>Fiche R20 sans décision :
Veuillez ajouter une décision</v>
      </c>
      <c r="P24" s="609" t="s">
        <v>2188</v>
      </c>
      <c r="Q24" s="605" t="s">
        <v>2067</v>
      </c>
      <c r="R24" s="585" t="s">
        <v>2068</v>
      </c>
      <c r="S24" s="587" t="s">
        <v>1897</v>
      </c>
      <c r="T24" s="588" t="str">
        <f>IFERROR(INDEX(Tab_sel!$B$7:$C$18,MATCH($AB24,Tab_sel!$C$7:$C$18,0),1),"-")</f>
        <v>-</v>
      </c>
      <c r="U24" s="589" t="str">
        <f>IFERROR(INDEX(Scénarios!$B$2:$AI$232,MATCH($S24,Scénarios!$AI$2:$AI$232,0),MATCH(U$4,Scénarios!$B$4:$AI$4,0)),"-")</f>
        <v>-</v>
      </c>
      <c r="V24" s="588" t="str">
        <f>IFERROR(INDEX(Scénarios!$B$2:$AI$232,MATCH($S24,Scénarios!$AI$2:$AI$232,0),MATCH(V$4,Scénarios!$B$4:$AI$4,0)),"-")</f>
        <v>-</v>
      </c>
      <c r="W24" s="588" t="str">
        <f>IFERROR(INDEX(Scénarios!$B$2:$AI$232,MATCH($S24,Scénarios!$AI$2:$AI$232,0),MATCH(W$4,Scénarios!$B$4:$AI$4,0)),"-")</f>
        <v>-</v>
      </c>
      <c r="X24" s="588" t="str">
        <f>IFERROR(VLOOKUP(AD24,Expo!$D$4:$E$35,2,FALSE),"-")</f>
        <v>-</v>
      </c>
      <c r="Y24" s="859" t="str">
        <f>IFERROR(IF(INDEX(Scénarios!$B$2:$AI$232,MATCH($S24,Scénarios!$AI$2:$AI$232,0),MATCH(Y$4,Scénarios!$B$4:$AI$4,0))=0,"",INDEX(Scénarios!$B$2:$AI$232,MATCH($S24,Scénarios!$AI$2:$AI$232,0),MATCH(Y$4,Scénarios!$B$4:$AI$4,0))),"-")</f>
        <v>-</v>
      </c>
      <c r="Z24" s="589" t="str">
        <f>IFERROR(INDEX(Scénarios!$B$2:$AI$232,MATCH($S24,Scénarios!$AI$2:$AI$232,0),MATCH(Z$4,Scénarios!$B$4:$AI$4,0)),"-")</f>
        <v>-</v>
      </c>
      <c r="AA24" s="589" t="str">
        <f>IFERROR(INDEX(Scénarios!$B$2:$AI$232,MATCH($S24,Scénarios!$AI$2:$AI$232,0),MATCH(AA$4,Scénarios!$B$4:$AI$4,0)),"-")</f>
        <v>-</v>
      </c>
      <c r="AB24" s="586" t="str">
        <f>IFERROR(INDEX(Scénarios!$B$2:$AI$232,MATCH($S24,Scénarios!$AI$2:$AI$232,0),MATCH(AB$4,Scénarios!$B$4:$AI$4,0)),"-")</f>
        <v>-</v>
      </c>
      <c r="AC24" s="442" t="str">
        <f>IFERROR(INDEX(Tab_sel!$B$24:$C$27,MATCH($U24,Tab_sel!$C$24:$C$27,0),1),"-")</f>
        <v>-</v>
      </c>
      <c r="AD24" s="443" t="str">
        <f>IFERROR(INDEX(Scénarios!$B$2:$AI$232,MATCH($S24,Scénarios!$AI$2:$AI$232,0),MATCH(AD$4,Scénarios!$B$4:$AI$4,0)),"-")</f>
        <v>-</v>
      </c>
      <c r="AE24" s="460" t="str">
        <f>IFERROR(INDEX(Scénarios!$B$2:$AI$232,MATCH($S24,Scénarios!$AI$2:$AI$232,0),MATCH(AE$4,Scénarios!$B$4:$AI$4,0)),"-")</f>
        <v>-</v>
      </c>
      <c r="AF24" s="460" t="str">
        <f>IFERROR(INDEX(Scénarios!$B$2:$AI$232,MATCH($S24,Scénarios!$AI$2:$AI$232,0),MATCH(AF$4,Scénarios!$B$4:$AI$4,0)),"-")</f>
        <v>-</v>
      </c>
      <c r="AG24" s="460" t="str">
        <f>IFERROR(INDEX(Scénarios!$B$2:$AI$232,MATCH($S24,Scénarios!$AI$2:$AI$232,0),MATCH(AG$4,Scénarios!$B$4:$AI$4,0)),"-")</f>
        <v>-</v>
      </c>
      <c r="AH24" s="460" t="str">
        <f>IFERROR(INDEX(Scénarios!$B$2:$AI$232,MATCH($S24,Scénarios!$AI$2:$AI$232,0),MATCH(AH$4,Scénarios!$B$4:$AI$4,0)),"-")</f>
        <v>-</v>
      </c>
      <c r="AI24" s="443" t="str">
        <f>IFERROR(INDEX(Scénarios!$B$2:$AI$232,MATCH($S24,Scénarios!$AI$2:$AI$232,0),MATCH(AI$4,Scénarios!$B$4:$AI$4,0)),"-")</f>
        <v>-</v>
      </c>
      <c r="AJ24" s="443" t="str">
        <f>IFERROR(INDEX(Param!$A$3:$C$7,MATCH($AI24,Param!$C$3:$C$7,0),1),"-")</f>
        <v>-</v>
      </c>
      <c r="AK24" s="443" t="str">
        <f>IFERROR(INDEX(Scénarios!$B$2:$AI$232,MATCH($S24,Scénarios!$AI$2:$AI$232,0),MATCH(AK$4,Scénarios!$B$4:$AI$4,0)),"-")</f>
        <v>-</v>
      </c>
      <c r="AL24" s="443" t="str">
        <f>IFERROR(INDEX(Scénarios!$B$2:$AI$232,MATCH($S24,Scénarios!$AI$2:$AI$232,0),MATCH(AL$4,Scénarios!$B$4:$AI$4,0)),"-")</f>
        <v>-</v>
      </c>
      <c r="AM24" s="443" t="str">
        <f>IFERROR(INDEX(Param!$A$10:$C$14,MATCH($AL24,Param!$C$10:$C$14,0),1),"-")</f>
        <v>-</v>
      </c>
      <c r="AN24" s="443" t="str">
        <f>IFERROR(IF(INDEX(Scénarios!$B$2:$AI$232,MATCH($S24,Scénarios!$AI$2:$AI$232,0),MATCH(AN$4,Scénarios!$B$4:$AI$4,0))=0,"",INDEX(Scénarios!$B$2:$AI$232,MATCH($S24,Scénarios!$AI$2:$AI$232,0),MATCH(AN$4,Scénarios!$B$4:$AI$4,0))),"-")</f>
        <v>-</v>
      </c>
      <c r="AO24" s="443" t="str">
        <f>IFERROR(INDEX(Scénarios!$B$2:$AI$232,MATCH($S24,Scénarios!$AI$2:$AI$232,0),MATCH(AO$4,Scénarios!$B$4:$AI$4,0)),"-")</f>
        <v>-</v>
      </c>
      <c r="AP24" s="443" t="str">
        <f>IFERROR(INDEX(Param!$A$17:$C$21,MATCH($AO24,Param!$C$17:$C$21,0),1),"-")</f>
        <v>-</v>
      </c>
      <c r="AQ24" s="443" t="str">
        <f>IFERROR(IF(INDEX(Scénarios!$B$2:$AI$232,MATCH($S24,Scénarios!$AI$2:$AI$232,0),MATCH(AQ$4,Scénarios!$B$4:$AI$4,0))=0,"",INDEX(Scénarios!$B$2:$AI$232,MATCH($S24,Scénarios!$AI$2:$AI$232,0),MATCH(AQ$4,Scénarios!$B$4:$AI$4,0))),"-")</f>
        <v>-</v>
      </c>
      <c r="AR24" s="443" t="str">
        <f>IFERROR(INDEX(Scénarios!$B$2:$AI$232,MATCH($S24,Scénarios!$AI$2:$AI$232,0),MATCH(AR$4,Scénarios!$B$4:$AI$4,0)),"-")</f>
        <v>-</v>
      </c>
      <c r="AS24" s="443" t="str">
        <f>IFERROR(INDEX(Param!$A$24:$C$28,MATCH($AR24,Param!$C$24:$C$28,0),1),"-")</f>
        <v>-</v>
      </c>
      <c r="AT24" s="443" t="str">
        <f>IFERROR(IF(INDEX(Scénarios!$B$2:$AI$232,MATCH($S24,Scénarios!$AI$2:$AI$232,0),MATCH(AT$4,Scénarios!$B$4:$AI$4,0))=0,"",INDEX(Scénarios!$B$2:$AI$232,MATCH($S24,Scénarios!$AI$2:$AI$232,0),MATCH(AT$4,Scénarios!$B$4:$AI$4,0))),"-")</f>
        <v>-</v>
      </c>
      <c r="AU24" s="462" t="str">
        <f>IFERROR(INDEX(Scénarios!$B$2:$AI$232,MATCH($S24,Scénarios!$AI$2:$AI$232,0),MATCH(AU$4,Scénarios!$B$4:$AI$4,0)),"-")</f>
        <v>-</v>
      </c>
      <c r="AV24" s="462" t="str">
        <f>IFERROR(INDEX(Scénarios!$B$2:$AI$232,MATCH($S24,Scénarios!$AI$2:$AI$232,0),MATCH(AV$4,Scénarios!$B$4:$AI$4,0)),"-")</f>
        <v>-</v>
      </c>
      <c r="AW24" s="462" t="str">
        <f>IFERROR(INDEX(Scénarios!$B$2:$AI$232,MATCH($S24,Scénarios!$AI$2:$AI$232,0),MATCH(AW$4,Scénarios!$B$4:$AI$4,0)),"-")</f>
        <v>-</v>
      </c>
      <c r="AX24" s="462" t="str">
        <f>IFERROR(INDEX(Scénarios!$B$2:$AI$232,MATCH($S24,Scénarios!$AI$2:$AI$232,0),MATCH(AX$4,Scénarios!$B$4:$AI$4,0)),"-")</f>
        <v>-</v>
      </c>
      <c r="AY24" s="443" t="str">
        <f>IFERROR(INDEX(Scénarios!$B$2:$AI$232,MATCH($S24,Scénarios!$AI$2:$AI$232,0),MATCH(AY$4,Scénarios!$B$4:$AI$4,0)),"-")</f>
        <v>-</v>
      </c>
      <c r="AZ24" s="588" t="str">
        <f>IFERROR(INDEX(Param!$A$31:$C$35,MATCH($AY24,Param!$C$31:$C$35,0),1),"-")</f>
        <v>-</v>
      </c>
      <c r="BA24" s="588" t="str">
        <f>IFERROR(IF(INDEX(Scénarios!$B$2:$AI$232,MATCH($S24,Scénarios!$AI$2:$AI$232,0),MATCH(BA$4,Scénarios!$B$4:$AI$4,0))=0,"",INDEX(Scénarios!$B$2:$AI$232,MATCH($S24,Scénarios!$AI$2:$AI$232,0),MATCH(BA$4,Scénarios!$B$4:$AI$4,0))),"-")</f>
        <v>-</v>
      </c>
      <c r="BB24" s="443" t="str">
        <f>IFERROR(IF(INDEX(Scénarios!$B$2:$AK$237,MATCH($S24,Scénarios!$AI$2:$AI$237,0),MATCH(BB$4,Scénarios!$B$4:$AK$4,0))=0,"",INDEX(Scénarios!$B$2:$AK$237,MATCH($S24,Scénarios!$AI$2:$AI$237,0),MATCH(BB$4,Scénarios!$B$4:$AK$4,0))),"-")</f>
        <v>-</v>
      </c>
      <c r="BC24" s="443" t="str">
        <f>IFERROR(INDEX(Scénarios!$B$2:$AV$232,MATCH($S24,Scénarios!$AI$2:$AI$232,0),MATCH(BC$4,Scénarios!$B$4:$AV$4,0)),"-")</f>
        <v>-</v>
      </c>
    </row>
    <row r="25" spans="15:55" ht="25.5" customHeight="1" x14ac:dyDescent="0.25">
      <c r="O25" s="604" t="str">
        <f t="shared" si="0"/>
        <v>Fiche R21 sans décision :
Veuillez ajouter une décision</v>
      </c>
      <c r="P25" s="609" t="s">
        <v>2188</v>
      </c>
      <c r="Q25" s="605" t="s">
        <v>2067</v>
      </c>
      <c r="R25" s="585" t="s">
        <v>2068</v>
      </c>
      <c r="S25" s="587" t="s">
        <v>1898</v>
      </c>
      <c r="T25" s="588" t="str">
        <f>IFERROR(INDEX(Tab_sel!$B$7:$C$18,MATCH($AB25,Tab_sel!$C$7:$C$18,0),1),"-")</f>
        <v>-</v>
      </c>
      <c r="U25" s="589" t="str">
        <f>IFERROR(INDEX(Scénarios!$B$2:$AI$232,MATCH($S25,Scénarios!$AI$2:$AI$232,0),MATCH(U$4,Scénarios!$B$4:$AI$4,0)),"-")</f>
        <v>-</v>
      </c>
      <c r="V25" s="588" t="str">
        <f>IFERROR(INDEX(Scénarios!$B$2:$AI$232,MATCH($S25,Scénarios!$AI$2:$AI$232,0),MATCH(V$4,Scénarios!$B$4:$AI$4,0)),"-")</f>
        <v>-</v>
      </c>
      <c r="W25" s="588" t="str">
        <f>IFERROR(INDEX(Scénarios!$B$2:$AI$232,MATCH($S25,Scénarios!$AI$2:$AI$232,0),MATCH(W$4,Scénarios!$B$4:$AI$4,0)),"-")</f>
        <v>-</v>
      </c>
      <c r="X25" s="588" t="str">
        <f>IFERROR(VLOOKUP(AD25,Expo!$D$4:$E$35,2,FALSE),"-")</f>
        <v>-</v>
      </c>
      <c r="Y25" s="859" t="str">
        <f>IFERROR(IF(INDEX(Scénarios!$B$2:$AI$232,MATCH($S25,Scénarios!$AI$2:$AI$232,0),MATCH(Y$4,Scénarios!$B$4:$AI$4,0))=0,"",INDEX(Scénarios!$B$2:$AI$232,MATCH($S25,Scénarios!$AI$2:$AI$232,0),MATCH(Y$4,Scénarios!$B$4:$AI$4,0))),"-")</f>
        <v>-</v>
      </c>
      <c r="Z25" s="589" t="str">
        <f>IFERROR(INDEX(Scénarios!$B$2:$AI$232,MATCH($S25,Scénarios!$AI$2:$AI$232,0),MATCH(Z$4,Scénarios!$B$4:$AI$4,0)),"-")</f>
        <v>-</v>
      </c>
      <c r="AA25" s="589" t="str">
        <f>IFERROR(INDEX(Scénarios!$B$2:$AI$232,MATCH($S25,Scénarios!$AI$2:$AI$232,0),MATCH(AA$4,Scénarios!$B$4:$AI$4,0)),"-")</f>
        <v>-</v>
      </c>
      <c r="AB25" s="586" t="str">
        <f>IFERROR(INDEX(Scénarios!$B$2:$AI$232,MATCH($S25,Scénarios!$AI$2:$AI$232,0),MATCH(AB$4,Scénarios!$B$4:$AI$4,0)),"-")</f>
        <v>-</v>
      </c>
      <c r="AC25" s="442" t="str">
        <f>IFERROR(INDEX(Tab_sel!$B$24:$C$27,MATCH($U25,Tab_sel!$C$24:$C$27,0),1),"-")</f>
        <v>-</v>
      </c>
      <c r="AD25" s="443" t="str">
        <f>IFERROR(INDEX(Scénarios!$B$2:$AI$232,MATCH($S25,Scénarios!$AI$2:$AI$232,0),MATCH(AD$4,Scénarios!$B$4:$AI$4,0)),"-")</f>
        <v>-</v>
      </c>
      <c r="AE25" s="460" t="str">
        <f>IFERROR(INDEX(Scénarios!$B$2:$AI$232,MATCH($S25,Scénarios!$AI$2:$AI$232,0),MATCH(AE$4,Scénarios!$B$4:$AI$4,0)),"-")</f>
        <v>-</v>
      </c>
      <c r="AF25" s="460" t="str">
        <f>IFERROR(INDEX(Scénarios!$B$2:$AI$232,MATCH($S25,Scénarios!$AI$2:$AI$232,0),MATCH(AF$4,Scénarios!$B$4:$AI$4,0)),"-")</f>
        <v>-</v>
      </c>
      <c r="AG25" s="460" t="str">
        <f>IFERROR(INDEX(Scénarios!$B$2:$AI$232,MATCH($S25,Scénarios!$AI$2:$AI$232,0),MATCH(AG$4,Scénarios!$B$4:$AI$4,0)),"-")</f>
        <v>-</v>
      </c>
      <c r="AH25" s="460" t="str">
        <f>IFERROR(INDEX(Scénarios!$B$2:$AI$232,MATCH($S25,Scénarios!$AI$2:$AI$232,0),MATCH(AH$4,Scénarios!$B$4:$AI$4,0)),"-")</f>
        <v>-</v>
      </c>
      <c r="AI25" s="443" t="str">
        <f>IFERROR(INDEX(Scénarios!$B$2:$AI$232,MATCH($S25,Scénarios!$AI$2:$AI$232,0),MATCH(AI$4,Scénarios!$B$4:$AI$4,0)),"-")</f>
        <v>-</v>
      </c>
      <c r="AJ25" s="443" t="str">
        <f>IFERROR(INDEX(Param!$A$3:$C$7,MATCH($AI25,Param!$C$3:$C$7,0),1),"-")</f>
        <v>-</v>
      </c>
      <c r="AK25" s="443" t="str">
        <f>IFERROR(INDEX(Scénarios!$B$2:$AI$232,MATCH($S25,Scénarios!$AI$2:$AI$232,0),MATCH(AK$4,Scénarios!$B$4:$AI$4,0)),"-")</f>
        <v>-</v>
      </c>
      <c r="AL25" s="443" t="str">
        <f>IFERROR(INDEX(Scénarios!$B$2:$AI$232,MATCH($S25,Scénarios!$AI$2:$AI$232,0),MATCH(AL$4,Scénarios!$B$4:$AI$4,0)),"-")</f>
        <v>-</v>
      </c>
      <c r="AM25" s="443" t="str">
        <f>IFERROR(INDEX(Param!$A$10:$C$14,MATCH($AL25,Param!$C$10:$C$14,0),1),"-")</f>
        <v>-</v>
      </c>
      <c r="AN25" s="443" t="str">
        <f>IFERROR(IF(INDEX(Scénarios!$B$2:$AI$232,MATCH($S25,Scénarios!$AI$2:$AI$232,0),MATCH(AN$4,Scénarios!$B$4:$AI$4,0))=0,"",INDEX(Scénarios!$B$2:$AI$232,MATCH($S25,Scénarios!$AI$2:$AI$232,0),MATCH(AN$4,Scénarios!$B$4:$AI$4,0))),"-")</f>
        <v>-</v>
      </c>
      <c r="AO25" s="443" t="str">
        <f>IFERROR(INDEX(Scénarios!$B$2:$AI$232,MATCH($S25,Scénarios!$AI$2:$AI$232,0),MATCH(AO$4,Scénarios!$B$4:$AI$4,0)),"-")</f>
        <v>-</v>
      </c>
      <c r="AP25" s="443" t="str">
        <f>IFERROR(INDEX(Param!$A$17:$C$21,MATCH($AO25,Param!$C$17:$C$21,0),1),"-")</f>
        <v>-</v>
      </c>
      <c r="AQ25" s="443" t="str">
        <f>IFERROR(IF(INDEX(Scénarios!$B$2:$AI$232,MATCH($S25,Scénarios!$AI$2:$AI$232,0),MATCH(AQ$4,Scénarios!$B$4:$AI$4,0))=0,"",INDEX(Scénarios!$B$2:$AI$232,MATCH($S25,Scénarios!$AI$2:$AI$232,0),MATCH(AQ$4,Scénarios!$B$4:$AI$4,0))),"-")</f>
        <v>-</v>
      </c>
      <c r="AR25" s="443" t="str">
        <f>IFERROR(INDEX(Scénarios!$B$2:$AI$232,MATCH($S25,Scénarios!$AI$2:$AI$232,0),MATCH(AR$4,Scénarios!$B$4:$AI$4,0)),"-")</f>
        <v>-</v>
      </c>
      <c r="AS25" s="443" t="str">
        <f>IFERROR(INDEX(Param!$A$24:$C$28,MATCH($AR25,Param!$C$24:$C$28,0),1),"-")</f>
        <v>-</v>
      </c>
      <c r="AT25" s="443" t="str">
        <f>IFERROR(IF(INDEX(Scénarios!$B$2:$AI$232,MATCH($S25,Scénarios!$AI$2:$AI$232,0),MATCH(AT$4,Scénarios!$B$4:$AI$4,0))=0,"",INDEX(Scénarios!$B$2:$AI$232,MATCH($S25,Scénarios!$AI$2:$AI$232,0),MATCH(AT$4,Scénarios!$B$4:$AI$4,0))),"-")</f>
        <v>-</v>
      </c>
      <c r="AU25" s="462" t="str">
        <f>IFERROR(INDEX(Scénarios!$B$2:$AI$232,MATCH($S25,Scénarios!$AI$2:$AI$232,0),MATCH(AU$4,Scénarios!$B$4:$AI$4,0)),"-")</f>
        <v>-</v>
      </c>
      <c r="AV25" s="462" t="str">
        <f>IFERROR(INDEX(Scénarios!$B$2:$AI$232,MATCH($S25,Scénarios!$AI$2:$AI$232,0),MATCH(AV$4,Scénarios!$B$4:$AI$4,0)),"-")</f>
        <v>-</v>
      </c>
      <c r="AW25" s="462" t="str">
        <f>IFERROR(INDEX(Scénarios!$B$2:$AI$232,MATCH($S25,Scénarios!$AI$2:$AI$232,0),MATCH(AW$4,Scénarios!$B$4:$AI$4,0)),"-")</f>
        <v>-</v>
      </c>
      <c r="AX25" s="462" t="str">
        <f>IFERROR(INDEX(Scénarios!$B$2:$AI$232,MATCH($S25,Scénarios!$AI$2:$AI$232,0),MATCH(AX$4,Scénarios!$B$4:$AI$4,0)),"-")</f>
        <v>-</v>
      </c>
      <c r="AY25" s="443" t="str">
        <f>IFERROR(INDEX(Scénarios!$B$2:$AI$232,MATCH($S25,Scénarios!$AI$2:$AI$232,0),MATCH(AY$4,Scénarios!$B$4:$AI$4,0)),"-")</f>
        <v>-</v>
      </c>
      <c r="AZ25" s="588" t="str">
        <f>IFERROR(INDEX(Param!$A$31:$C$35,MATCH($AY25,Param!$C$31:$C$35,0),1),"-")</f>
        <v>-</v>
      </c>
      <c r="BA25" s="588" t="str">
        <f>IFERROR(IF(INDEX(Scénarios!$B$2:$AI$232,MATCH($S25,Scénarios!$AI$2:$AI$232,0),MATCH(BA$4,Scénarios!$B$4:$AI$4,0))=0,"",INDEX(Scénarios!$B$2:$AI$232,MATCH($S25,Scénarios!$AI$2:$AI$232,0),MATCH(BA$4,Scénarios!$B$4:$AI$4,0))),"-")</f>
        <v>-</v>
      </c>
      <c r="BB25" s="443" t="str">
        <f>IFERROR(IF(INDEX(Scénarios!$B$2:$AK$237,MATCH($S25,Scénarios!$AI$2:$AI$237,0),MATCH(BB$4,Scénarios!$B$4:$AK$4,0))=0,"",INDEX(Scénarios!$B$2:$AK$237,MATCH($S25,Scénarios!$AI$2:$AI$237,0),MATCH(BB$4,Scénarios!$B$4:$AK$4,0))),"-")</f>
        <v>-</v>
      </c>
      <c r="BC25" s="443" t="str">
        <f>IFERROR(INDEX(Scénarios!$B$2:$AV$232,MATCH($S25,Scénarios!$AI$2:$AI$232,0),MATCH(BC$4,Scénarios!$B$4:$AV$4,0)),"-")</f>
        <v>-</v>
      </c>
    </row>
    <row r="26" spans="15:55" ht="25.5" customHeight="1" x14ac:dyDescent="0.25">
      <c r="O26" s="604" t="str">
        <f t="shared" si="0"/>
        <v>Fiche R22 sans décision :
Veuillez ajouter une décision</v>
      </c>
      <c r="P26" s="609" t="s">
        <v>2188</v>
      </c>
      <c r="Q26" s="605" t="s">
        <v>2067</v>
      </c>
      <c r="R26" s="585" t="s">
        <v>2068</v>
      </c>
      <c r="S26" s="587" t="s">
        <v>1899</v>
      </c>
      <c r="T26" s="588" t="str">
        <f>IFERROR(INDEX(Tab_sel!$B$7:$C$18,MATCH($AB26,Tab_sel!$C$7:$C$18,0),1),"-")</f>
        <v>-</v>
      </c>
      <c r="U26" s="589" t="str">
        <f>IFERROR(INDEX(Scénarios!$B$2:$AI$232,MATCH($S26,Scénarios!$AI$2:$AI$232,0),MATCH(U$4,Scénarios!$B$4:$AI$4,0)),"-")</f>
        <v>-</v>
      </c>
      <c r="V26" s="588" t="str">
        <f>IFERROR(INDEX(Scénarios!$B$2:$AI$232,MATCH($S26,Scénarios!$AI$2:$AI$232,0),MATCH(V$4,Scénarios!$B$4:$AI$4,0)),"-")</f>
        <v>-</v>
      </c>
      <c r="W26" s="588" t="str">
        <f>IFERROR(INDEX(Scénarios!$B$2:$AI$232,MATCH($S26,Scénarios!$AI$2:$AI$232,0),MATCH(W$4,Scénarios!$B$4:$AI$4,0)),"-")</f>
        <v>-</v>
      </c>
      <c r="X26" s="588" t="str">
        <f>IFERROR(VLOOKUP(AD26,Expo!$D$4:$E$35,2,FALSE),"-")</f>
        <v>-</v>
      </c>
      <c r="Y26" s="859" t="str">
        <f>IFERROR(IF(INDEX(Scénarios!$B$2:$AI$232,MATCH($S26,Scénarios!$AI$2:$AI$232,0),MATCH(Y$4,Scénarios!$B$4:$AI$4,0))=0,"",INDEX(Scénarios!$B$2:$AI$232,MATCH($S26,Scénarios!$AI$2:$AI$232,0),MATCH(Y$4,Scénarios!$B$4:$AI$4,0))),"-")</f>
        <v>-</v>
      </c>
      <c r="Z26" s="589" t="str">
        <f>IFERROR(INDEX(Scénarios!$B$2:$AI$232,MATCH($S26,Scénarios!$AI$2:$AI$232,0),MATCH(Z$4,Scénarios!$B$4:$AI$4,0)),"-")</f>
        <v>-</v>
      </c>
      <c r="AA26" s="589" t="str">
        <f>IFERROR(INDEX(Scénarios!$B$2:$AI$232,MATCH($S26,Scénarios!$AI$2:$AI$232,0),MATCH(AA$4,Scénarios!$B$4:$AI$4,0)),"-")</f>
        <v>-</v>
      </c>
      <c r="AB26" s="586" t="str">
        <f>IFERROR(INDEX(Scénarios!$B$2:$AI$232,MATCH($S26,Scénarios!$AI$2:$AI$232,0),MATCH(AB$4,Scénarios!$B$4:$AI$4,0)),"-")</f>
        <v>-</v>
      </c>
      <c r="AC26" s="442" t="str">
        <f>IFERROR(INDEX(Tab_sel!$B$24:$C$27,MATCH($U26,Tab_sel!$C$24:$C$27,0),1),"-")</f>
        <v>-</v>
      </c>
      <c r="AD26" s="443" t="str">
        <f>IFERROR(INDEX(Scénarios!$B$2:$AI$232,MATCH($S26,Scénarios!$AI$2:$AI$232,0),MATCH(AD$4,Scénarios!$B$4:$AI$4,0)),"-")</f>
        <v>-</v>
      </c>
      <c r="AE26" s="460" t="str">
        <f>IFERROR(INDEX(Scénarios!$B$2:$AI$232,MATCH($S26,Scénarios!$AI$2:$AI$232,0),MATCH(AE$4,Scénarios!$B$4:$AI$4,0)),"-")</f>
        <v>-</v>
      </c>
      <c r="AF26" s="460" t="str">
        <f>IFERROR(INDEX(Scénarios!$B$2:$AI$232,MATCH($S26,Scénarios!$AI$2:$AI$232,0),MATCH(AF$4,Scénarios!$B$4:$AI$4,0)),"-")</f>
        <v>-</v>
      </c>
      <c r="AG26" s="460" t="str">
        <f>IFERROR(INDEX(Scénarios!$B$2:$AI$232,MATCH($S26,Scénarios!$AI$2:$AI$232,0),MATCH(AG$4,Scénarios!$B$4:$AI$4,0)),"-")</f>
        <v>-</v>
      </c>
      <c r="AH26" s="460" t="str">
        <f>IFERROR(INDEX(Scénarios!$B$2:$AI$232,MATCH($S26,Scénarios!$AI$2:$AI$232,0),MATCH(AH$4,Scénarios!$B$4:$AI$4,0)),"-")</f>
        <v>-</v>
      </c>
      <c r="AI26" s="443" t="str">
        <f>IFERROR(INDEX(Scénarios!$B$2:$AI$232,MATCH($S26,Scénarios!$AI$2:$AI$232,0),MATCH(AI$4,Scénarios!$B$4:$AI$4,0)),"-")</f>
        <v>-</v>
      </c>
      <c r="AJ26" s="443" t="str">
        <f>IFERROR(INDEX(Param!$A$3:$C$7,MATCH($AI26,Param!$C$3:$C$7,0),1),"-")</f>
        <v>-</v>
      </c>
      <c r="AK26" s="443" t="str">
        <f>IFERROR(INDEX(Scénarios!$B$2:$AI$232,MATCH($S26,Scénarios!$AI$2:$AI$232,0),MATCH(AK$4,Scénarios!$B$4:$AI$4,0)),"-")</f>
        <v>-</v>
      </c>
      <c r="AL26" s="443" t="str">
        <f>IFERROR(INDEX(Scénarios!$B$2:$AI$232,MATCH($S26,Scénarios!$AI$2:$AI$232,0),MATCH(AL$4,Scénarios!$B$4:$AI$4,0)),"-")</f>
        <v>-</v>
      </c>
      <c r="AM26" s="443" t="str">
        <f>IFERROR(INDEX(Param!$A$10:$C$14,MATCH($AL26,Param!$C$10:$C$14,0),1),"-")</f>
        <v>-</v>
      </c>
      <c r="AN26" s="443" t="str">
        <f>IFERROR(IF(INDEX(Scénarios!$B$2:$AI$232,MATCH($S26,Scénarios!$AI$2:$AI$232,0),MATCH(AN$4,Scénarios!$B$4:$AI$4,0))=0,"",INDEX(Scénarios!$B$2:$AI$232,MATCH($S26,Scénarios!$AI$2:$AI$232,0),MATCH(AN$4,Scénarios!$B$4:$AI$4,0))),"-")</f>
        <v>-</v>
      </c>
      <c r="AO26" s="443" t="str">
        <f>IFERROR(INDEX(Scénarios!$B$2:$AI$232,MATCH($S26,Scénarios!$AI$2:$AI$232,0),MATCH(AO$4,Scénarios!$B$4:$AI$4,0)),"-")</f>
        <v>-</v>
      </c>
      <c r="AP26" s="443" t="str">
        <f>IFERROR(INDEX(Param!$A$17:$C$21,MATCH($AO26,Param!$C$17:$C$21,0),1),"-")</f>
        <v>-</v>
      </c>
      <c r="AQ26" s="443" t="str">
        <f>IFERROR(IF(INDEX(Scénarios!$B$2:$AI$232,MATCH($S26,Scénarios!$AI$2:$AI$232,0),MATCH(AQ$4,Scénarios!$B$4:$AI$4,0))=0,"",INDEX(Scénarios!$B$2:$AI$232,MATCH($S26,Scénarios!$AI$2:$AI$232,0),MATCH(AQ$4,Scénarios!$B$4:$AI$4,0))),"-")</f>
        <v>-</v>
      </c>
      <c r="AR26" s="443" t="str">
        <f>IFERROR(INDEX(Scénarios!$B$2:$AI$232,MATCH($S26,Scénarios!$AI$2:$AI$232,0),MATCH(AR$4,Scénarios!$B$4:$AI$4,0)),"-")</f>
        <v>-</v>
      </c>
      <c r="AS26" s="443" t="str">
        <f>IFERROR(INDEX(Param!$A$24:$C$28,MATCH($AR26,Param!$C$24:$C$28,0),1),"-")</f>
        <v>-</v>
      </c>
      <c r="AT26" s="443" t="str">
        <f>IFERROR(IF(INDEX(Scénarios!$B$2:$AI$232,MATCH($S26,Scénarios!$AI$2:$AI$232,0),MATCH(AT$4,Scénarios!$B$4:$AI$4,0))=0,"",INDEX(Scénarios!$B$2:$AI$232,MATCH($S26,Scénarios!$AI$2:$AI$232,0),MATCH(AT$4,Scénarios!$B$4:$AI$4,0))),"-")</f>
        <v>-</v>
      </c>
      <c r="AU26" s="462" t="str">
        <f>IFERROR(INDEX(Scénarios!$B$2:$AI$232,MATCH($S26,Scénarios!$AI$2:$AI$232,0),MATCH(AU$4,Scénarios!$B$4:$AI$4,0)),"-")</f>
        <v>-</v>
      </c>
      <c r="AV26" s="462" t="str">
        <f>IFERROR(INDEX(Scénarios!$B$2:$AI$232,MATCH($S26,Scénarios!$AI$2:$AI$232,0),MATCH(AV$4,Scénarios!$B$4:$AI$4,0)),"-")</f>
        <v>-</v>
      </c>
      <c r="AW26" s="462" t="str">
        <f>IFERROR(INDEX(Scénarios!$B$2:$AI$232,MATCH($S26,Scénarios!$AI$2:$AI$232,0),MATCH(AW$4,Scénarios!$B$4:$AI$4,0)),"-")</f>
        <v>-</v>
      </c>
      <c r="AX26" s="462" t="str">
        <f>IFERROR(INDEX(Scénarios!$B$2:$AI$232,MATCH($S26,Scénarios!$AI$2:$AI$232,0),MATCH(AX$4,Scénarios!$B$4:$AI$4,0)),"-")</f>
        <v>-</v>
      </c>
      <c r="AY26" s="443" t="str">
        <f>IFERROR(INDEX(Scénarios!$B$2:$AI$232,MATCH($S26,Scénarios!$AI$2:$AI$232,0),MATCH(AY$4,Scénarios!$B$4:$AI$4,0)),"-")</f>
        <v>-</v>
      </c>
      <c r="AZ26" s="588" t="str">
        <f>IFERROR(INDEX(Param!$A$31:$C$35,MATCH($AY26,Param!$C$31:$C$35,0),1),"-")</f>
        <v>-</v>
      </c>
      <c r="BA26" s="588" t="str">
        <f>IFERROR(IF(INDEX(Scénarios!$B$2:$AI$232,MATCH($S26,Scénarios!$AI$2:$AI$232,0),MATCH(BA$4,Scénarios!$B$4:$AI$4,0))=0,"",INDEX(Scénarios!$B$2:$AI$232,MATCH($S26,Scénarios!$AI$2:$AI$232,0),MATCH(BA$4,Scénarios!$B$4:$AI$4,0))),"-")</f>
        <v>-</v>
      </c>
      <c r="BB26" s="443" t="str">
        <f>IFERROR(IF(INDEX(Scénarios!$B$2:$AK$237,MATCH($S26,Scénarios!$AI$2:$AI$237,0),MATCH(BB$4,Scénarios!$B$4:$AK$4,0))=0,"",INDEX(Scénarios!$B$2:$AK$237,MATCH($S26,Scénarios!$AI$2:$AI$237,0),MATCH(BB$4,Scénarios!$B$4:$AK$4,0))),"-")</f>
        <v>-</v>
      </c>
      <c r="BC26" s="443" t="str">
        <f>IFERROR(INDEX(Scénarios!$B$2:$AV$232,MATCH($S26,Scénarios!$AI$2:$AI$232,0),MATCH(BC$4,Scénarios!$B$4:$AV$4,0)),"-")</f>
        <v>-</v>
      </c>
    </row>
    <row r="27" spans="15:55" ht="25.5" customHeight="1" x14ac:dyDescent="0.25">
      <c r="O27" s="604" t="str">
        <f t="shared" si="0"/>
        <v>Fiche R23 sans décision :
Veuillez ajouter une décision</v>
      </c>
      <c r="P27" s="609" t="s">
        <v>2188</v>
      </c>
      <c r="Q27" s="605" t="s">
        <v>2067</v>
      </c>
      <c r="R27" s="585" t="s">
        <v>2068</v>
      </c>
      <c r="S27" s="587" t="s">
        <v>1900</v>
      </c>
      <c r="T27" s="588" t="str">
        <f>IFERROR(INDEX(Tab_sel!$B$7:$C$18,MATCH($AB27,Tab_sel!$C$7:$C$18,0),1),"-")</f>
        <v>-</v>
      </c>
      <c r="U27" s="589" t="str">
        <f>IFERROR(INDEX(Scénarios!$B$2:$AI$232,MATCH($S27,Scénarios!$AI$2:$AI$232,0),MATCH(U$4,Scénarios!$B$4:$AI$4,0)),"-")</f>
        <v>-</v>
      </c>
      <c r="V27" s="588" t="str">
        <f>IFERROR(INDEX(Scénarios!$B$2:$AI$232,MATCH($S27,Scénarios!$AI$2:$AI$232,0),MATCH(V$4,Scénarios!$B$4:$AI$4,0)),"-")</f>
        <v>-</v>
      </c>
      <c r="W27" s="588" t="str">
        <f>IFERROR(INDEX(Scénarios!$B$2:$AI$232,MATCH($S27,Scénarios!$AI$2:$AI$232,0),MATCH(W$4,Scénarios!$B$4:$AI$4,0)),"-")</f>
        <v>-</v>
      </c>
      <c r="X27" s="588" t="str">
        <f>IFERROR(VLOOKUP(AD27,Expo!$D$4:$E$35,2,FALSE),"-")</f>
        <v>-</v>
      </c>
      <c r="Y27" s="859" t="str">
        <f>IFERROR(IF(INDEX(Scénarios!$B$2:$AI$232,MATCH($S27,Scénarios!$AI$2:$AI$232,0),MATCH(Y$4,Scénarios!$B$4:$AI$4,0))=0,"",INDEX(Scénarios!$B$2:$AI$232,MATCH($S27,Scénarios!$AI$2:$AI$232,0),MATCH(Y$4,Scénarios!$B$4:$AI$4,0))),"-")</f>
        <v>-</v>
      </c>
      <c r="Z27" s="589" t="str">
        <f>IFERROR(INDEX(Scénarios!$B$2:$AI$232,MATCH($S27,Scénarios!$AI$2:$AI$232,0),MATCH(Z$4,Scénarios!$B$4:$AI$4,0)),"-")</f>
        <v>-</v>
      </c>
      <c r="AA27" s="589" t="str">
        <f>IFERROR(INDEX(Scénarios!$B$2:$AI$232,MATCH($S27,Scénarios!$AI$2:$AI$232,0),MATCH(AA$4,Scénarios!$B$4:$AI$4,0)),"-")</f>
        <v>-</v>
      </c>
      <c r="AB27" s="586" t="str">
        <f>IFERROR(INDEX(Scénarios!$B$2:$AI$232,MATCH($S27,Scénarios!$AI$2:$AI$232,0),MATCH(AB$4,Scénarios!$B$4:$AI$4,0)),"-")</f>
        <v>-</v>
      </c>
      <c r="AC27" s="442" t="str">
        <f>IFERROR(INDEX(Tab_sel!$B$24:$C$27,MATCH($U27,Tab_sel!$C$24:$C$27,0),1),"-")</f>
        <v>-</v>
      </c>
      <c r="AD27" s="443" t="str">
        <f>IFERROR(INDEX(Scénarios!$B$2:$AI$232,MATCH($S27,Scénarios!$AI$2:$AI$232,0),MATCH(AD$4,Scénarios!$B$4:$AI$4,0)),"-")</f>
        <v>-</v>
      </c>
      <c r="AE27" s="460" t="str">
        <f>IFERROR(INDEX(Scénarios!$B$2:$AI$232,MATCH($S27,Scénarios!$AI$2:$AI$232,0),MATCH(AE$4,Scénarios!$B$4:$AI$4,0)),"-")</f>
        <v>-</v>
      </c>
      <c r="AF27" s="460" t="str">
        <f>IFERROR(INDEX(Scénarios!$B$2:$AI$232,MATCH($S27,Scénarios!$AI$2:$AI$232,0),MATCH(AF$4,Scénarios!$B$4:$AI$4,0)),"-")</f>
        <v>-</v>
      </c>
      <c r="AG27" s="460" t="str">
        <f>IFERROR(INDEX(Scénarios!$B$2:$AI$232,MATCH($S27,Scénarios!$AI$2:$AI$232,0),MATCH(AG$4,Scénarios!$B$4:$AI$4,0)),"-")</f>
        <v>-</v>
      </c>
      <c r="AH27" s="460" t="str">
        <f>IFERROR(INDEX(Scénarios!$B$2:$AI$232,MATCH($S27,Scénarios!$AI$2:$AI$232,0),MATCH(AH$4,Scénarios!$B$4:$AI$4,0)),"-")</f>
        <v>-</v>
      </c>
      <c r="AI27" s="443" t="str">
        <f>IFERROR(INDEX(Scénarios!$B$2:$AI$232,MATCH($S27,Scénarios!$AI$2:$AI$232,0),MATCH(AI$4,Scénarios!$B$4:$AI$4,0)),"-")</f>
        <v>-</v>
      </c>
      <c r="AJ27" s="443" t="str">
        <f>IFERROR(INDEX(Param!$A$3:$C$7,MATCH($AI27,Param!$C$3:$C$7,0),1),"-")</f>
        <v>-</v>
      </c>
      <c r="AK27" s="443" t="str">
        <f>IFERROR(INDEX(Scénarios!$B$2:$AI$232,MATCH($S27,Scénarios!$AI$2:$AI$232,0),MATCH(AK$4,Scénarios!$B$4:$AI$4,0)),"-")</f>
        <v>-</v>
      </c>
      <c r="AL27" s="443" t="str">
        <f>IFERROR(INDEX(Scénarios!$B$2:$AI$232,MATCH($S27,Scénarios!$AI$2:$AI$232,0),MATCH(AL$4,Scénarios!$B$4:$AI$4,0)),"-")</f>
        <v>-</v>
      </c>
      <c r="AM27" s="443" t="str">
        <f>IFERROR(INDEX(Param!$A$10:$C$14,MATCH($AL27,Param!$C$10:$C$14,0),1),"-")</f>
        <v>-</v>
      </c>
      <c r="AN27" s="443" t="str">
        <f>IFERROR(IF(INDEX(Scénarios!$B$2:$AI$232,MATCH($S27,Scénarios!$AI$2:$AI$232,0),MATCH(AN$4,Scénarios!$B$4:$AI$4,0))=0,"",INDEX(Scénarios!$B$2:$AI$232,MATCH($S27,Scénarios!$AI$2:$AI$232,0),MATCH(AN$4,Scénarios!$B$4:$AI$4,0))),"-")</f>
        <v>-</v>
      </c>
      <c r="AO27" s="443" t="str">
        <f>IFERROR(INDEX(Scénarios!$B$2:$AI$232,MATCH($S27,Scénarios!$AI$2:$AI$232,0),MATCH(AO$4,Scénarios!$B$4:$AI$4,0)),"-")</f>
        <v>-</v>
      </c>
      <c r="AP27" s="443" t="str">
        <f>IFERROR(INDEX(Param!$A$17:$C$21,MATCH($AO27,Param!$C$17:$C$21,0),1),"-")</f>
        <v>-</v>
      </c>
      <c r="AQ27" s="443" t="str">
        <f>IFERROR(IF(INDEX(Scénarios!$B$2:$AI$232,MATCH($S27,Scénarios!$AI$2:$AI$232,0),MATCH(AQ$4,Scénarios!$B$4:$AI$4,0))=0,"",INDEX(Scénarios!$B$2:$AI$232,MATCH($S27,Scénarios!$AI$2:$AI$232,0),MATCH(AQ$4,Scénarios!$B$4:$AI$4,0))),"-")</f>
        <v>-</v>
      </c>
      <c r="AR27" s="443" t="str">
        <f>IFERROR(INDEX(Scénarios!$B$2:$AI$232,MATCH($S27,Scénarios!$AI$2:$AI$232,0),MATCH(AR$4,Scénarios!$B$4:$AI$4,0)),"-")</f>
        <v>-</v>
      </c>
      <c r="AS27" s="443" t="str">
        <f>IFERROR(INDEX(Param!$A$24:$C$28,MATCH($AR27,Param!$C$24:$C$28,0),1),"-")</f>
        <v>-</v>
      </c>
      <c r="AT27" s="443" t="str">
        <f>IFERROR(IF(INDEX(Scénarios!$B$2:$AI$232,MATCH($S27,Scénarios!$AI$2:$AI$232,0),MATCH(AT$4,Scénarios!$B$4:$AI$4,0))=0,"",INDEX(Scénarios!$B$2:$AI$232,MATCH($S27,Scénarios!$AI$2:$AI$232,0),MATCH(AT$4,Scénarios!$B$4:$AI$4,0))),"-")</f>
        <v>-</v>
      </c>
      <c r="AU27" s="462" t="str">
        <f>IFERROR(INDEX(Scénarios!$B$2:$AI$232,MATCH($S27,Scénarios!$AI$2:$AI$232,0),MATCH(AU$4,Scénarios!$B$4:$AI$4,0)),"-")</f>
        <v>-</v>
      </c>
      <c r="AV27" s="462" t="str">
        <f>IFERROR(INDEX(Scénarios!$B$2:$AI$232,MATCH($S27,Scénarios!$AI$2:$AI$232,0),MATCH(AV$4,Scénarios!$B$4:$AI$4,0)),"-")</f>
        <v>-</v>
      </c>
      <c r="AW27" s="462" t="str">
        <f>IFERROR(INDEX(Scénarios!$B$2:$AI$232,MATCH($S27,Scénarios!$AI$2:$AI$232,0),MATCH(AW$4,Scénarios!$B$4:$AI$4,0)),"-")</f>
        <v>-</v>
      </c>
      <c r="AX27" s="462" t="str">
        <f>IFERROR(INDEX(Scénarios!$B$2:$AI$232,MATCH($S27,Scénarios!$AI$2:$AI$232,0),MATCH(AX$4,Scénarios!$B$4:$AI$4,0)),"-")</f>
        <v>-</v>
      </c>
      <c r="AY27" s="443" t="str">
        <f>IFERROR(INDEX(Scénarios!$B$2:$AI$232,MATCH($S27,Scénarios!$AI$2:$AI$232,0),MATCH(AY$4,Scénarios!$B$4:$AI$4,0)),"-")</f>
        <v>-</v>
      </c>
      <c r="AZ27" s="588" t="str">
        <f>IFERROR(INDEX(Param!$A$31:$C$35,MATCH($AY27,Param!$C$31:$C$35,0),1),"-")</f>
        <v>-</v>
      </c>
      <c r="BA27" s="588" t="str">
        <f>IFERROR(IF(INDEX(Scénarios!$B$2:$AI$232,MATCH($S27,Scénarios!$AI$2:$AI$232,0),MATCH(BA$4,Scénarios!$B$4:$AI$4,0))=0,"",INDEX(Scénarios!$B$2:$AI$232,MATCH($S27,Scénarios!$AI$2:$AI$232,0),MATCH(BA$4,Scénarios!$B$4:$AI$4,0))),"-")</f>
        <v>-</v>
      </c>
      <c r="BB27" s="443" t="str">
        <f>IFERROR(IF(INDEX(Scénarios!$B$2:$AK$237,MATCH($S27,Scénarios!$AI$2:$AI$237,0),MATCH(BB$4,Scénarios!$B$4:$AK$4,0))=0,"",INDEX(Scénarios!$B$2:$AK$237,MATCH($S27,Scénarios!$AI$2:$AI$237,0),MATCH(BB$4,Scénarios!$B$4:$AK$4,0))),"-")</f>
        <v>-</v>
      </c>
      <c r="BC27" s="443" t="str">
        <f>IFERROR(INDEX(Scénarios!$B$2:$AV$232,MATCH($S27,Scénarios!$AI$2:$AI$232,0),MATCH(BC$4,Scénarios!$B$4:$AV$4,0)),"-")</f>
        <v>-</v>
      </c>
    </row>
    <row r="28" spans="15:55" ht="25.5" customHeight="1" x14ac:dyDescent="0.25">
      <c r="O28" s="604" t="str">
        <f t="shared" si="0"/>
        <v>Fiche R24 sans décision :
Veuillez ajouter une décision</v>
      </c>
      <c r="P28" s="609" t="s">
        <v>2188</v>
      </c>
      <c r="Q28" s="605" t="s">
        <v>2067</v>
      </c>
      <c r="R28" s="585" t="s">
        <v>2068</v>
      </c>
      <c r="S28" s="587" t="s">
        <v>1901</v>
      </c>
      <c r="T28" s="588" t="str">
        <f>IFERROR(INDEX(Tab_sel!$B$7:$C$18,MATCH($AB28,Tab_sel!$C$7:$C$18,0),1),"-")</f>
        <v>-</v>
      </c>
      <c r="U28" s="589" t="str">
        <f>IFERROR(INDEX(Scénarios!$B$2:$AI$232,MATCH($S28,Scénarios!$AI$2:$AI$232,0),MATCH(U$4,Scénarios!$B$4:$AI$4,0)),"-")</f>
        <v>-</v>
      </c>
      <c r="V28" s="588" t="str">
        <f>IFERROR(INDEX(Scénarios!$B$2:$AI$232,MATCH($S28,Scénarios!$AI$2:$AI$232,0),MATCH(V$4,Scénarios!$B$4:$AI$4,0)),"-")</f>
        <v>-</v>
      </c>
      <c r="W28" s="588" t="str">
        <f>IFERROR(INDEX(Scénarios!$B$2:$AI$232,MATCH($S28,Scénarios!$AI$2:$AI$232,0),MATCH(W$4,Scénarios!$B$4:$AI$4,0)),"-")</f>
        <v>-</v>
      </c>
      <c r="X28" s="588" t="str">
        <f>IFERROR(VLOOKUP(AD28,Expo!$D$4:$E$35,2,FALSE),"-")</f>
        <v>-</v>
      </c>
      <c r="Y28" s="859" t="str">
        <f>IFERROR(IF(INDEX(Scénarios!$B$2:$AI$232,MATCH($S28,Scénarios!$AI$2:$AI$232,0),MATCH(Y$4,Scénarios!$B$4:$AI$4,0))=0,"",INDEX(Scénarios!$B$2:$AI$232,MATCH($S28,Scénarios!$AI$2:$AI$232,0),MATCH(Y$4,Scénarios!$B$4:$AI$4,0))),"-")</f>
        <v>-</v>
      </c>
      <c r="Z28" s="589" t="str">
        <f>IFERROR(INDEX(Scénarios!$B$2:$AI$232,MATCH($S28,Scénarios!$AI$2:$AI$232,0),MATCH(Z$4,Scénarios!$B$4:$AI$4,0)),"-")</f>
        <v>-</v>
      </c>
      <c r="AA28" s="589" t="str">
        <f>IFERROR(INDEX(Scénarios!$B$2:$AI$232,MATCH($S28,Scénarios!$AI$2:$AI$232,0),MATCH(AA$4,Scénarios!$B$4:$AI$4,0)),"-")</f>
        <v>-</v>
      </c>
      <c r="AB28" s="586" t="str">
        <f>IFERROR(INDEX(Scénarios!$B$2:$AI$232,MATCH($S28,Scénarios!$AI$2:$AI$232,0),MATCH(AB$4,Scénarios!$B$4:$AI$4,0)),"-")</f>
        <v>-</v>
      </c>
      <c r="AC28" s="442" t="str">
        <f>IFERROR(INDEX(Tab_sel!$B$24:$C$27,MATCH($U28,Tab_sel!$C$24:$C$27,0),1),"-")</f>
        <v>-</v>
      </c>
      <c r="AD28" s="443" t="str">
        <f>IFERROR(INDEX(Scénarios!$B$2:$AI$232,MATCH($S28,Scénarios!$AI$2:$AI$232,0),MATCH(AD$4,Scénarios!$B$4:$AI$4,0)),"-")</f>
        <v>-</v>
      </c>
      <c r="AE28" s="460" t="str">
        <f>IFERROR(INDEX(Scénarios!$B$2:$AI$232,MATCH($S28,Scénarios!$AI$2:$AI$232,0),MATCH(AE$4,Scénarios!$B$4:$AI$4,0)),"-")</f>
        <v>-</v>
      </c>
      <c r="AF28" s="460" t="str">
        <f>IFERROR(INDEX(Scénarios!$B$2:$AI$232,MATCH($S28,Scénarios!$AI$2:$AI$232,0),MATCH(AF$4,Scénarios!$B$4:$AI$4,0)),"-")</f>
        <v>-</v>
      </c>
      <c r="AG28" s="460" t="str">
        <f>IFERROR(INDEX(Scénarios!$B$2:$AI$232,MATCH($S28,Scénarios!$AI$2:$AI$232,0),MATCH(AG$4,Scénarios!$B$4:$AI$4,0)),"-")</f>
        <v>-</v>
      </c>
      <c r="AH28" s="460" t="str">
        <f>IFERROR(INDEX(Scénarios!$B$2:$AI$232,MATCH($S28,Scénarios!$AI$2:$AI$232,0),MATCH(AH$4,Scénarios!$B$4:$AI$4,0)),"-")</f>
        <v>-</v>
      </c>
      <c r="AI28" s="443" t="str">
        <f>IFERROR(INDEX(Scénarios!$B$2:$AI$232,MATCH($S28,Scénarios!$AI$2:$AI$232,0),MATCH(AI$4,Scénarios!$B$4:$AI$4,0)),"-")</f>
        <v>-</v>
      </c>
      <c r="AJ28" s="443" t="str">
        <f>IFERROR(INDEX(Param!$A$3:$C$7,MATCH($AI28,Param!$C$3:$C$7,0),1),"-")</f>
        <v>-</v>
      </c>
      <c r="AK28" s="443" t="str">
        <f>IFERROR(INDEX(Scénarios!$B$2:$AI$232,MATCH($S28,Scénarios!$AI$2:$AI$232,0),MATCH(AK$4,Scénarios!$B$4:$AI$4,0)),"-")</f>
        <v>-</v>
      </c>
      <c r="AL28" s="443" t="str">
        <f>IFERROR(INDEX(Scénarios!$B$2:$AI$232,MATCH($S28,Scénarios!$AI$2:$AI$232,0),MATCH(AL$4,Scénarios!$B$4:$AI$4,0)),"-")</f>
        <v>-</v>
      </c>
      <c r="AM28" s="443" t="str">
        <f>IFERROR(INDEX(Param!$A$10:$C$14,MATCH($AL28,Param!$C$10:$C$14,0),1),"-")</f>
        <v>-</v>
      </c>
      <c r="AN28" s="443" t="str">
        <f>IFERROR(IF(INDEX(Scénarios!$B$2:$AI$232,MATCH($S28,Scénarios!$AI$2:$AI$232,0),MATCH(AN$4,Scénarios!$B$4:$AI$4,0))=0,"",INDEX(Scénarios!$B$2:$AI$232,MATCH($S28,Scénarios!$AI$2:$AI$232,0),MATCH(AN$4,Scénarios!$B$4:$AI$4,0))),"-")</f>
        <v>-</v>
      </c>
      <c r="AO28" s="443" t="str">
        <f>IFERROR(INDEX(Scénarios!$B$2:$AI$232,MATCH($S28,Scénarios!$AI$2:$AI$232,0),MATCH(AO$4,Scénarios!$B$4:$AI$4,0)),"-")</f>
        <v>-</v>
      </c>
      <c r="AP28" s="443" t="str">
        <f>IFERROR(INDEX(Param!$A$17:$C$21,MATCH($AO28,Param!$C$17:$C$21,0),1),"-")</f>
        <v>-</v>
      </c>
      <c r="AQ28" s="443" t="str">
        <f>IFERROR(IF(INDEX(Scénarios!$B$2:$AI$232,MATCH($S28,Scénarios!$AI$2:$AI$232,0),MATCH(AQ$4,Scénarios!$B$4:$AI$4,0))=0,"",INDEX(Scénarios!$B$2:$AI$232,MATCH($S28,Scénarios!$AI$2:$AI$232,0),MATCH(AQ$4,Scénarios!$B$4:$AI$4,0))),"-")</f>
        <v>-</v>
      </c>
      <c r="AR28" s="443" t="str">
        <f>IFERROR(INDEX(Scénarios!$B$2:$AI$232,MATCH($S28,Scénarios!$AI$2:$AI$232,0),MATCH(AR$4,Scénarios!$B$4:$AI$4,0)),"-")</f>
        <v>-</v>
      </c>
      <c r="AS28" s="443" t="str">
        <f>IFERROR(INDEX(Param!$A$24:$C$28,MATCH($AR28,Param!$C$24:$C$28,0),1),"-")</f>
        <v>-</v>
      </c>
      <c r="AT28" s="443" t="str">
        <f>IFERROR(IF(INDEX(Scénarios!$B$2:$AI$232,MATCH($S28,Scénarios!$AI$2:$AI$232,0),MATCH(AT$4,Scénarios!$B$4:$AI$4,0))=0,"",INDEX(Scénarios!$B$2:$AI$232,MATCH($S28,Scénarios!$AI$2:$AI$232,0),MATCH(AT$4,Scénarios!$B$4:$AI$4,0))),"-")</f>
        <v>-</v>
      </c>
      <c r="AU28" s="462" t="str">
        <f>IFERROR(INDEX(Scénarios!$B$2:$AI$232,MATCH($S28,Scénarios!$AI$2:$AI$232,0),MATCH(AU$4,Scénarios!$B$4:$AI$4,0)),"-")</f>
        <v>-</v>
      </c>
      <c r="AV28" s="462" t="str">
        <f>IFERROR(INDEX(Scénarios!$B$2:$AI$232,MATCH($S28,Scénarios!$AI$2:$AI$232,0),MATCH(AV$4,Scénarios!$B$4:$AI$4,0)),"-")</f>
        <v>-</v>
      </c>
      <c r="AW28" s="462" t="str">
        <f>IFERROR(INDEX(Scénarios!$B$2:$AI$232,MATCH($S28,Scénarios!$AI$2:$AI$232,0),MATCH(AW$4,Scénarios!$B$4:$AI$4,0)),"-")</f>
        <v>-</v>
      </c>
      <c r="AX28" s="462" t="str">
        <f>IFERROR(INDEX(Scénarios!$B$2:$AI$232,MATCH($S28,Scénarios!$AI$2:$AI$232,0),MATCH(AX$4,Scénarios!$B$4:$AI$4,0)),"-")</f>
        <v>-</v>
      </c>
      <c r="AY28" s="443" t="str">
        <f>IFERROR(INDEX(Scénarios!$B$2:$AI$232,MATCH($S28,Scénarios!$AI$2:$AI$232,0),MATCH(AY$4,Scénarios!$B$4:$AI$4,0)),"-")</f>
        <v>-</v>
      </c>
      <c r="AZ28" s="588" t="str">
        <f>IFERROR(INDEX(Param!$A$31:$C$35,MATCH($AY28,Param!$C$31:$C$35,0),1),"-")</f>
        <v>-</v>
      </c>
      <c r="BA28" s="588" t="str">
        <f>IFERROR(IF(INDEX(Scénarios!$B$2:$AI$232,MATCH($S28,Scénarios!$AI$2:$AI$232,0),MATCH(BA$4,Scénarios!$B$4:$AI$4,0))=0,"",INDEX(Scénarios!$B$2:$AI$232,MATCH($S28,Scénarios!$AI$2:$AI$232,0),MATCH(BA$4,Scénarios!$B$4:$AI$4,0))),"-")</f>
        <v>-</v>
      </c>
      <c r="BB28" s="443" t="str">
        <f>IFERROR(IF(INDEX(Scénarios!$B$2:$AK$237,MATCH($S28,Scénarios!$AI$2:$AI$237,0),MATCH(BB$4,Scénarios!$B$4:$AK$4,0))=0,"",INDEX(Scénarios!$B$2:$AK$237,MATCH($S28,Scénarios!$AI$2:$AI$237,0),MATCH(BB$4,Scénarios!$B$4:$AK$4,0))),"-")</f>
        <v>-</v>
      </c>
      <c r="BC28" s="443" t="str">
        <f>IFERROR(INDEX(Scénarios!$B$2:$AV$232,MATCH($S28,Scénarios!$AI$2:$AI$232,0),MATCH(BC$4,Scénarios!$B$4:$AV$4,0)),"-")</f>
        <v>-</v>
      </c>
    </row>
    <row r="29" spans="15:55" ht="25.5" customHeight="1" x14ac:dyDescent="0.25">
      <c r="O29" s="604" t="str">
        <f t="shared" si="0"/>
        <v>Fiche R25 sans décision :
Veuillez ajouter une décision</v>
      </c>
      <c r="P29" s="609" t="s">
        <v>2188</v>
      </c>
      <c r="Q29" s="605" t="s">
        <v>2067</v>
      </c>
      <c r="R29" s="585" t="s">
        <v>2068</v>
      </c>
      <c r="S29" s="587" t="s">
        <v>1902</v>
      </c>
      <c r="T29" s="588" t="str">
        <f>IFERROR(INDEX(Tab_sel!$B$7:$C$18,MATCH($AB29,Tab_sel!$C$7:$C$18,0),1),"-")</f>
        <v>-</v>
      </c>
      <c r="U29" s="589" t="str">
        <f>IFERROR(INDEX(Scénarios!$B$2:$AI$232,MATCH($S29,Scénarios!$AI$2:$AI$232,0),MATCH(U$4,Scénarios!$B$4:$AI$4,0)),"-")</f>
        <v>-</v>
      </c>
      <c r="V29" s="588" t="str">
        <f>IFERROR(INDEX(Scénarios!$B$2:$AI$232,MATCH($S29,Scénarios!$AI$2:$AI$232,0),MATCH(V$4,Scénarios!$B$4:$AI$4,0)),"-")</f>
        <v>-</v>
      </c>
      <c r="W29" s="588" t="str">
        <f>IFERROR(INDEX(Scénarios!$B$2:$AI$232,MATCH($S29,Scénarios!$AI$2:$AI$232,0),MATCH(W$4,Scénarios!$B$4:$AI$4,0)),"-")</f>
        <v>-</v>
      </c>
      <c r="X29" s="588" t="str">
        <f>IFERROR(VLOOKUP(AD29,Expo!$D$4:$E$35,2,FALSE),"-")</f>
        <v>-</v>
      </c>
      <c r="Y29" s="859" t="str">
        <f>IFERROR(IF(INDEX(Scénarios!$B$2:$AI$232,MATCH($S29,Scénarios!$AI$2:$AI$232,0),MATCH(Y$4,Scénarios!$B$4:$AI$4,0))=0,"",INDEX(Scénarios!$B$2:$AI$232,MATCH($S29,Scénarios!$AI$2:$AI$232,0),MATCH(Y$4,Scénarios!$B$4:$AI$4,0))),"-")</f>
        <v>-</v>
      </c>
      <c r="Z29" s="589" t="str">
        <f>IFERROR(INDEX(Scénarios!$B$2:$AI$232,MATCH($S29,Scénarios!$AI$2:$AI$232,0),MATCH(Z$4,Scénarios!$B$4:$AI$4,0)),"-")</f>
        <v>-</v>
      </c>
      <c r="AA29" s="589" t="str">
        <f>IFERROR(INDEX(Scénarios!$B$2:$AI$232,MATCH($S29,Scénarios!$AI$2:$AI$232,0),MATCH(AA$4,Scénarios!$B$4:$AI$4,0)),"-")</f>
        <v>-</v>
      </c>
      <c r="AB29" s="586" t="str">
        <f>IFERROR(INDEX(Scénarios!$B$2:$AI$232,MATCH($S29,Scénarios!$AI$2:$AI$232,0),MATCH(AB$4,Scénarios!$B$4:$AI$4,0)),"-")</f>
        <v>-</v>
      </c>
      <c r="AC29" s="442" t="str">
        <f>IFERROR(INDEX(Tab_sel!$B$24:$C$27,MATCH($U29,Tab_sel!$C$24:$C$27,0),1),"-")</f>
        <v>-</v>
      </c>
      <c r="AD29" s="443" t="str">
        <f>IFERROR(INDEX(Scénarios!$B$2:$AI$232,MATCH($S29,Scénarios!$AI$2:$AI$232,0),MATCH(AD$4,Scénarios!$B$4:$AI$4,0)),"-")</f>
        <v>-</v>
      </c>
      <c r="AE29" s="460" t="str">
        <f>IFERROR(INDEX(Scénarios!$B$2:$AI$232,MATCH($S29,Scénarios!$AI$2:$AI$232,0),MATCH(AE$4,Scénarios!$B$4:$AI$4,0)),"-")</f>
        <v>-</v>
      </c>
      <c r="AF29" s="460" t="str">
        <f>IFERROR(INDEX(Scénarios!$B$2:$AI$232,MATCH($S29,Scénarios!$AI$2:$AI$232,0),MATCH(AF$4,Scénarios!$B$4:$AI$4,0)),"-")</f>
        <v>-</v>
      </c>
      <c r="AG29" s="460" t="str">
        <f>IFERROR(INDEX(Scénarios!$B$2:$AI$232,MATCH($S29,Scénarios!$AI$2:$AI$232,0),MATCH(AG$4,Scénarios!$B$4:$AI$4,0)),"-")</f>
        <v>-</v>
      </c>
      <c r="AH29" s="460" t="str">
        <f>IFERROR(INDEX(Scénarios!$B$2:$AI$232,MATCH($S29,Scénarios!$AI$2:$AI$232,0),MATCH(AH$4,Scénarios!$B$4:$AI$4,0)),"-")</f>
        <v>-</v>
      </c>
      <c r="AI29" s="443" t="str">
        <f>IFERROR(INDEX(Scénarios!$B$2:$AI$232,MATCH($S29,Scénarios!$AI$2:$AI$232,0),MATCH(AI$4,Scénarios!$B$4:$AI$4,0)),"-")</f>
        <v>-</v>
      </c>
      <c r="AJ29" s="443" t="str">
        <f>IFERROR(INDEX(Param!$A$3:$C$7,MATCH($AI29,Param!$C$3:$C$7,0),1),"-")</f>
        <v>-</v>
      </c>
      <c r="AK29" s="443" t="str">
        <f>IFERROR(INDEX(Scénarios!$B$2:$AI$232,MATCH($S29,Scénarios!$AI$2:$AI$232,0),MATCH(AK$4,Scénarios!$B$4:$AI$4,0)),"-")</f>
        <v>-</v>
      </c>
      <c r="AL29" s="443" t="str">
        <f>IFERROR(INDEX(Scénarios!$B$2:$AI$232,MATCH($S29,Scénarios!$AI$2:$AI$232,0),MATCH(AL$4,Scénarios!$B$4:$AI$4,0)),"-")</f>
        <v>-</v>
      </c>
      <c r="AM29" s="443" t="str">
        <f>IFERROR(INDEX(Param!$A$10:$C$14,MATCH($AL29,Param!$C$10:$C$14,0),1),"-")</f>
        <v>-</v>
      </c>
      <c r="AN29" s="443" t="str">
        <f>IFERROR(IF(INDEX(Scénarios!$B$2:$AI$232,MATCH($S29,Scénarios!$AI$2:$AI$232,0),MATCH(AN$4,Scénarios!$B$4:$AI$4,0))=0,"",INDEX(Scénarios!$B$2:$AI$232,MATCH($S29,Scénarios!$AI$2:$AI$232,0),MATCH(AN$4,Scénarios!$B$4:$AI$4,0))),"-")</f>
        <v>-</v>
      </c>
      <c r="AO29" s="443" t="str">
        <f>IFERROR(INDEX(Scénarios!$B$2:$AI$232,MATCH($S29,Scénarios!$AI$2:$AI$232,0),MATCH(AO$4,Scénarios!$B$4:$AI$4,0)),"-")</f>
        <v>-</v>
      </c>
      <c r="AP29" s="443" t="str">
        <f>IFERROR(INDEX(Param!$A$17:$C$21,MATCH($AO29,Param!$C$17:$C$21,0),1),"-")</f>
        <v>-</v>
      </c>
      <c r="AQ29" s="443" t="str">
        <f>IFERROR(IF(INDEX(Scénarios!$B$2:$AI$232,MATCH($S29,Scénarios!$AI$2:$AI$232,0),MATCH(AQ$4,Scénarios!$B$4:$AI$4,0))=0,"",INDEX(Scénarios!$B$2:$AI$232,MATCH($S29,Scénarios!$AI$2:$AI$232,0),MATCH(AQ$4,Scénarios!$B$4:$AI$4,0))),"-")</f>
        <v>-</v>
      </c>
      <c r="AR29" s="443" t="str">
        <f>IFERROR(INDEX(Scénarios!$B$2:$AI$232,MATCH($S29,Scénarios!$AI$2:$AI$232,0),MATCH(AR$4,Scénarios!$B$4:$AI$4,0)),"-")</f>
        <v>-</v>
      </c>
      <c r="AS29" s="443" t="str">
        <f>IFERROR(INDEX(Param!$A$24:$C$28,MATCH($AR29,Param!$C$24:$C$28,0),1),"-")</f>
        <v>-</v>
      </c>
      <c r="AT29" s="443" t="str">
        <f>IFERROR(IF(INDEX(Scénarios!$B$2:$AI$232,MATCH($S29,Scénarios!$AI$2:$AI$232,0),MATCH(AT$4,Scénarios!$B$4:$AI$4,0))=0,"",INDEX(Scénarios!$B$2:$AI$232,MATCH($S29,Scénarios!$AI$2:$AI$232,0),MATCH(AT$4,Scénarios!$B$4:$AI$4,0))),"-")</f>
        <v>-</v>
      </c>
      <c r="AU29" s="462" t="str">
        <f>IFERROR(INDEX(Scénarios!$B$2:$AI$232,MATCH($S29,Scénarios!$AI$2:$AI$232,0),MATCH(AU$4,Scénarios!$B$4:$AI$4,0)),"-")</f>
        <v>-</v>
      </c>
      <c r="AV29" s="462" t="str">
        <f>IFERROR(INDEX(Scénarios!$B$2:$AI$232,MATCH($S29,Scénarios!$AI$2:$AI$232,0),MATCH(AV$4,Scénarios!$B$4:$AI$4,0)),"-")</f>
        <v>-</v>
      </c>
      <c r="AW29" s="462" t="str">
        <f>IFERROR(INDEX(Scénarios!$B$2:$AI$232,MATCH($S29,Scénarios!$AI$2:$AI$232,0),MATCH(AW$4,Scénarios!$B$4:$AI$4,0)),"-")</f>
        <v>-</v>
      </c>
      <c r="AX29" s="462" t="str">
        <f>IFERROR(INDEX(Scénarios!$B$2:$AI$232,MATCH($S29,Scénarios!$AI$2:$AI$232,0),MATCH(AX$4,Scénarios!$B$4:$AI$4,0)),"-")</f>
        <v>-</v>
      </c>
      <c r="AY29" s="443" t="str">
        <f>IFERROR(INDEX(Scénarios!$B$2:$AI$232,MATCH($S29,Scénarios!$AI$2:$AI$232,0),MATCH(AY$4,Scénarios!$B$4:$AI$4,0)),"-")</f>
        <v>-</v>
      </c>
      <c r="AZ29" s="588" t="str">
        <f>IFERROR(INDEX(Param!$A$31:$C$35,MATCH($AY29,Param!$C$31:$C$35,0),1),"-")</f>
        <v>-</v>
      </c>
      <c r="BA29" s="588" t="str">
        <f>IFERROR(IF(INDEX(Scénarios!$B$2:$AI$232,MATCH($S29,Scénarios!$AI$2:$AI$232,0),MATCH(BA$4,Scénarios!$B$4:$AI$4,0))=0,"",INDEX(Scénarios!$B$2:$AI$232,MATCH($S29,Scénarios!$AI$2:$AI$232,0),MATCH(BA$4,Scénarios!$B$4:$AI$4,0))),"-")</f>
        <v>-</v>
      </c>
      <c r="BB29" s="443" t="str">
        <f>IFERROR(IF(INDEX(Scénarios!$B$2:$AK$237,MATCH($S29,Scénarios!$AI$2:$AI$237,0),MATCH(BB$4,Scénarios!$B$4:$AK$4,0))=0,"",INDEX(Scénarios!$B$2:$AK$237,MATCH($S29,Scénarios!$AI$2:$AI$237,0),MATCH(BB$4,Scénarios!$B$4:$AK$4,0))),"-")</f>
        <v>-</v>
      </c>
      <c r="BC29" s="443" t="str">
        <f>IFERROR(INDEX(Scénarios!$B$2:$AV$232,MATCH($S29,Scénarios!$AI$2:$AI$232,0),MATCH(BC$4,Scénarios!$B$4:$AV$4,0)),"-")</f>
        <v>-</v>
      </c>
    </row>
    <row r="30" spans="15:55" ht="25.5" customHeight="1" x14ac:dyDescent="0.25">
      <c r="O30" s="604" t="str">
        <f t="shared" si="0"/>
        <v>Fiche R26 sans décision :
Veuillez ajouter une décision</v>
      </c>
      <c r="P30" s="609" t="s">
        <v>2188</v>
      </c>
      <c r="Q30" s="605" t="s">
        <v>2067</v>
      </c>
      <c r="R30" s="585" t="s">
        <v>2068</v>
      </c>
      <c r="S30" s="587" t="s">
        <v>1903</v>
      </c>
      <c r="T30" s="588" t="str">
        <f>IFERROR(INDEX(Tab_sel!$B$7:$C$18,MATCH($AB30,Tab_sel!$C$7:$C$18,0),1),"-")</f>
        <v>-</v>
      </c>
      <c r="U30" s="589" t="str">
        <f>IFERROR(INDEX(Scénarios!$B$2:$AI$232,MATCH($S30,Scénarios!$AI$2:$AI$232,0),MATCH(U$4,Scénarios!$B$4:$AI$4,0)),"-")</f>
        <v>-</v>
      </c>
      <c r="V30" s="588" t="str">
        <f>IFERROR(INDEX(Scénarios!$B$2:$AI$232,MATCH($S30,Scénarios!$AI$2:$AI$232,0),MATCH(V$4,Scénarios!$B$4:$AI$4,0)),"-")</f>
        <v>-</v>
      </c>
      <c r="W30" s="588" t="str">
        <f>IFERROR(INDEX(Scénarios!$B$2:$AI$232,MATCH($S30,Scénarios!$AI$2:$AI$232,0),MATCH(W$4,Scénarios!$B$4:$AI$4,0)),"-")</f>
        <v>-</v>
      </c>
      <c r="X30" s="588" t="str">
        <f>IFERROR(VLOOKUP(AD30,Expo!$D$4:$E$35,2,FALSE),"-")</f>
        <v>-</v>
      </c>
      <c r="Y30" s="859" t="str">
        <f>IFERROR(IF(INDEX(Scénarios!$B$2:$AI$232,MATCH($S30,Scénarios!$AI$2:$AI$232,0),MATCH(Y$4,Scénarios!$B$4:$AI$4,0))=0,"",INDEX(Scénarios!$B$2:$AI$232,MATCH($S30,Scénarios!$AI$2:$AI$232,0),MATCH(Y$4,Scénarios!$B$4:$AI$4,0))),"-")</f>
        <v>-</v>
      </c>
      <c r="Z30" s="589" t="str">
        <f>IFERROR(INDEX(Scénarios!$B$2:$AI$232,MATCH($S30,Scénarios!$AI$2:$AI$232,0),MATCH(Z$4,Scénarios!$B$4:$AI$4,0)),"-")</f>
        <v>-</v>
      </c>
      <c r="AA30" s="589" t="str">
        <f>IFERROR(INDEX(Scénarios!$B$2:$AI$232,MATCH($S30,Scénarios!$AI$2:$AI$232,0),MATCH(AA$4,Scénarios!$B$4:$AI$4,0)),"-")</f>
        <v>-</v>
      </c>
      <c r="AB30" s="586" t="str">
        <f>IFERROR(INDEX(Scénarios!$B$2:$AI$232,MATCH($S30,Scénarios!$AI$2:$AI$232,0),MATCH(AB$4,Scénarios!$B$4:$AI$4,0)),"-")</f>
        <v>-</v>
      </c>
      <c r="AC30" s="442" t="str">
        <f>IFERROR(INDEX(Tab_sel!$B$24:$C$27,MATCH($U30,Tab_sel!$C$24:$C$27,0),1),"-")</f>
        <v>-</v>
      </c>
      <c r="AD30" s="443" t="str">
        <f>IFERROR(INDEX(Scénarios!$B$2:$AI$232,MATCH($S30,Scénarios!$AI$2:$AI$232,0),MATCH(AD$4,Scénarios!$B$4:$AI$4,0)),"-")</f>
        <v>-</v>
      </c>
      <c r="AE30" s="460" t="str">
        <f>IFERROR(INDEX(Scénarios!$B$2:$AI$232,MATCH($S30,Scénarios!$AI$2:$AI$232,0),MATCH(AE$4,Scénarios!$B$4:$AI$4,0)),"-")</f>
        <v>-</v>
      </c>
      <c r="AF30" s="460" t="str">
        <f>IFERROR(INDEX(Scénarios!$B$2:$AI$232,MATCH($S30,Scénarios!$AI$2:$AI$232,0),MATCH(AF$4,Scénarios!$B$4:$AI$4,0)),"-")</f>
        <v>-</v>
      </c>
      <c r="AG30" s="460" t="str">
        <f>IFERROR(INDEX(Scénarios!$B$2:$AI$232,MATCH($S30,Scénarios!$AI$2:$AI$232,0),MATCH(AG$4,Scénarios!$B$4:$AI$4,0)),"-")</f>
        <v>-</v>
      </c>
      <c r="AH30" s="460" t="str">
        <f>IFERROR(INDEX(Scénarios!$B$2:$AI$232,MATCH($S30,Scénarios!$AI$2:$AI$232,0),MATCH(AH$4,Scénarios!$B$4:$AI$4,0)),"-")</f>
        <v>-</v>
      </c>
      <c r="AI30" s="443" t="str">
        <f>IFERROR(INDEX(Scénarios!$B$2:$AI$232,MATCH($S30,Scénarios!$AI$2:$AI$232,0),MATCH(AI$4,Scénarios!$B$4:$AI$4,0)),"-")</f>
        <v>-</v>
      </c>
      <c r="AJ30" s="443" t="str">
        <f>IFERROR(INDEX(Param!$A$3:$C$7,MATCH($AI30,Param!$C$3:$C$7,0),1),"-")</f>
        <v>-</v>
      </c>
      <c r="AK30" s="443" t="str">
        <f>IFERROR(INDEX(Scénarios!$B$2:$AI$232,MATCH($S30,Scénarios!$AI$2:$AI$232,0),MATCH(AK$4,Scénarios!$B$4:$AI$4,0)),"-")</f>
        <v>-</v>
      </c>
      <c r="AL30" s="443" t="str">
        <f>IFERROR(INDEX(Scénarios!$B$2:$AI$232,MATCH($S30,Scénarios!$AI$2:$AI$232,0),MATCH(AL$4,Scénarios!$B$4:$AI$4,0)),"-")</f>
        <v>-</v>
      </c>
      <c r="AM30" s="443" t="str">
        <f>IFERROR(INDEX(Param!$A$10:$C$14,MATCH($AL30,Param!$C$10:$C$14,0),1),"-")</f>
        <v>-</v>
      </c>
      <c r="AN30" s="443" t="str">
        <f>IFERROR(IF(INDEX(Scénarios!$B$2:$AI$232,MATCH($S30,Scénarios!$AI$2:$AI$232,0),MATCH(AN$4,Scénarios!$B$4:$AI$4,0))=0,"",INDEX(Scénarios!$B$2:$AI$232,MATCH($S30,Scénarios!$AI$2:$AI$232,0),MATCH(AN$4,Scénarios!$B$4:$AI$4,0))),"-")</f>
        <v>-</v>
      </c>
      <c r="AO30" s="443" t="str">
        <f>IFERROR(INDEX(Scénarios!$B$2:$AI$232,MATCH($S30,Scénarios!$AI$2:$AI$232,0),MATCH(AO$4,Scénarios!$B$4:$AI$4,0)),"-")</f>
        <v>-</v>
      </c>
      <c r="AP30" s="443" t="str">
        <f>IFERROR(INDEX(Param!$A$17:$C$21,MATCH($AO30,Param!$C$17:$C$21,0),1),"-")</f>
        <v>-</v>
      </c>
      <c r="AQ30" s="443" t="str">
        <f>IFERROR(IF(INDEX(Scénarios!$B$2:$AI$232,MATCH($S30,Scénarios!$AI$2:$AI$232,0),MATCH(AQ$4,Scénarios!$B$4:$AI$4,0))=0,"",INDEX(Scénarios!$B$2:$AI$232,MATCH($S30,Scénarios!$AI$2:$AI$232,0),MATCH(AQ$4,Scénarios!$B$4:$AI$4,0))),"-")</f>
        <v>-</v>
      </c>
      <c r="AR30" s="443" t="str">
        <f>IFERROR(INDEX(Scénarios!$B$2:$AI$232,MATCH($S30,Scénarios!$AI$2:$AI$232,0),MATCH(AR$4,Scénarios!$B$4:$AI$4,0)),"-")</f>
        <v>-</v>
      </c>
      <c r="AS30" s="443" t="str">
        <f>IFERROR(INDEX(Param!$A$24:$C$28,MATCH($AR30,Param!$C$24:$C$28,0),1),"-")</f>
        <v>-</v>
      </c>
      <c r="AT30" s="443" t="str">
        <f>IFERROR(IF(INDEX(Scénarios!$B$2:$AI$232,MATCH($S30,Scénarios!$AI$2:$AI$232,0),MATCH(AT$4,Scénarios!$B$4:$AI$4,0))=0,"",INDEX(Scénarios!$B$2:$AI$232,MATCH($S30,Scénarios!$AI$2:$AI$232,0),MATCH(AT$4,Scénarios!$B$4:$AI$4,0))),"-")</f>
        <v>-</v>
      </c>
      <c r="AU30" s="462" t="str">
        <f>IFERROR(INDEX(Scénarios!$B$2:$AI$232,MATCH($S30,Scénarios!$AI$2:$AI$232,0),MATCH(AU$4,Scénarios!$B$4:$AI$4,0)),"-")</f>
        <v>-</v>
      </c>
      <c r="AV30" s="462" t="str">
        <f>IFERROR(INDEX(Scénarios!$B$2:$AI$232,MATCH($S30,Scénarios!$AI$2:$AI$232,0),MATCH(AV$4,Scénarios!$B$4:$AI$4,0)),"-")</f>
        <v>-</v>
      </c>
      <c r="AW30" s="462" t="str">
        <f>IFERROR(INDEX(Scénarios!$B$2:$AI$232,MATCH($S30,Scénarios!$AI$2:$AI$232,0),MATCH(AW$4,Scénarios!$B$4:$AI$4,0)),"-")</f>
        <v>-</v>
      </c>
      <c r="AX30" s="462" t="str">
        <f>IFERROR(INDEX(Scénarios!$B$2:$AI$232,MATCH($S30,Scénarios!$AI$2:$AI$232,0),MATCH(AX$4,Scénarios!$B$4:$AI$4,0)),"-")</f>
        <v>-</v>
      </c>
      <c r="AY30" s="443" t="str">
        <f>IFERROR(INDEX(Scénarios!$B$2:$AI$232,MATCH($S30,Scénarios!$AI$2:$AI$232,0),MATCH(AY$4,Scénarios!$B$4:$AI$4,0)),"-")</f>
        <v>-</v>
      </c>
      <c r="AZ30" s="588" t="str">
        <f>IFERROR(INDEX(Param!$A$31:$C$35,MATCH($AY30,Param!$C$31:$C$35,0),1),"-")</f>
        <v>-</v>
      </c>
      <c r="BA30" s="588" t="str">
        <f>IFERROR(IF(INDEX(Scénarios!$B$2:$AI$232,MATCH($S30,Scénarios!$AI$2:$AI$232,0),MATCH(BA$4,Scénarios!$B$4:$AI$4,0))=0,"",INDEX(Scénarios!$B$2:$AI$232,MATCH($S30,Scénarios!$AI$2:$AI$232,0),MATCH(BA$4,Scénarios!$B$4:$AI$4,0))),"-")</f>
        <v>-</v>
      </c>
      <c r="BB30" s="443" t="str">
        <f>IFERROR(IF(INDEX(Scénarios!$B$2:$AK$237,MATCH($S30,Scénarios!$AI$2:$AI$237,0),MATCH(BB$4,Scénarios!$B$4:$AK$4,0))=0,"",INDEX(Scénarios!$B$2:$AK$237,MATCH($S30,Scénarios!$AI$2:$AI$237,0),MATCH(BB$4,Scénarios!$B$4:$AK$4,0))),"-")</f>
        <v>-</v>
      </c>
      <c r="BC30" s="443" t="str">
        <f>IFERROR(INDEX(Scénarios!$B$2:$AV$232,MATCH($S30,Scénarios!$AI$2:$AI$232,0),MATCH(BC$4,Scénarios!$B$4:$AV$4,0)),"-")</f>
        <v>-</v>
      </c>
    </row>
    <row r="31" spans="15:55" ht="25.5" customHeight="1" x14ac:dyDescent="0.25">
      <c r="O31" s="604" t="str">
        <f t="shared" si="0"/>
        <v>Fiche R27 sans décision :
Veuillez ajouter une décision</v>
      </c>
      <c r="P31" s="609" t="s">
        <v>2188</v>
      </c>
      <c r="Q31" s="605" t="s">
        <v>2067</v>
      </c>
      <c r="R31" s="585" t="s">
        <v>2068</v>
      </c>
      <c r="S31" s="587" t="s">
        <v>1904</v>
      </c>
      <c r="T31" s="588" t="str">
        <f>IFERROR(INDEX(Tab_sel!$B$7:$C$18,MATCH($AB31,Tab_sel!$C$7:$C$18,0),1),"-")</f>
        <v>-</v>
      </c>
      <c r="U31" s="589" t="str">
        <f>IFERROR(INDEX(Scénarios!$B$2:$AI$232,MATCH($S31,Scénarios!$AI$2:$AI$232,0),MATCH(U$4,Scénarios!$B$4:$AI$4,0)),"-")</f>
        <v>-</v>
      </c>
      <c r="V31" s="588" t="str">
        <f>IFERROR(INDEX(Scénarios!$B$2:$AI$232,MATCH($S31,Scénarios!$AI$2:$AI$232,0),MATCH(V$4,Scénarios!$B$4:$AI$4,0)),"-")</f>
        <v>-</v>
      </c>
      <c r="W31" s="588" t="str">
        <f>IFERROR(INDEX(Scénarios!$B$2:$AI$232,MATCH($S31,Scénarios!$AI$2:$AI$232,0),MATCH(W$4,Scénarios!$B$4:$AI$4,0)),"-")</f>
        <v>-</v>
      </c>
      <c r="X31" s="588" t="str">
        <f>IFERROR(VLOOKUP(AD31,Expo!$D$4:$E$35,2,FALSE),"-")</f>
        <v>-</v>
      </c>
      <c r="Y31" s="859" t="str">
        <f>IFERROR(IF(INDEX(Scénarios!$B$2:$AI$232,MATCH($S31,Scénarios!$AI$2:$AI$232,0),MATCH(Y$4,Scénarios!$B$4:$AI$4,0))=0,"",INDEX(Scénarios!$B$2:$AI$232,MATCH($S31,Scénarios!$AI$2:$AI$232,0),MATCH(Y$4,Scénarios!$B$4:$AI$4,0))),"-")</f>
        <v>-</v>
      </c>
      <c r="Z31" s="589" t="str">
        <f>IFERROR(INDEX(Scénarios!$B$2:$AI$232,MATCH($S31,Scénarios!$AI$2:$AI$232,0),MATCH(Z$4,Scénarios!$B$4:$AI$4,0)),"-")</f>
        <v>-</v>
      </c>
      <c r="AA31" s="589" t="str">
        <f>IFERROR(INDEX(Scénarios!$B$2:$AI$232,MATCH($S31,Scénarios!$AI$2:$AI$232,0),MATCH(AA$4,Scénarios!$B$4:$AI$4,0)),"-")</f>
        <v>-</v>
      </c>
      <c r="AB31" s="586" t="str">
        <f>IFERROR(INDEX(Scénarios!$B$2:$AI$232,MATCH($S31,Scénarios!$AI$2:$AI$232,0),MATCH(AB$4,Scénarios!$B$4:$AI$4,0)),"-")</f>
        <v>-</v>
      </c>
      <c r="AC31" s="442" t="str">
        <f>IFERROR(INDEX(Tab_sel!$B$24:$C$27,MATCH($U31,Tab_sel!$C$24:$C$27,0),1),"-")</f>
        <v>-</v>
      </c>
      <c r="AD31" s="443" t="str">
        <f>IFERROR(INDEX(Scénarios!$B$2:$AI$232,MATCH($S31,Scénarios!$AI$2:$AI$232,0),MATCH(AD$4,Scénarios!$B$4:$AI$4,0)),"-")</f>
        <v>-</v>
      </c>
      <c r="AE31" s="460" t="str">
        <f>IFERROR(INDEX(Scénarios!$B$2:$AI$232,MATCH($S31,Scénarios!$AI$2:$AI$232,0),MATCH(AE$4,Scénarios!$B$4:$AI$4,0)),"-")</f>
        <v>-</v>
      </c>
      <c r="AF31" s="460" t="str">
        <f>IFERROR(INDEX(Scénarios!$B$2:$AI$232,MATCH($S31,Scénarios!$AI$2:$AI$232,0),MATCH(AF$4,Scénarios!$B$4:$AI$4,0)),"-")</f>
        <v>-</v>
      </c>
      <c r="AG31" s="460" t="str">
        <f>IFERROR(INDEX(Scénarios!$B$2:$AI$232,MATCH($S31,Scénarios!$AI$2:$AI$232,0),MATCH(AG$4,Scénarios!$B$4:$AI$4,0)),"-")</f>
        <v>-</v>
      </c>
      <c r="AH31" s="460" t="str">
        <f>IFERROR(INDEX(Scénarios!$B$2:$AI$232,MATCH($S31,Scénarios!$AI$2:$AI$232,0),MATCH(AH$4,Scénarios!$B$4:$AI$4,0)),"-")</f>
        <v>-</v>
      </c>
      <c r="AI31" s="443" t="str">
        <f>IFERROR(INDEX(Scénarios!$B$2:$AI$232,MATCH($S31,Scénarios!$AI$2:$AI$232,0),MATCH(AI$4,Scénarios!$B$4:$AI$4,0)),"-")</f>
        <v>-</v>
      </c>
      <c r="AJ31" s="443" t="str">
        <f>IFERROR(INDEX(Param!$A$3:$C$7,MATCH($AI31,Param!$C$3:$C$7,0),1),"-")</f>
        <v>-</v>
      </c>
      <c r="AK31" s="443" t="str">
        <f>IFERROR(INDEX(Scénarios!$B$2:$AI$232,MATCH($S31,Scénarios!$AI$2:$AI$232,0),MATCH(AK$4,Scénarios!$B$4:$AI$4,0)),"-")</f>
        <v>-</v>
      </c>
      <c r="AL31" s="443" t="str">
        <f>IFERROR(INDEX(Scénarios!$B$2:$AI$232,MATCH($S31,Scénarios!$AI$2:$AI$232,0),MATCH(AL$4,Scénarios!$B$4:$AI$4,0)),"-")</f>
        <v>-</v>
      </c>
      <c r="AM31" s="443" t="str">
        <f>IFERROR(INDEX(Param!$A$10:$C$14,MATCH($AL31,Param!$C$10:$C$14,0),1),"-")</f>
        <v>-</v>
      </c>
      <c r="AN31" s="443" t="str">
        <f>IFERROR(IF(INDEX(Scénarios!$B$2:$AI$232,MATCH($S31,Scénarios!$AI$2:$AI$232,0),MATCH(AN$4,Scénarios!$B$4:$AI$4,0))=0,"",INDEX(Scénarios!$B$2:$AI$232,MATCH($S31,Scénarios!$AI$2:$AI$232,0),MATCH(AN$4,Scénarios!$B$4:$AI$4,0))),"-")</f>
        <v>-</v>
      </c>
      <c r="AO31" s="443" t="str">
        <f>IFERROR(INDEX(Scénarios!$B$2:$AI$232,MATCH($S31,Scénarios!$AI$2:$AI$232,0),MATCH(AO$4,Scénarios!$B$4:$AI$4,0)),"-")</f>
        <v>-</v>
      </c>
      <c r="AP31" s="443" t="str">
        <f>IFERROR(INDEX(Param!$A$17:$C$21,MATCH($AO31,Param!$C$17:$C$21,0),1),"-")</f>
        <v>-</v>
      </c>
      <c r="AQ31" s="443" t="str">
        <f>IFERROR(IF(INDEX(Scénarios!$B$2:$AI$232,MATCH($S31,Scénarios!$AI$2:$AI$232,0),MATCH(AQ$4,Scénarios!$B$4:$AI$4,0))=0,"",INDEX(Scénarios!$B$2:$AI$232,MATCH($S31,Scénarios!$AI$2:$AI$232,0),MATCH(AQ$4,Scénarios!$B$4:$AI$4,0))),"-")</f>
        <v>-</v>
      </c>
      <c r="AR31" s="443" t="str">
        <f>IFERROR(INDEX(Scénarios!$B$2:$AI$232,MATCH($S31,Scénarios!$AI$2:$AI$232,0),MATCH(AR$4,Scénarios!$B$4:$AI$4,0)),"-")</f>
        <v>-</v>
      </c>
      <c r="AS31" s="443" t="str">
        <f>IFERROR(INDEX(Param!$A$24:$C$28,MATCH($AR31,Param!$C$24:$C$28,0),1),"-")</f>
        <v>-</v>
      </c>
      <c r="AT31" s="443" t="str">
        <f>IFERROR(IF(INDEX(Scénarios!$B$2:$AI$232,MATCH($S31,Scénarios!$AI$2:$AI$232,0),MATCH(AT$4,Scénarios!$B$4:$AI$4,0))=0,"",INDEX(Scénarios!$B$2:$AI$232,MATCH($S31,Scénarios!$AI$2:$AI$232,0),MATCH(AT$4,Scénarios!$B$4:$AI$4,0))),"-")</f>
        <v>-</v>
      </c>
      <c r="AU31" s="462" t="str">
        <f>IFERROR(INDEX(Scénarios!$B$2:$AI$232,MATCH($S31,Scénarios!$AI$2:$AI$232,0),MATCH(AU$4,Scénarios!$B$4:$AI$4,0)),"-")</f>
        <v>-</v>
      </c>
      <c r="AV31" s="462" t="str">
        <f>IFERROR(INDEX(Scénarios!$B$2:$AI$232,MATCH($S31,Scénarios!$AI$2:$AI$232,0),MATCH(AV$4,Scénarios!$B$4:$AI$4,0)),"-")</f>
        <v>-</v>
      </c>
      <c r="AW31" s="462" t="str">
        <f>IFERROR(INDEX(Scénarios!$B$2:$AI$232,MATCH($S31,Scénarios!$AI$2:$AI$232,0),MATCH(AW$4,Scénarios!$B$4:$AI$4,0)),"-")</f>
        <v>-</v>
      </c>
      <c r="AX31" s="462" t="str">
        <f>IFERROR(INDEX(Scénarios!$B$2:$AI$232,MATCH($S31,Scénarios!$AI$2:$AI$232,0),MATCH(AX$4,Scénarios!$B$4:$AI$4,0)),"-")</f>
        <v>-</v>
      </c>
      <c r="AY31" s="443" t="str">
        <f>IFERROR(INDEX(Scénarios!$B$2:$AI$232,MATCH($S31,Scénarios!$AI$2:$AI$232,0),MATCH(AY$4,Scénarios!$B$4:$AI$4,0)),"-")</f>
        <v>-</v>
      </c>
      <c r="AZ31" s="588" t="str">
        <f>IFERROR(INDEX(Param!$A$31:$C$35,MATCH($AY31,Param!$C$31:$C$35,0),1),"-")</f>
        <v>-</v>
      </c>
      <c r="BA31" s="588" t="str">
        <f>IFERROR(IF(INDEX(Scénarios!$B$2:$AI$232,MATCH($S31,Scénarios!$AI$2:$AI$232,0),MATCH(BA$4,Scénarios!$B$4:$AI$4,0))=0,"",INDEX(Scénarios!$B$2:$AI$232,MATCH($S31,Scénarios!$AI$2:$AI$232,0),MATCH(BA$4,Scénarios!$B$4:$AI$4,0))),"-")</f>
        <v>-</v>
      </c>
      <c r="BB31" s="443" t="str">
        <f>IFERROR(IF(INDEX(Scénarios!$B$2:$AK$237,MATCH($S31,Scénarios!$AI$2:$AI$237,0),MATCH(BB$4,Scénarios!$B$4:$AK$4,0))=0,"",INDEX(Scénarios!$B$2:$AK$237,MATCH($S31,Scénarios!$AI$2:$AI$237,0),MATCH(BB$4,Scénarios!$B$4:$AK$4,0))),"-")</f>
        <v>-</v>
      </c>
      <c r="BC31" s="443" t="str">
        <f>IFERROR(INDEX(Scénarios!$B$2:$AV$232,MATCH($S31,Scénarios!$AI$2:$AI$232,0),MATCH(BC$4,Scénarios!$B$4:$AV$4,0)),"-")</f>
        <v>-</v>
      </c>
    </row>
    <row r="32" spans="15:55" ht="25.5" customHeight="1" x14ac:dyDescent="0.25">
      <c r="O32" s="604" t="str">
        <f t="shared" si="0"/>
        <v>Fiche R28 sans décision :
Veuillez ajouter une décision</v>
      </c>
      <c r="P32" s="609" t="s">
        <v>2188</v>
      </c>
      <c r="Q32" s="605" t="s">
        <v>2067</v>
      </c>
      <c r="R32" s="585" t="s">
        <v>2068</v>
      </c>
      <c r="S32" s="587" t="s">
        <v>1905</v>
      </c>
      <c r="T32" s="588" t="str">
        <f>IFERROR(INDEX(Tab_sel!$B$7:$C$18,MATCH($AB32,Tab_sel!$C$7:$C$18,0),1),"-")</f>
        <v>-</v>
      </c>
      <c r="U32" s="589" t="str">
        <f>IFERROR(INDEX(Scénarios!$B$2:$AI$232,MATCH($S32,Scénarios!$AI$2:$AI$232,0),MATCH(U$4,Scénarios!$B$4:$AI$4,0)),"-")</f>
        <v>-</v>
      </c>
      <c r="V32" s="588" t="str">
        <f>IFERROR(INDEX(Scénarios!$B$2:$AI$232,MATCH($S32,Scénarios!$AI$2:$AI$232,0),MATCH(V$4,Scénarios!$B$4:$AI$4,0)),"-")</f>
        <v>-</v>
      </c>
      <c r="W32" s="588" t="str">
        <f>IFERROR(INDEX(Scénarios!$B$2:$AI$232,MATCH($S32,Scénarios!$AI$2:$AI$232,0),MATCH(W$4,Scénarios!$B$4:$AI$4,0)),"-")</f>
        <v>-</v>
      </c>
      <c r="X32" s="588" t="str">
        <f>IFERROR(VLOOKUP(AD32,Expo!$D$4:$E$35,2,FALSE),"-")</f>
        <v>-</v>
      </c>
      <c r="Y32" s="859" t="str">
        <f>IFERROR(IF(INDEX(Scénarios!$B$2:$AI$232,MATCH($S32,Scénarios!$AI$2:$AI$232,0),MATCH(Y$4,Scénarios!$B$4:$AI$4,0))=0,"",INDEX(Scénarios!$B$2:$AI$232,MATCH($S32,Scénarios!$AI$2:$AI$232,0),MATCH(Y$4,Scénarios!$B$4:$AI$4,0))),"-")</f>
        <v>-</v>
      </c>
      <c r="Z32" s="589" t="str">
        <f>IFERROR(INDEX(Scénarios!$B$2:$AI$232,MATCH($S32,Scénarios!$AI$2:$AI$232,0),MATCH(Z$4,Scénarios!$B$4:$AI$4,0)),"-")</f>
        <v>-</v>
      </c>
      <c r="AA32" s="589" t="str">
        <f>IFERROR(INDEX(Scénarios!$B$2:$AI$232,MATCH($S32,Scénarios!$AI$2:$AI$232,0),MATCH(AA$4,Scénarios!$B$4:$AI$4,0)),"-")</f>
        <v>-</v>
      </c>
      <c r="AB32" s="586" t="str">
        <f>IFERROR(INDEX(Scénarios!$B$2:$AI$232,MATCH($S32,Scénarios!$AI$2:$AI$232,0),MATCH(AB$4,Scénarios!$B$4:$AI$4,0)),"-")</f>
        <v>-</v>
      </c>
      <c r="AC32" s="442" t="str">
        <f>IFERROR(INDEX(Tab_sel!$B$24:$C$27,MATCH($U32,Tab_sel!$C$24:$C$27,0),1),"-")</f>
        <v>-</v>
      </c>
      <c r="AD32" s="443" t="str">
        <f>IFERROR(INDEX(Scénarios!$B$2:$AI$232,MATCH($S32,Scénarios!$AI$2:$AI$232,0),MATCH(AD$4,Scénarios!$B$4:$AI$4,0)),"-")</f>
        <v>-</v>
      </c>
      <c r="AE32" s="460" t="str">
        <f>IFERROR(INDEX(Scénarios!$B$2:$AI$232,MATCH($S32,Scénarios!$AI$2:$AI$232,0),MATCH(AE$4,Scénarios!$B$4:$AI$4,0)),"-")</f>
        <v>-</v>
      </c>
      <c r="AF32" s="460" t="str">
        <f>IFERROR(INDEX(Scénarios!$B$2:$AI$232,MATCH($S32,Scénarios!$AI$2:$AI$232,0),MATCH(AF$4,Scénarios!$B$4:$AI$4,0)),"-")</f>
        <v>-</v>
      </c>
      <c r="AG32" s="460" t="str">
        <f>IFERROR(INDEX(Scénarios!$B$2:$AI$232,MATCH($S32,Scénarios!$AI$2:$AI$232,0),MATCH(AG$4,Scénarios!$B$4:$AI$4,0)),"-")</f>
        <v>-</v>
      </c>
      <c r="AH32" s="460" t="str">
        <f>IFERROR(INDEX(Scénarios!$B$2:$AI$232,MATCH($S32,Scénarios!$AI$2:$AI$232,0),MATCH(AH$4,Scénarios!$B$4:$AI$4,0)),"-")</f>
        <v>-</v>
      </c>
      <c r="AI32" s="443" t="str">
        <f>IFERROR(INDEX(Scénarios!$B$2:$AI$232,MATCH($S32,Scénarios!$AI$2:$AI$232,0),MATCH(AI$4,Scénarios!$B$4:$AI$4,0)),"-")</f>
        <v>-</v>
      </c>
      <c r="AJ32" s="443" t="str">
        <f>IFERROR(INDEX(Param!$A$3:$C$7,MATCH($AI32,Param!$C$3:$C$7,0),1),"-")</f>
        <v>-</v>
      </c>
      <c r="AK32" s="443" t="str">
        <f>IFERROR(INDEX(Scénarios!$B$2:$AI$232,MATCH($S32,Scénarios!$AI$2:$AI$232,0),MATCH(AK$4,Scénarios!$B$4:$AI$4,0)),"-")</f>
        <v>-</v>
      </c>
      <c r="AL32" s="443" t="str">
        <f>IFERROR(INDEX(Scénarios!$B$2:$AI$232,MATCH($S32,Scénarios!$AI$2:$AI$232,0),MATCH(AL$4,Scénarios!$B$4:$AI$4,0)),"-")</f>
        <v>-</v>
      </c>
      <c r="AM32" s="443" t="str">
        <f>IFERROR(INDEX(Param!$A$10:$C$14,MATCH($AL32,Param!$C$10:$C$14,0),1),"-")</f>
        <v>-</v>
      </c>
      <c r="AN32" s="443" t="str">
        <f>IFERROR(IF(INDEX(Scénarios!$B$2:$AI$232,MATCH($S32,Scénarios!$AI$2:$AI$232,0),MATCH(AN$4,Scénarios!$B$4:$AI$4,0))=0,"",INDEX(Scénarios!$B$2:$AI$232,MATCH($S32,Scénarios!$AI$2:$AI$232,0),MATCH(AN$4,Scénarios!$B$4:$AI$4,0))),"-")</f>
        <v>-</v>
      </c>
      <c r="AO32" s="443" t="str">
        <f>IFERROR(INDEX(Scénarios!$B$2:$AI$232,MATCH($S32,Scénarios!$AI$2:$AI$232,0),MATCH(AO$4,Scénarios!$B$4:$AI$4,0)),"-")</f>
        <v>-</v>
      </c>
      <c r="AP32" s="443" t="str">
        <f>IFERROR(INDEX(Param!$A$17:$C$21,MATCH($AO32,Param!$C$17:$C$21,0),1),"-")</f>
        <v>-</v>
      </c>
      <c r="AQ32" s="443" t="str">
        <f>IFERROR(IF(INDEX(Scénarios!$B$2:$AI$232,MATCH($S32,Scénarios!$AI$2:$AI$232,0),MATCH(AQ$4,Scénarios!$B$4:$AI$4,0))=0,"",INDEX(Scénarios!$B$2:$AI$232,MATCH($S32,Scénarios!$AI$2:$AI$232,0),MATCH(AQ$4,Scénarios!$B$4:$AI$4,0))),"-")</f>
        <v>-</v>
      </c>
      <c r="AR32" s="443" t="str">
        <f>IFERROR(INDEX(Scénarios!$B$2:$AI$232,MATCH($S32,Scénarios!$AI$2:$AI$232,0),MATCH(AR$4,Scénarios!$B$4:$AI$4,0)),"-")</f>
        <v>-</v>
      </c>
      <c r="AS32" s="443" t="str">
        <f>IFERROR(INDEX(Param!$A$24:$C$28,MATCH($AR32,Param!$C$24:$C$28,0),1),"-")</f>
        <v>-</v>
      </c>
      <c r="AT32" s="443" t="str">
        <f>IFERROR(IF(INDEX(Scénarios!$B$2:$AI$232,MATCH($S32,Scénarios!$AI$2:$AI$232,0),MATCH(AT$4,Scénarios!$B$4:$AI$4,0))=0,"",INDEX(Scénarios!$B$2:$AI$232,MATCH($S32,Scénarios!$AI$2:$AI$232,0),MATCH(AT$4,Scénarios!$B$4:$AI$4,0))),"-")</f>
        <v>-</v>
      </c>
      <c r="AU32" s="462" t="str">
        <f>IFERROR(INDEX(Scénarios!$B$2:$AI$232,MATCH($S32,Scénarios!$AI$2:$AI$232,0),MATCH(AU$4,Scénarios!$B$4:$AI$4,0)),"-")</f>
        <v>-</v>
      </c>
      <c r="AV32" s="462" t="str">
        <f>IFERROR(INDEX(Scénarios!$B$2:$AI$232,MATCH($S32,Scénarios!$AI$2:$AI$232,0),MATCH(AV$4,Scénarios!$B$4:$AI$4,0)),"-")</f>
        <v>-</v>
      </c>
      <c r="AW32" s="462" t="str">
        <f>IFERROR(INDEX(Scénarios!$B$2:$AI$232,MATCH($S32,Scénarios!$AI$2:$AI$232,0),MATCH(AW$4,Scénarios!$B$4:$AI$4,0)),"-")</f>
        <v>-</v>
      </c>
      <c r="AX32" s="462" t="str">
        <f>IFERROR(INDEX(Scénarios!$B$2:$AI$232,MATCH($S32,Scénarios!$AI$2:$AI$232,0),MATCH(AX$4,Scénarios!$B$4:$AI$4,0)),"-")</f>
        <v>-</v>
      </c>
      <c r="AY32" s="443" t="str">
        <f>IFERROR(INDEX(Scénarios!$B$2:$AI$232,MATCH($S32,Scénarios!$AI$2:$AI$232,0),MATCH(AY$4,Scénarios!$B$4:$AI$4,0)),"-")</f>
        <v>-</v>
      </c>
      <c r="AZ32" s="588" t="str">
        <f>IFERROR(INDEX(Param!$A$31:$C$35,MATCH($AY32,Param!$C$31:$C$35,0),1),"-")</f>
        <v>-</v>
      </c>
      <c r="BA32" s="588" t="str">
        <f>IFERROR(IF(INDEX(Scénarios!$B$2:$AI$232,MATCH($S32,Scénarios!$AI$2:$AI$232,0),MATCH(BA$4,Scénarios!$B$4:$AI$4,0))=0,"",INDEX(Scénarios!$B$2:$AI$232,MATCH($S32,Scénarios!$AI$2:$AI$232,0),MATCH(BA$4,Scénarios!$B$4:$AI$4,0))),"-")</f>
        <v>-</v>
      </c>
      <c r="BB32" s="443" t="str">
        <f>IFERROR(IF(INDEX(Scénarios!$B$2:$AK$237,MATCH($S32,Scénarios!$AI$2:$AI$237,0),MATCH(BB$4,Scénarios!$B$4:$AK$4,0))=0,"",INDEX(Scénarios!$B$2:$AK$237,MATCH($S32,Scénarios!$AI$2:$AI$237,0),MATCH(BB$4,Scénarios!$B$4:$AK$4,0))),"-")</f>
        <v>-</v>
      </c>
      <c r="BC32" s="443" t="str">
        <f>IFERROR(INDEX(Scénarios!$B$2:$AV$232,MATCH($S32,Scénarios!$AI$2:$AI$232,0),MATCH(BC$4,Scénarios!$B$4:$AV$4,0)),"-")</f>
        <v>-</v>
      </c>
    </row>
    <row r="33" spans="15:55" ht="25.5" customHeight="1" x14ac:dyDescent="0.25">
      <c r="O33" s="604" t="str">
        <f t="shared" si="0"/>
        <v>Fiche R29 sans décision :
Veuillez ajouter une décision</v>
      </c>
      <c r="P33" s="609" t="s">
        <v>2188</v>
      </c>
      <c r="Q33" s="605" t="s">
        <v>2067</v>
      </c>
      <c r="R33" s="585" t="s">
        <v>2068</v>
      </c>
      <c r="S33" s="587" t="s">
        <v>1906</v>
      </c>
      <c r="T33" s="588" t="str">
        <f>IFERROR(INDEX(Tab_sel!$B$7:$C$18,MATCH($AB33,Tab_sel!$C$7:$C$18,0),1),"-")</f>
        <v>-</v>
      </c>
      <c r="U33" s="589" t="str">
        <f>IFERROR(INDEX(Scénarios!$B$2:$AI$232,MATCH($S33,Scénarios!$AI$2:$AI$232,0),MATCH(U$4,Scénarios!$B$4:$AI$4,0)),"-")</f>
        <v>-</v>
      </c>
      <c r="V33" s="588" t="str">
        <f>IFERROR(INDEX(Scénarios!$B$2:$AI$232,MATCH($S33,Scénarios!$AI$2:$AI$232,0),MATCH(V$4,Scénarios!$B$4:$AI$4,0)),"-")</f>
        <v>-</v>
      </c>
      <c r="W33" s="588" t="str">
        <f>IFERROR(INDEX(Scénarios!$B$2:$AI$232,MATCH($S33,Scénarios!$AI$2:$AI$232,0),MATCH(W$4,Scénarios!$B$4:$AI$4,0)),"-")</f>
        <v>-</v>
      </c>
      <c r="X33" s="588" t="str">
        <f>IFERROR(VLOOKUP(AD33,Expo!$D$4:$E$35,2,FALSE),"-")</f>
        <v>-</v>
      </c>
      <c r="Y33" s="859" t="str">
        <f>IFERROR(IF(INDEX(Scénarios!$B$2:$AI$232,MATCH($S33,Scénarios!$AI$2:$AI$232,0),MATCH(Y$4,Scénarios!$B$4:$AI$4,0))=0,"",INDEX(Scénarios!$B$2:$AI$232,MATCH($S33,Scénarios!$AI$2:$AI$232,0),MATCH(Y$4,Scénarios!$B$4:$AI$4,0))),"-")</f>
        <v>-</v>
      </c>
      <c r="Z33" s="589" t="str">
        <f>IFERROR(INDEX(Scénarios!$B$2:$AI$232,MATCH($S33,Scénarios!$AI$2:$AI$232,0),MATCH(Z$4,Scénarios!$B$4:$AI$4,0)),"-")</f>
        <v>-</v>
      </c>
      <c r="AA33" s="589" t="str">
        <f>IFERROR(INDEX(Scénarios!$B$2:$AI$232,MATCH($S33,Scénarios!$AI$2:$AI$232,0),MATCH(AA$4,Scénarios!$B$4:$AI$4,0)),"-")</f>
        <v>-</v>
      </c>
      <c r="AB33" s="586" t="str">
        <f>IFERROR(INDEX(Scénarios!$B$2:$AI$232,MATCH($S33,Scénarios!$AI$2:$AI$232,0),MATCH(AB$4,Scénarios!$B$4:$AI$4,0)),"-")</f>
        <v>-</v>
      </c>
      <c r="AC33" s="442" t="str">
        <f>IFERROR(INDEX(Tab_sel!$B$24:$C$27,MATCH($U33,Tab_sel!$C$24:$C$27,0),1),"-")</f>
        <v>-</v>
      </c>
      <c r="AD33" s="443" t="str">
        <f>IFERROR(INDEX(Scénarios!$B$2:$AI$232,MATCH($S33,Scénarios!$AI$2:$AI$232,0),MATCH(AD$4,Scénarios!$B$4:$AI$4,0)),"-")</f>
        <v>-</v>
      </c>
      <c r="AE33" s="460" t="str">
        <f>IFERROR(INDEX(Scénarios!$B$2:$AI$232,MATCH($S33,Scénarios!$AI$2:$AI$232,0),MATCH(AE$4,Scénarios!$B$4:$AI$4,0)),"-")</f>
        <v>-</v>
      </c>
      <c r="AF33" s="460" t="str">
        <f>IFERROR(INDEX(Scénarios!$B$2:$AI$232,MATCH($S33,Scénarios!$AI$2:$AI$232,0),MATCH(AF$4,Scénarios!$B$4:$AI$4,0)),"-")</f>
        <v>-</v>
      </c>
      <c r="AG33" s="460" t="str">
        <f>IFERROR(INDEX(Scénarios!$B$2:$AI$232,MATCH($S33,Scénarios!$AI$2:$AI$232,0),MATCH(AG$4,Scénarios!$B$4:$AI$4,0)),"-")</f>
        <v>-</v>
      </c>
      <c r="AH33" s="460" t="str">
        <f>IFERROR(INDEX(Scénarios!$B$2:$AI$232,MATCH($S33,Scénarios!$AI$2:$AI$232,0),MATCH(AH$4,Scénarios!$B$4:$AI$4,0)),"-")</f>
        <v>-</v>
      </c>
      <c r="AI33" s="443" t="str">
        <f>IFERROR(INDEX(Scénarios!$B$2:$AI$232,MATCH($S33,Scénarios!$AI$2:$AI$232,0),MATCH(AI$4,Scénarios!$B$4:$AI$4,0)),"-")</f>
        <v>-</v>
      </c>
      <c r="AJ33" s="443" t="str">
        <f>IFERROR(INDEX(Param!$A$3:$C$7,MATCH($AI33,Param!$C$3:$C$7,0),1),"-")</f>
        <v>-</v>
      </c>
      <c r="AK33" s="443" t="str">
        <f>IFERROR(INDEX(Scénarios!$B$2:$AI$232,MATCH($S33,Scénarios!$AI$2:$AI$232,0),MATCH(AK$4,Scénarios!$B$4:$AI$4,0)),"-")</f>
        <v>-</v>
      </c>
      <c r="AL33" s="443" t="str">
        <f>IFERROR(INDEX(Scénarios!$B$2:$AI$232,MATCH($S33,Scénarios!$AI$2:$AI$232,0),MATCH(AL$4,Scénarios!$B$4:$AI$4,0)),"-")</f>
        <v>-</v>
      </c>
      <c r="AM33" s="443" t="str">
        <f>IFERROR(INDEX(Param!$A$10:$C$14,MATCH($AL33,Param!$C$10:$C$14,0),1),"-")</f>
        <v>-</v>
      </c>
      <c r="AN33" s="443" t="str">
        <f>IFERROR(IF(INDEX(Scénarios!$B$2:$AI$232,MATCH($S33,Scénarios!$AI$2:$AI$232,0),MATCH(AN$4,Scénarios!$B$4:$AI$4,0))=0,"",INDEX(Scénarios!$B$2:$AI$232,MATCH($S33,Scénarios!$AI$2:$AI$232,0),MATCH(AN$4,Scénarios!$B$4:$AI$4,0))),"-")</f>
        <v>-</v>
      </c>
      <c r="AO33" s="443" t="str">
        <f>IFERROR(INDEX(Scénarios!$B$2:$AI$232,MATCH($S33,Scénarios!$AI$2:$AI$232,0),MATCH(AO$4,Scénarios!$B$4:$AI$4,0)),"-")</f>
        <v>-</v>
      </c>
      <c r="AP33" s="443" t="str">
        <f>IFERROR(INDEX(Param!$A$17:$C$21,MATCH($AO33,Param!$C$17:$C$21,0),1),"-")</f>
        <v>-</v>
      </c>
      <c r="AQ33" s="443" t="str">
        <f>IFERROR(IF(INDEX(Scénarios!$B$2:$AI$232,MATCH($S33,Scénarios!$AI$2:$AI$232,0),MATCH(AQ$4,Scénarios!$B$4:$AI$4,0))=0,"",INDEX(Scénarios!$B$2:$AI$232,MATCH($S33,Scénarios!$AI$2:$AI$232,0),MATCH(AQ$4,Scénarios!$B$4:$AI$4,0))),"-")</f>
        <v>-</v>
      </c>
      <c r="AR33" s="443" t="str">
        <f>IFERROR(INDEX(Scénarios!$B$2:$AI$232,MATCH($S33,Scénarios!$AI$2:$AI$232,0),MATCH(AR$4,Scénarios!$B$4:$AI$4,0)),"-")</f>
        <v>-</v>
      </c>
      <c r="AS33" s="443" t="str">
        <f>IFERROR(INDEX(Param!$A$24:$C$28,MATCH($AR33,Param!$C$24:$C$28,0),1),"-")</f>
        <v>-</v>
      </c>
      <c r="AT33" s="443" t="str">
        <f>IFERROR(IF(INDEX(Scénarios!$B$2:$AI$232,MATCH($S33,Scénarios!$AI$2:$AI$232,0),MATCH(AT$4,Scénarios!$B$4:$AI$4,0))=0,"",INDEX(Scénarios!$B$2:$AI$232,MATCH($S33,Scénarios!$AI$2:$AI$232,0),MATCH(AT$4,Scénarios!$B$4:$AI$4,0))),"-")</f>
        <v>-</v>
      </c>
      <c r="AU33" s="462" t="str">
        <f>IFERROR(INDEX(Scénarios!$B$2:$AI$232,MATCH($S33,Scénarios!$AI$2:$AI$232,0),MATCH(AU$4,Scénarios!$B$4:$AI$4,0)),"-")</f>
        <v>-</v>
      </c>
      <c r="AV33" s="462" t="str">
        <f>IFERROR(INDEX(Scénarios!$B$2:$AI$232,MATCH($S33,Scénarios!$AI$2:$AI$232,0),MATCH(AV$4,Scénarios!$B$4:$AI$4,0)),"-")</f>
        <v>-</v>
      </c>
      <c r="AW33" s="462" t="str">
        <f>IFERROR(INDEX(Scénarios!$B$2:$AI$232,MATCH($S33,Scénarios!$AI$2:$AI$232,0),MATCH(AW$4,Scénarios!$B$4:$AI$4,0)),"-")</f>
        <v>-</v>
      </c>
      <c r="AX33" s="462" t="str">
        <f>IFERROR(INDEX(Scénarios!$B$2:$AI$232,MATCH($S33,Scénarios!$AI$2:$AI$232,0),MATCH(AX$4,Scénarios!$B$4:$AI$4,0)),"-")</f>
        <v>-</v>
      </c>
      <c r="AY33" s="443" t="str">
        <f>IFERROR(INDEX(Scénarios!$B$2:$AI$232,MATCH($S33,Scénarios!$AI$2:$AI$232,0),MATCH(AY$4,Scénarios!$B$4:$AI$4,0)),"-")</f>
        <v>-</v>
      </c>
      <c r="AZ33" s="588" t="str">
        <f>IFERROR(INDEX(Param!$A$31:$C$35,MATCH($AY33,Param!$C$31:$C$35,0),1),"-")</f>
        <v>-</v>
      </c>
      <c r="BA33" s="588" t="str">
        <f>IFERROR(IF(INDEX(Scénarios!$B$2:$AI$232,MATCH($S33,Scénarios!$AI$2:$AI$232,0),MATCH(BA$4,Scénarios!$B$4:$AI$4,0))=0,"",INDEX(Scénarios!$B$2:$AI$232,MATCH($S33,Scénarios!$AI$2:$AI$232,0),MATCH(BA$4,Scénarios!$B$4:$AI$4,0))),"-")</f>
        <v>-</v>
      </c>
      <c r="BB33" s="443" t="str">
        <f>IFERROR(IF(INDEX(Scénarios!$B$2:$AK$237,MATCH($S33,Scénarios!$AI$2:$AI$237,0),MATCH(BB$4,Scénarios!$B$4:$AK$4,0))=0,"",INDEX(Scénarios!$B$2:$AK$237,MATCH($S33,Scénarios!$AI$2:$AI$237,0),MATCH(BB$4,Scénarios!$B$4:$AK$4,0))),"-")</f>
        <v>-</v>
      </c>
      <c r="BC33" s="443" t="str">
        <f>IFERROR(INDEX(Scénarios!$B$2:$AV$232,MATCH($S33,Scénarios!$AI$2:$AI$232,0),MATCH(BC$4,Scénarios!$B$4:$AV$4,0)),"-")</f>
        <v>-</v>
      </c>
    </row>
    <row r="34" spans="15:55" ht="25.5" customHeight="1" x14ac:dyDescent="0.25">
      <c r="O34" s="604" t="str">
        <f t="shared" si="0"/>
        <v>Fiche R30 sans décision :
Veuillez ajouter une décision</v>
      </c>
      <c r="P34" s="609" t="s">
        <v>2188</v>
      </c>
      <c r="Q34" s="605" t="s">
        <v>2067</v>
      </c>
      <c r="R34" s="585" t="s">
        <v>2068</v>
      </c>
      <c r="S34" s="587" t="s">
        <v>1907</v>
      </c>
      <c r="T34" s="588" t="str">
        <f>IFERROR(INDEX(Tab_sel!$B$7:$C$18,MATCH($AB34,Tab_sel!$C$7:$C$18,0),1),"-")</f>
        <v>-</v>
      </c>
      <c r="U34" s="589" t="str">
        <f>IFERROR(INDEX(Scénarios!$B$2:$AI$232,MATCH($S34,Scénarios!$AI$2:$AI$232,0),MATCH(U$4,Scénarios!$B$4:$AI$4,0)),"-")</f>
        <v>-</v>
      </c>
      <c r="V34" s="588" t="str">
        <f>IFERROR(INDEX(Scénarios!$B$2:$AI$232,MATCH($S34,Scénarios!$AI$2:$AI$232,0),MATCH(V$4,Scénarios!$B$4:$AI$4,0)),"-")</f>
        <v>-</v>
      </c>
      <c r="W34" s="588" t="str">
        <f>IFERROR(INDEX(Scénarios!$B$2:$AI$232,MATCH($S34,Scénarios!$AI$2:$AI$232,0),MATCH(W$4,Scénarios!$B$4:$AI$4,0)),"-")</f>
        <v>-</v>
      </c>
      <c r="X34" s="588" t="str">
        <f>IFERROR(VLOOKUP(AD34,Expo!$D$4:$E$35,2,FALSE),"-")</f>
        <v>-</v>
      </c>
      <c r="Y34" s="859" t="str">
        <f>IFERROR(IF(INDEX(Scénarios!$B$2:$AI$232,MATCH($S34,Scénarios!$AI$2:$AI$232,0),MATCH(Y$4,Scénarios!$B$4:$AI$4,0))=0,"",INDEX(Scénarios!$B$2:$AI$232,MATCH($S34,Scénarios!$AI$2:$AI$232,0),MATCH(Y$4,Scénarios!$B$4:$AI$4,0))),"-")</f>
        <v>-</v>
      </c>
      <c r="Z34" s="589" t="str">
        <f>IFERROR(INDEX(Scénarios!$B$2:$AI$232,MATCH($S34,Scénarios!$AI$2:$AI$232,0),MATCH(Z$4,Scénarios!$B$4:$AI$4,0)),"-")</f>
        <v>-</v>
      </c>
      <c r="AA34" s="589" t="str">
        <f>IFERROR(INDEX(Scénarios!$B$2:$AI$232,MATCH($S34,Scénarios!$AI$2:$AI$232,0),MATCH(AA$4,Scénarios!$B$4:$AI$4,0)),"-")</f>
        <v>-</v>
      </c>
      <c r="AB34" s="586" t="str">
        <f>IFERROR(INDEX(Scénarios!$B$2:$AI$232,MATCH($S34,Scénarios!$AI$2:$AI$232,0),MATCH(AB$4,Scénarios!$B$4:$AI$4,0)),"-")</f>
        <v>-</v>
      </c>
      <c r="AC34" s="442" t="str">
        <f>IFERROR(INDEX(Tab_sel!$B$24:$C$27,MATCH($U34,Tab_sel!$C$24:$C$27,0),1),"-")</f>
        <v>-</v>
      </c>
      <c r="AD34" s="443" t="str">
        <f>IFERROR(INDEX(Scénarios!$B$2:$AI$232,MATCH($S34,Scénarios!$AI$2:$AI$232,0),MATCH(AD$4,Scénarios!$B$4:$AI$4,0)),"-")</f>
        <v>-</v>
      </c>
      <c r="AE34" s="460" t="str">
        <f>IFERROR(INDEX(Scénarios!$B$2:$AI$232,MATCH($S34,Scénarios!$AI$2:$AI$232,0),MATCH(AE$4,Scénarios!$B$4:$AI$4,0)),"-")</f>
        <v>-</v>
      </c>
      <c r="AF34" s="460" t="str">
        <f>IFERROR(INDEX(Scénarios!$B$2:$AI$232,MATCH($S34,Scénarios!$AI$2:$AI$232,0),MATCH(AF$4,Scénarios!$B$4:$AI$4,0)),"-")</f>
        <v>-</v>
      </c>
      <c r="AG34" s="460" t="str">
        <f>IFERROR(INDEX(Scénarios!$B$2:$AI$232,MATCH($S34,Scénarios!$AI$2:$AI$232,0),MATCH(AG$4,Scénarios!$B$4:$AI$4,0)),"-")</f>
        <v>-</v>
      </c>
      <c r="AH34" s="460" t="str">
        <f>IFERROR(INDEX(Scénarios!$B$2:$AI$232,MATCH($S34,Scénarios!$AI$2:$AI$232,0),MATCH(AH$4,Scénarios!$B$4:$AI$4,0)),"-")</f>
        <v>-</v>
      </c>
      <c r="AI34" s="443" t="str">
        <f>IFERROR(INDEX(Scénarios!$B$2:$AI$232,MATCH($S34,Scénarios!$AI$2:$AI$232,0),MATCH(AI$4,Scénarios!$B$4:$AI$4,0)),"-")</f>
        <v>-</v>
      </c>
      <c r="AJ34" s="443" t="str">
        <f>IFERROR(INDEX(Param!$A$3:$C$7,MATCH($AI34,Param!$C$3:$C$7,0),1),"-")</f>
        <v>-</v>
      </c>
      <c r="AK34" s="443" t="str">
        <f>IFERROR(INDEX(Scénarios!$B$2:$AI$232,MATCH($S34,Scénarios!$AI$2:$AI$232,0),MATCH(AK$4,Scénarios!$B$4:$AI$4,0)),"-")</f>
        <v>-</v>
      </c>
      <c r="AL34" s="443" t="str">
        <f>IFERROR(INDEX(Scénarios!$B$2:$AI$232,MATCH($S34,Scénarios!$AI$2:$AI$232,0),MATCH(AL$4,Scénarios!$B$4:$AI$4,0)),"-")</f>
        <v>-</v>
      </c>
      <c r="AM34" s="443" t="str">
        <f>IFERROR(INDEX(Param!$A$10:$C$14,MATCH($AL34,Param!$C$10:$C$14,0),1),"-")</f>
        <v>-</v>
      </c>
      <c r="AN34" s="443" t="str">
        <f>IFERROR(IF(INDEX(Scénarios!$B$2:$AI$232,MATCH($S34,Scénarios!$AI$2:$AI$232,0),MATCH(AN$4,Scénarios!$B$4:$AI$4,0))=0,"",INDEX(Scénarios!$B$2:$AI$232,MATCH($S34,Scénarios!$AI$2:$AI$232,0),MATCH(AN$4,Scénarios!$B$4:$AI$4,0))),"-")</f>
        <v>-</v>
      </c>
      <c r="AO34" s="443" t="str">
        <f>IFERROR(INDEX(Scénarios!$B$2:$AI$232,MATCH($S34,Scénarios!$AI$2:$AI$232,0),MATCH(AO$4,Scénarios!$B$4:$AI$4,0)),"-")</f>
        <v>-</v>
      </c>
      <c r="AP34" s="443" t="str">
        <f>IFERROR(INDEX(Param!$A$17:$C$21,MATCH($AO34,Param!$C$17:$C$21,0),1),"-")</f>
        <v>-</v>
      </c>
      <c r="AQ34" s="443" t="str">
        <f>IFERROR(IF(INDEX(Scénarios!$B$2:$AI$232,MATCH($S34,Scénarios!$AI$2:$AI$232,0),MATCH(AQ$4,Scénarios!$B$4:$AI$4,0))=0,"",INDEX(Scénarios!$B$2:$AI$232,MATCH($S34,Scénarios!$AI$2:$AI$232,0),MATCH(AQ$4,Scénarios!$B$4:$AI$4,0))),"-")</f>
        <v>-</v>
      </c>
      <c r="AR34" s="443" t="str">
        <f>IFERROR(INDEX(Scénarios!$B$2:$AI$232,MATCH($S34,Scénarios!$AI$2:$AI$232,0),MATCH(AR$4,Scénarios!$B$4:$AI$4,0)),"-")</f>
        <v>-</v>
      </c>
      <c r="AS34" s="443" t="str">
        <f>IFERROR(INDEX(Param!$A$24:$C$28,MATCH($AR34,Param!$C$24:$C$28,0),1),"-")</f>
        <v>-</v>
      </c>
      <c r="AT34" s="443" t="str">
        <f>IFERROR(IF(INDEX(Scénarios!$B$2:$AI$232,MATCH($S34,Scénarios!$AI$2:$AI$232,0),MATCH(AT$4,Scénarios!$B$4:$AI$4,0))=0,"",INDEX(Scénarios!$B$2:$AI$232,MATCH($S34,Scénarios!$AI$2:$AI$232,0),MATCH(AT$4,Scénarios!$B$4:$AI$4,0))),"-")</f>
        <v>-</v>
      </c>
      <c r="AU34" s="462" t="str">
        <f>IFERROR(INDEX(Scénarios!$B$2:$AI$232,MATCH($S34,Scénarios!$AI$2:$AI$232,0),MATCH(AU$4,Scénarios!$B$4:$AI$4,0)),"-")</f>
        <v>-</v>
      </c>
      <c r="AV34" s="462" t="str">
        <f>IFERROR(INDEX(Scénarios!$B$2:$AI$232,MATCH($S34,Scénarios!$AI$2:$AI$232,0),MATCH(AV$4,Scénarios!$B$4:$AI$4,0)),"-")</f>
        <v>-</v>
      </c>
      <c r="AW34" s="462" t="str">
        <f>IFERROR(INDEX(Scénarios!$B$2:$AI$232,MATCH($S34,Scénarios!$AI$2:$AI$232,0),MATCH(AW$4,Scénarios!$B$4:$AI$4,0)),"-")</f>
        <v>-</v>
      </c>
      <c r="AX34" s="462" t="str">
        <f>IFERROR(INDEX(Scénarios!$B$2:$AI$232,MATCH($S34,Scénarios!$AI$2:$AI$232,0),MATCH(AX$4,Scénarios!$B$4:$AI$4,0)),"-")</f>
        <v>-</v>
      </c>
      <c r="AY34" s="443" t="str">
        <f>IFERROR(INDEX(Scénarios!$B$2:$AI$232,MATCH($S34,Scénarios!$AI$2:$AI$232,0),MATCH(AY$4,Scénarios!$B$4:$AI$4,0)),"-")</f>
        <v>-</v>
      </c>
      <c r="AZ34" s="588" t="str">
        <f>IFERROR(INDEX(Param!$A$31:$C$35,MATCH($AY34,Param!$C$31:$C$35,0),1),"-")</f>
        <v>-</v>
      </c>
      <c r="BA34" s="588" t="str">
        <f>IFERROR(IF(INDEX(Scénarios!$B$2:$AI$232,MATCH($S34,Scénarios!$AI$2:$AI$232,0),MATCH(BA$4,Scénarios!$B$4:$AI$4,0))=0,"",INDEX(Scénarios!$B$2:$AI$232,MATCH($S34,Scénarios!$AI$2:$AI$232,0),MATCH(BA$4,Scénarios!$B$4:$AI$4,0))),"-")</f>
        <v>-</v>
      </c>
      <c r="BB34" s="443" t="str">
        <f>IFERROR(IF(INDEX(Scénarios!$B$2:$AK$237,MATCH($S34,Scénarios!$AI$2:$AI$237,0),MATCH(BB$4,Scénarios!$B$4:$AK$4,0))=0,"",INDEX(Scénarios!$B$2:$AK$237,MATCH($S34,Scénarios!$AI$2:$AI$237,0),MATCH(BB$4,Scénarios!$B$4:$AK$4,0))),"-")</f>
        <v>-</v>
      </c>
      <c r="BC34" s="443" t="str">
        <f>IFERROR(INDEX(Scénarios!$B$2:$AV$232,MATCH($S34,Scénarios!$AI$2:$AI$232,0),MATCH(BC$4,Scénarios!$B$4:$AV$4,0)),"-")</f>
        <v>-</v>
      </c>
    </row>
    <row r="35" spans="15:55" ht="25.5" customHeight="1" x14ac:dyDescent="0.25">
      <c r="O35" s="604" t="str">
        <f t="shared" si="0"/>
        <v>Fiche R31 sans décision :
Veuillez ajouter une décision</v>
      </c>
      <c r="P35" s="609" t="s">
        <v>2188</v>
      </c>
      <c r="Q35" s="605" t="s">
        <v>2067</v>
      </c>
      <c r="R35" s="585" t="s">
        <v>2068</v>
      </c>
      <c r="S35" s="587" t="s">
        <v>2069</v>
      </c>
      <c r="T35" s="588" t="str">
        <f>IFERROR(INDEX(Tab_sel!$B$7:$C$18,MATCH($AB35,Tab_sel!$C$7:$C$18,0),1),"-")</f>
        <v>-</v>
      </c>
      <c r="U35" s="589" t="str">
        <f>IFERROR(INDEX(Scénarios!$B$2:$AI$232,MATCH($S35,Scénarios!$AI$2:$AI$232,0),MATCH(U$4,Scénarios!$B$4:$AI$4,0)),"-")</f>
        <v>-</v>
      </c>
      <c r="V35" s="588" t="str">
        <f>IFERROR(INDEX(Scénarios!$B$2:$AI$232,MATCH($S35,Scénarios!$AI$2:$AI$232,0),MATCH(V$4,Scénarios!$B$4:$AI$4,0)),"-")</f>
        <v>-</v>
      </c>
      <c r="W35" s="588" t="str">
        <f>IFERROR(INDEX(Scénarios!$B$2:$AI$232,MATCH($S35,Scénarios!$AI$2:$AI$232,0),MATCH(W$4,Scénarios!$B$4:$AI$4,0)),"-")</f>
        <v>-</v>
      </c>
      <c r="X35" s="588" t="str">
        <f>IFERROR(VLOOKUP(AD35,Expo!$D$4:$E$35,2,FALSE),"-")</f>
        <v>-</v>
      </c>
      <c r="Y35" s="859" t="str">
        <f>IFERROR(IF(INDEX(Scénarios!$B$2:$AI$232,MATCH($S35,Scénarios!$AI$2:$AI$232,0),MATCH(Y$4,Scénarios!$B$4:$AI$4,0))=0,"",INDEX(Scénarios!$B$2:$AI$232,MATCH($S35,Scénarios!$AI$2:$AI$232,0),MATCH(Y$4,Scénarios!$B$4:$AI$4,0))),"-")</f>
        <v>-</v>
      </c>
      <c r="Z35" s="589" t="str">
        <f>IFERROR(INDEX(Scénarios!$B$2:$AI$232,MATCH($S35,Scénarios!$AI$2:$AI$232,0),MATCH(Z$4,Scénarios!$B$4:$AI$4,0)),"-")</f>
        <v>-</v>
      </c>
      <c r="AA35" s="589" t="str">
        <f>IFERROR(INDEX(Scénarios!$B$2:$AI$232,MATCH($S35,Scénarios!$AI$2:$AI$232,0),MATCH(AA$4,Scénarios!$B$4:$AI$4,0)),"-")</f>
        <v>-</v>
      </c>
      <c r="AB35" s="586" t="str">
        <f>IFERROR(INDEX(Scénarios!$B$2:$AI$232,MATCH($S35,Scénarios!$AI$2:$AI$232,0),MATCH(AB$4,Scénarios!$B$4:$AI$4,0)),"-")</f>
        <v>-</v>
      </c>
      <c r="AC35" s="442" t="str">
        <f>IFERROR(INDEX(Tab_sel!$B$24:$C$27,MATCH($U35,Tab_sel!$C$24:$C$27,0),1),"-")</f>
        <v>-</v>
      </c>
      <c r="AD35" s="443" t="str">
        <f>IFERROR(INDEX(Scénarios!$B$2:$AI$232,MATCH($S35,Scénarios!$AI$2:$AI$232,0),MATCH(AD$4,Scénarios!$B$4:$AI$4,0)),"-")</f>
        <v>-</v>
      </c>
      <c r="AE35" s="460" t="str">
        <f>IFERROR(INDEX(Scénarios!$B$2:$AI$232,MATCH($S35,Scénarios!$AI$2:$AI$232,0),MATCH(AE$4,Scénarios!$B$4:$AI$4,0)),"-")</f>
        <v>-</v>
      </c>
      <c r="AF35" s="460" t="str">
        <f>IFERROR(INDEX(Scénarios!$B$2:$AI$232,MATCH($S35,Scénarios!$AI$2:$AI$232,0),MATCH(AF$4,Scénarios!$B$4:$AI$4,0)),"-")</f>
        <v>-</v>
      </c>
      <c r="AG35" s="460" t="str">
        <f>IFERROR(INDEX(Scénarios!$B$2:$AI$232,MATCH($S35,Scénarios!$AI$2:$AI$232,0),MATCH(AG$4,Scénarios!$B$4:$AI$4,0)),"-")</f>
        <v>-</v>
      </c>
      <c r="AH35" s="460" t="str">
        <f>IFERROR(INDEX(Scénarios!$B$2:$AI$232,MATCH($S35,Scénarios!$AI$2:$AI$232,0),MATCH(AH$4,Scénarios!$B$4:$AI$4,0)),"-")</f>
        <v>-</v>
      </c>
      <c r="AI35" s="443" t="str">
        <f>IFERROR(INDEX(Scénarios!$B$2:$AI$232,MATCH($S35,Scénarios!$AI$2:$AI$232,0),MATCH(AI$4,Scénarios!$B$4:$AI$4,0)),"-")</f>
        <v>-</v>
      </c>
      <c r="AJ35" s="443" t="str">
        <f>IFERROR(INDEX(Param!$A$3:$C$7,MATCH($AI35,Param!$C$3:$C$7,0),1),"-")</f>
        <v>-</v>
      </c>
      <c r="AK35" s="443" t="str">
        <f>IFERROR(INDEX(Scénarios!$B$2:$AI$232,MATCH($S35,Scénarios!$AI$2:$AI$232,0),MATCH(AK$4,Scénarios!$B$4:$AI$4,0)),"-")</f>
        <v>-</v>
      </c>
      <c r="AL35" s="443" t="str">
        <f>IFERROR(INDEX(Scénarios!$B$2:$AI$232,MATCH($S35,Scénarios!$AI$2:$AI$232,0),MATCH(AL$4,Scénarios!$B$4:$AI$4,0)),"-")</f>
        <v>-</v>
      </c>
      <c r="AM35" s="443" t="str">
        <f>IFERROR(INDEX(Param!$A$10:$C$14,MATCH($AL35,Param!$C$10:$C$14,0),1),"-")</f>
        <v>-</v>
      </c>
      <c r="AN35" s="443" t="str">
        <f>IFERROR(IF(INDEX(Scénarios!$B$2:$AI$232,MATCH($S35,Scénarios!$AI$2:$AI$232,0),MATCH(AN$4,Scénarios!$B$4:$AI$4,0))=0,"",INDEX(Scénarios!$B$2:$AI$232,MATCH($S35,Scénarios!$AI$2:$AI$232,0),MATCH(AN$4,Scénarios!$B$4:$AI$4,0))),"-")</f>
        <v>-</v>
      </c>
      <c r="AO35" s="443" t="str">
        <f>IFERROR(INDEX(Scénarios!$B$2:$AI$232,MATCH($S35,Scénarios!$AI$2:$AI$232,0),MATCH(AO$4,Scénarios!$B$4:$AI$4,0)),"-")</f>
        <v>-</v>
      </c>
      <c r="AP35" s="443" t="str">
        <f>IFERROR(INDEX(Param!$A$17:$C$21,MATCH($AO35,Param!$C$17:$C$21,0),1),"-")</f>
        <v>-</v>
      </c>
      <c r="AQ35" s="443" t="str">
        <f>IFERROR(IF(INDEX(Scénarios!$B$2:$AI$232,MATCH($S35,Scénarios!$AI$2:$AI$232,0),MATCH(AQ$4,Scénarios!$B$4:$AI$4,0))=0,"",INDEX(Scénarios!$B$2:$AI$232,MATCH($S35,Scénarios!$AI$2:$AI$232,0),MATCH(AQ$4,Scénarios!$B$4:$AI$4,0))),"-")</f>
        <v>-</v>
      </c>
      <c r="AR35" s="443" t="str">
        <f>IFERROR(INDEX(Scénarios!$B$2:$AI$232,MATCH($S35,Scénarios!$AI$2:$AI$232,0),MATCH(AR$4,Scénarios!$B$4:$AI$4,0)),"-")</f>
        <v>-</v>
      </c>
      <c r="AS35" s="443" t="str">
        <f>IFERROR(INDEX(Param!$A$24:$C$28,MATCH($AR35,Param!$C$24:$C$28,0),1),"-")</f>
        <v>-</v>
      </c>
      <c r="AT35" s="443" t="str">
        <f>IFERROR(IF(INDEX(Scénarios!$B$2:$AI$232,MATCH($S35,Scénarios!$AI$2:$AI$232,0),MATCH(AT$4,Scénarios!$B$4:$AI$4,0))=0,"",INDEX(Scénarios!$B$2:$AI$232,MATCH($S35,Scénarios!$AI$2:$AI$232,0),MATCH(AT$4,Scénarios!$B$4:$AI$4,0))),"-")</f>
        <v>-</v>
      </c>
      <c r="AU35" s="462" t="str">
        <f>IFERROR(INDEX(Scénarios!$B$2:$AI$232,MATCH($S35,Scénarios!$AI$2:$AI$232,0),MATCH(AU$4,Scénarios!$B$4:$AI$4,0)),"-")</f>
        <v>-</v>
      </c>
      <c r="AV35" s="462" t="str">
        <f>IFERROR(INDEX(Scénarios!$B$2:$AI$232,MATCH($S35,Scénarios!$AI$2:$AI$232,0),MATCH(AV$4,Scénarios!$B$4:$AI$4,0)),"-")</f>
        <v>-</v>
      </c>
      <c r="AW35" s="462" t="str">
        <f>IFERROR(INDEX(Scénarios!$B$2:$AI$232,MATCH($S35,Scénarios!$AI$2:$AI$232,0),MATCH(AW$4,Scénarios!$B$4:$AI$4,0)),"-")</f>
        <v>-</v>
      </c>
      <c r="AX35" s="462" t="str">
        <f>IFERROR(INDEX(Scénarios!$B$2:$AI$232,MATCH($S35,Scénarios!$AI$2:$AI$232,0),MATCH(AX$4,Scénarios!$B$4:$AI$4,0)),"-")</f>
        <v>-</v>
      </c>
      <c r="AY35" s="443" t="str">
        <f>IFERROR(INDEX(Scénarios!$B$2:$AI$232,MATCH($S35,Scénarios!$AI$2:$AI$232,0),MATCH(AY$4,Scénarios!$B$4:$AI$4,0)),"-")</f>
        <v>-</v>
      </c>
      <c r="AZ35" s="588" t="str">
        <f>IFERROR(INDEX(Param!$A$31:$C$35,MATCH($AY35,Param!$C$31:$C$35,0),1),"-")</f>
        <v>-</v>
      </c>
      <c r="BA35" s="588" t="str">
        <f>IFERROR(IF(INDEX(Scénarios!$B$2:$AI$232,MATCH($S35,Scénarios!$AI$2:$AI$232,0),MATCH(BA$4,Scénarios!$B$4:$AI$4,0))=0,"",INDEX(Scénarios!$B$2:$AI$232,MATCH($S35,Scénarios!$AI$2:$AI$232,0),MATCH(BA$4,Scénarios!$B$4:$AI$4,0))),"-")</f>
        <v>-</v>
      </c>
      <c r="BB35" s="443" t="str">
        <f>IFERROR(IF(INDEX(Scénarios!$B$2:$AK$237,MATCH($S35,Scénarios!$AI$2:$AI$237,0),MATCH(BB$4,Scénarios!$B$4:$AK$4,0))=0,"",INDEX(Scénarios!$B$2:$AK$237,MATCH($S35,Scénarios!$AI$2:$AI$237,0),MATCH(BB$4,Scénarios!$B$4:$AK$4,0))),"-")</f>
        <v>-</v>
      </c>
      <c r="BC35" s="443" t="str">
        <f>IFERROR(INDEX(Scénarios!$B$2:$AV$232,MATCH($S35,Scénarios!$AI$2:$AI$232,0),MATCH(BC$4,Scénarios!$B$4:$AV$4,0)),"-")</f>
        <v>-</v>
      </c>
    </row>
    <row r="36" spans="15:55" ht="25.5" customHeight="1" x14ac:dyDescent="0.25">
      <c r="O36" s="604" t="str">
        <f t="shared" si="0"/>
        <v>Fiche R32 sans décision :
Veuillez ajouter une décision</v>
      </c>
      <c r="P36" s="609" t="s">
        <v>2188</v>
      </c>
      <c r="Q36" s="605" t="s">
        <v>2067</v>
      </c>
      <c r="R36" s="585" t="s">
        <v>2068</v>
      </c>
      <c r="S36" s="587" t="s">
        <v>2070</v>
      </c>
      <c r="T36" s="588" t="str">
        <f>IFERROR(INDEX(Tab_sel!$B$7:$C$18,MATCH($AB36,Tab_sel!$C$7:$C$18,0),1),"-")</f>
        <v>-</v>
      </c>
      <c r="U36" s="589" t="str">
        <f>IFERROR(INDEX(Scénarios!$B$2:$AI$232,MATCH($S36,Scénarios!$AI$2:$AI$232,0),MATCH(U$4,Scénarios!$B$4:$AI$4,0)),"-")</f>
        <v>-</v>
      </c>
      <c r="V36" s="588" t="str">
        <f>IFERROR(INDEX(Scénarios!$B$2:$AI$232,MATCH($S36,Scénarios!$AI$2:$AI$232,0),MATCH(V$4,Scénarios!$B$4:$AI$4,0)),"-")</f>
        <v>-</v>
      </c>
      <c r="W36" s="588" t="str">
        <f>IFERROR(INDEX(Scénarios!$B$2:$AI$232,MATCH($S36,Scénarios!$AI$2:$AI$232,0),MATCH(W$4,Scénarios!$B$4:$AI$4,0)),"-")</f>
        <v>-</v>
      </c>
      <c r="X36" s="588" t="str">
        <f>IFERROR(VLOOKUP(AD36,Expo!$D$4:$E$35,2,FALSE),"-")</f>
        <v>-</v>
      </c>
      <c r="Y36" s="859" t="str">
        <f>IFERROR(IF(INDEX(Scénarios!$B$2:$AI$232,MATCH($S36,Scénarios!$AI$2:$AI$232,0),MATCH(Y$4,Scénarios!$B$4:$AI$4,0))=0,"",INDEX(Scénarios!$B$2:$AI$232,MATCH($S36,Scénarios!$AI$2:$AI$232,0),MATCH(Y$4,Scénarios!$B$4:$AI$4,0))),"-")</f>
        <v>-</v>
      </c>
      <c r="Z36" s="589" t="str">
        <f>IFERROR(INDEX(Scénarios!$B$2:$AI$232,MATCH($S36,Scénarios!$AI$2:$AI$232,0),MATCH(Z$4,Scénarios!$B$4:$AI$4,0)),"-")</f>
        <v>-</v>
      </c>
      <c r="AA36" s="589" t="str">
        <f>IFERROR(INDEX(Scénarios!$B$2:$AI$232,MATCH($S36,Scénarios!$AI$2:$AI$232,0),MATCH(AA$4,Scénarios!$B$4:$AI$4,0)),"-")</f>
        <v>-</v>
      </c>
      <c r="AB36" s="586" t="str">
        <f>IFERROR(INDEX(Scénarios!$B$2:$AI$232,MATCH($S36,Scénarios!$AI$2:$AI$232,0),MATCH(AB$4,Scénarios!$B$4:$AI$4,0)),"-")</f>
        <v>-</v>
      </c>
      <c r="AC36" s="442" t="str">
        <f>IFERROR(INDEX(Tab_sel!$B$24:$C$27,MATCH($U36,Tab_sel!$C$24:$C$27,0),1),"-")</f>
        <v>-</v>
      </c>
      <c r="AD36" s="443" t="str">
        <f>IFERROR(INDEX(Scénarios!$B$2:$AI$232,MATCH($S36,Scénarios!$AI$2:$AI$232,0),MATCH(AD$4,Scénarios!$B$4:$AI$4,0)),"-")</f>
        <v>-</v>
      </c>
      <c r="AE36" s="460" t="str">
        <f>IFERROR(INDEX(Scénarios!$B$2:$AI$232,MATCH($S36,Scénarios!$AI$2:$AI$232,0),MATCH(AE$4,Scénarios!$B$4:$AI$4,0)),"-")</f>
        <v>-</v>
      </c>
      <c r="AF36" s="460" t="str">
        <f>IFERROR(INDEX(Scénarios!$B$2:$AI$232,MATCH($S36,Scénarios!$AI$2:$AI$232,0),MATCH(AF$4,Scénarios!$B$4:$AI$4,0)),"-")</f>
        <v>-</v>
      </c>
      <c r="AG36" s="460" t="str">
        <f>IFERROR(INDEX(Scénarios!$B$2:$AI$232,MATCH($S36,Scénarios!$AI$2:$AI$232,0),MATCH(AG$4,Scénarios!$B$4:$AI$4,0)),"-")</f>
        <v>-</v>
      </c>
      <c r="AH36" s="460" t="str">
        <f>IFERROR(INDEX(Scénarios!$B$2:$AI$232,MATCH($S36,Scénarios!$AI$2:$AI$232,0),MATCH(AH$4,Scénarios!$B$4:$AI$4,0)),"-")</f>
        <v>-</v>
      </c>
      <c r="AI36" s="443" t="str">
        <f>IFERROR(INDEX(Scénarios!$B$2:$AI$232,MATCH($S36,Scénarios!$AI$2:$AI$232,0),MATCH(AI$4,Scénarios!$B$4:$AI$4,0)),"-")</f>
        <v>-</v>
      </c>
      <c r="AJ36" s="443" t="str">
        <f>IFERROR(INDEX(Param!$A$3:$C$7,MATCH($AI36,Param!$C$3:$C$7,0),1),"-")</f>
        <v>-</v>
      </c>
      <c r="AK36" s="443" t="str">
        <f>IFERROR(INDEX(Scénarios!$B$2:$AI$232,MATCH($S36,Scénarios!$AI$2:$AI$232,0),MATCH(AK$4,Scénarios!$B$4:$AI$4,0)),"-")</f>
        <v>-</v>
      </c>
      <c r="AL36" s="443" t="str">
        <f>IFERROR(INDEX(Scénarios!$B$2:$AI$232,MATCH($S36,Scénarios!$AI$2:$AI$232,0),MATCH(AL$4,Scénarios!$B$4:$AI$4,0)),"-")</f>
        <v>-</v>
      </c>
      <c r="AM36" s="443" t="str">
        <f>IFERROR(INDEX(Param!$A$10:$C$14,MATCH($AL36,Param!$C$10:$C$14,0),1),"-")</f>
        <v>-</v>
      </c>
      <c r="AN36" s="443" t="str">
        <f>IFERROR(IF(INDEX(Scénarios!$B$2:$AI$232,MATCH($S36,Scénarios!$AI$2:$AI$232,0),MATCH(AN$4,Scénarios!$B$4:$AI$4,0))=0,"",INDEX(Scénarios!$B$2:$AI$232,MATCH($S36,Scénarios!$AI$2:$AI$232,0),MATCH(AN$4,Scénarios!$B$4:$AI$4,0))),"-")</f>
        <v>-</v>
      </c>
      <c r="AO36" s="443" t="str">
        <f>IFERROR(INDEX(Scénarios!$B$2:$AI$232,MATCH($S36,Scénarios!$AI$2:$AI$232,0),MATCH(AO$4,Scénarios!$B$4:$AI$4,0)),"-")</f>
        <v>-</v>
      </c>
      <c r="AP36" s="443" t="str">
        <f>IFERROR(INDEX(Param!$A$17:$C$21,MATCH($AO36,Param!$C$17:$C$21,0),1),"-")</f>
        <v>-</v>
      </c>
      <c r="AQ36" s="443" t="str">
        <f>IFERROR(IF(INDEX(Scénarios!$B$2:$AI$232,MATCH($S36,Scénarios!$AI$2:$AI$232,0),MATCH(AQ$4,Scénarios!$B$4:$AI$4,0))=0,"",INDEX(Scénarios!$B$2:$AI$232,MATCH($S36,Scénarios!$AI$2:$AI$232,0),MATCH(AQ$4,Scénarios!$B$4:$AI$4,0))),"-")</f>
        <v>-</v>
      </c>
      <c r="AR36" s="443" t="str">
        <f>IFERROR(INDEX(Scénarios!$B$2:$AI$232,MATCH($S36,Scénarios!$AI$2:$AI$232,0),MATCH(AR$4,Scénarios!$B$4:$AI$4,0)),"-")</f>
        <v>-</v>
      </c>
      <c r="AS36" s="443" t="str">
        <f>IFERROR(INDEX(Param!$A$24:$C$28,MATCH($AR36,Param!$C$24:$C$28,0),1),"-")</f>
        <v>-</v>
      </c>
      <c r="AT36" s="443" t="str">
        <f>IFERROR(IF(INDEX(Scénarios!$B$2:$AI$232,MATCH($S36,Scénarios!$AI$2:$AI$232,0),MATCH(AT$4,Scénarios!$B$4:$AI$4,0))=0,"",INDEX(Scénarios!$B$2:$AI$232,MATCH($S36,Scénarios!$AI$2:$AI$232,0),MATCH(AT$4,Scénarios!$B$4:$AI$4,0))),"-")</f>
        <v>-</v>
      </c>
      <c r="AU36" s="462" t="str">
        <f>IFERROR(INDEX(Scénarios!$B$2:$AI$232,MATCH($S36,Scénarios!$AI$2:$AI$232,0),MATCH(AU$4,Scénarios!$B$4:$AI$4,0)),"-")</f>
        <v>-</v>
      </c>
      <c r="AV36" s="462" t="str">
        <f>IFERROR(INDEX(Scénarios!$B$2:$AI$232,MATCH($S36,Scénarios!$AI$2:$AI$232,0),MATCH(AV$4,Scénarios!$B$4:$AI$4,0)),"-")</f>
        <v>-</v>
      </c>
      <c r="AW36" s="462" t="str">
        <f>IFERROR(INDEX(Scénarios!$B$2:$AI$232,MATCH($S36,Scénarios!$AI$2:$AI$232,0),MATCH(AW$4,Scénarios!$B$4:$AI$4,0)),"-")</f>
        <v>-</v>
      </c>
      <c r="AX36" s="462" t="str">
        <f>IFERROR(INDEX(Scénarios!$B$2:$AI$232,MATCH($S36,Scénarios!$AI$2:$AI$232,0),MATCH(AX$4,Scénarios!$B$4:$AI$4,0)),"-")</f>
        <v>-</v>
      </c>
      <c r="AY36" s="443" t="str">
        <f>IFERROR(INDEX(Scénarios!$B$2:$AI$232,MATCH($S36,Scénarios!$AI$2:$AI$232,0),MATCH(AY$4,Scénarios!$B$4:$AI$4,0)),"-")</f>
        <v>-</v>
      </c>
      <c r="AZ36" s="588" t="str">
        <f>IFERROR(INDEX(Param!$A$31:$C$35,MATCH($AY36,Param!$C$31:$C$35,0),1),"-")</f>
        <v>-</v>
      </c>
      <c r="BA36" s="588" t="str">
        <f>IFERROR(IF(INDEX(Scénarios!$B$2:$AI$232,MATCH($S36,Scénarios!$AI$2:$AI$232,0),MATCH(BA$4,Scénarios!$B$4:$AI$4,0))=0,"",INDEX(Scénarios!$B$2:$AI$232,MATCH($S36,Scénarios!$AI$2:$AI$232,0),MATCH(BA$4,Scénarios!$B$4:$AI$4,0))),"-")</f>
        <v>-</v>
      </c>
      <c r="BB36" s="443" t="str">
        <f>IFERROR(IF(INDEX(Scénarios!$B$2:$AK$237,MATCH($S36,Scénarios!$AI$2:$AI$237,0),MATCH(BB$4,Scénarios!$B$4:$AK$4,0))=0,"",INDEX(Scénarios!$B$2:$AK$237,MATCH($S36,Scénarios!$AI$2:$AI$237,0),MATCH(BB$4,Scénarios!$B$4:$AK$4,0))),"-")</f>
        <v>-</v>
      </c>
      <c r="BC36" s="443" t="str">
        <f>IFERROR(INDEX(Scénarios!$B$2:$AV$232,MATCH($S36,Scénarios!$AI$2:$AI$232,0),MATCH(BC$4,Scénarios!$B$4:$AV$4,0)),"-")</f>
        <v>-</v>
      </c>
    </row>
    <row r="37" spans="15:55" ht="25.5" customHeight="1" x14ac:dyDescent="0.25">
      <c r="O37" s="604" t="str">
        <f t="shared" si="0"/>
        <v>Fiche R33 sans décision :
Veuillez ajouter une décision</v>
      </c>
      <c r="P37" s="609" t="s">
        <v>2188</v>
      </c>
      <c r="Q37" s="605" t="s">
        <v>2067</v>
      </c>
      <c r="R37" s="585" t="s">
        <v>2068</v>
      </c>
      <c r="S37" s="587" t="s">
        <v>2071</v>
      </c>
      <c r="T37" s="588" t="str">
        <f>IFERROR(INDEX(Tab_sel!$B$7:$C$18,MATCH($AB37,Tab_sel!$C$7:$C$18,0),1),"-")</f>
        <v>-</v>
      </c>
      <c r="U37" s="589" t="str">
        <f>IFERROR(INDEX(Scénarios!$B$2:$AI$232,MATCH($S37,Scénarios!$AI$2:$AI$232,0),MATCH(U$4,Scénarios!$B$4:$AI$4,0)),"-")</f>
        <v>-</v>
      </c>
      <c r="V37" s="588" t="str">
        <f>IFERROR(INDEX(Scénarios!$B$2:$AI$232,MATCH($S37,Scénarios!$AI$2:$AI$232,0),MATCH(V$4,Scénarios!$B$4:$AI$4,0)),"-")</f>
        <v>-</v>
      </c>
      <c r="W37" s="588" t="str">
        <f>IFERROR(INDEX(Scénarios!$B$2:$AI$232,MATCH($S37,Scénarios!$AI$2:$AI$232,0),MATCH(W$4,Scénarios!$B$4:$AI$4,0)),"-")</f>
        <v>-</v>
      </c>
      <c r="X37" s="588" t="str">
        <f>IFERROR(VLOOKUP(AD37,Expo!$D$4:$E$35,2,FALSE),"-")</f>
        <v>-</v>
      </c>
      <c r="Y37" s="859" t="str">
        <f>IFERROR(IF(INDEX(Scénarios!$B$2:$AI$232,MATCH($S37,Scénarios!$AI$2:$AI$232,0),MATCH(Y$4,Scénarios!$B$4:$AI$4,0))=0,"",INDEX(Scénarios!$B$2:$AI$232,MATCH($S37,Scénarios!$AI$2:$AI$232,0),MATCH(Y$4,Scénarios!$B$4:$AI$4,0))),"-")</f>
        <v>-</v>
      </c>
      <c r="Z37" s="589" t="str">
        <f>IFERROR(INDEX(Scénarios!$B$2:$AI$232,MATCH($S37,Scénarios!$AI$2:$AI$232,0),MATCH(Z$4,Scénarios!$B$4:$AI$4,0)),"-")</f>
        <v>-</v>
      </c>
      <c r="AA37" s="589" t="str">
        <f>IFERROR(INDEX(Scénarios!$B$2:$AI$232,MATCH($S37,Scénarios!$AI$2:$AI$232,0),MATCH(AA$4,Scénarios!$B$4:$AI$4,0)),"-")</f>
        <v>-</v>
      </c>
      <c r="AB37" s="586" t="str">
        <f>IFERROR(INDEX(Scénarios!$B$2:$AI$232,MATCH($S37,Scénarios!$AI$2:$AI$232,0),MATCH(AB$4,Scénarios!$B$4:$AI$4,0)),"-")</f>
        <v>-</v>
      </c>
      <c r="AC37" s="442" t="str">
        <f>IFERROR(INDEX(Tab_sel!$B$24:$C$27,MATCH($U37,Tab_sel!$C$24:$C$27,0),1),"-")</f>
        <v>-</v>
      </c>
      <c r="AD37" s="443" t="str">
        <f>IFERROR(INDEX(Scénarios!$B$2:$AI$232,MATCH($S37,Scénarios!$AI$2:$AI$232,0),MATCH(AD$4,Scénarios!$B$4:$AI$4,0)),"-")</f>
        <v>-</v>
      </c>
      <c r="AE37" s="460" t="str">
        <f>IFERROR(INDEX(Scénarios!$B$2:$AI$232,MATCH($S37,Scénarios!$AI$2:$AI$232,0),MATCH(AE$4,Scénarios!$B$4:$AI$4,0)),"-")</f>
        <v>-</v>
      </c>
      <c r="AF37" s="460" t="str">
        <f>IFERROR(INDEX(Scénarios!$B$2:$AI$232,MATCH($S37,Scénarios!$AI$2:$AI$232,0),MATCH(AF$4,Scénarios!$B$4:$AI$4,0)),"-")</f>
        <v>-</v>
      </c>
      <c r="AG37" s="460" t="str">
        <f>IFERROR(INDEX(Scénarios!$B$2:$AI$232,MATCH($S37,Scénarios!$AI$2:$AI$232,0),MATCH(AG$4,Scénarios!$B$4:$AI$4,0)),"-")</f>
        <v>-</v>
      </c>
      <c r="AH37" s="460" t="str">
        <f>IFERROR(INDEX(Scénarios!$B$2:$AI$232,MATCH($S37,Scénarios!$AI$2:$AI$232,0),MATCH(AH$4,Scénarios!$B$4:$AI$4,0)),"-")</f>
        <v>-</v>
      </c>
      <c r="AI37" s="443" t="str">
        <f>IFERROR(INDEX(Scénarios!$B$2:$AI$232,MATCH($S37,Scénarios!$AI$2:$AI$232,0),MATCH(AI$4,Scénarios!$B$4:$AI$4,0)),"-")</f>
        <v>-</v>
      </c>
      <c r="AJ37" s="443" t="str">
        <f>IFERROR(INDEX(Param!$A$3:$C$7,MATCH($AI37,Param!$C$3:$C$7,0),1),"-")</f>
        <v>-</v>
      </c>
      <c r="AK37" s="443" t="str">
        <f>IFERROR(INDEX(Scénarios!$B$2:$AI$232,MATCH($S37,Scénarios!$AI$2:$AI$232,0),MATCH(AK$4,Scénarios!$B$4:$AI$4,0)),"-")</f>
        <v>-</v>
      </c>
      <c r="AL37" s="443" t="str">
        <f>IFERROR(INDEX(Scénarios!$B$2:$AI$232,MATCH($S37,Scénarios!$AI$2:$AI$232,0),MATCH(AL$4,Scénarios!$B$4:$AI$4,0)),"-")</f>
        <v>-</v>
      </c>
      <c r="AM37" s="443" t="str">
        <f>IFERROR(INDEX(Param!$A$10:$C$14,MATCH($AL37,Param!$C$10:$C$14,0),1),"-")</f>
        <v>-</v>
      </c>
      <c r="AN37" s="443" t="str">
        <f>IFERROR(IF(INDEX(Scénarios!$B$2:$AI$232,MATCH($S37,Scénarios!$AI$2:$AI$232,0),MATCH(AN$4,Scénarios!$B$4:$AI$4,0))=0,"",INDEX(Scénarios!$B$2:$AI$232,MATCH($S37,Scénarios!$AI$2:$AI$232,0),MATCH(AN$4,Scénarios!$B$4:$AI$4,0))),"-")</f>
        <v>-</v>
      </c>
      <c r="AO37" s="443" t="str">
        <f>IFERROR(INDEX(Scénarios!$B$2:$AI$232,MATCH($S37,Scénarios!$AI$2:$AI$232,0),MATCH(AO$4,Scénarios!$B$4:$AI$4,0)),"-")</f>
        <v>-</v>
      </c>
      <c r="AP37" s="443" t="str">
        <f>IFERROR(INDEX(Param!$A$17:$C$21,MATCH($AO37,Param!$C$17:$C$21,0),1),"-")</f>
        <v>-</v>
      </c>
      <c r="AQ37" s="443" t="str">
        <f>IFERROR(IF(INDEX(Scénarios!$B$2:$AI$232,MATCH($S37,Scénarios!$AI$2:$AI$232,0),MATCH(AQ$4,Scénarios!$B$4:$AI$4,0))=0,"",INDEX(Scénarios!$B$2:$AI$232,MATCH($S37,Scénarios!$AI$2:$AI$232,0),MATCH(AQ$4,Scénarios!$B$4:$AI$4,0))),"-")</f>
        <v>-</v>
      </c>
      <c r="AR37" s="443" t="str">
        <f>IFERROR(INDEX(Scénarios!$B$2:$AI$232,MATCH($S37,Scénarios!$AI$2:$AI$232,0),MATCH(AR$4,Scénarios!$B$4:$AI$4,0)),"-")</f>
        <v>-</v>
      </c>
      <c r="AS37" s="443" t="str">
        <f>IFERROR(INDEX(Param!$A$24:$C$28,MATCH($AR37,Param!$C$24:$C$28,0),1),"-")</f>
        <v>-</v>
      </c>
      <c r="AT37" s="443" t="str">
        <f>IFERROR(IF(INDEX(Scénarios!$B$2:$AI$232,MATCH($S37,Scénarios!$AI$2:$AI$232,0),MATCH(AT$4,Scénarios!$B$4:$AI$4,0))=0,"",INDEX(Scénarios!$B$2:$AI$232,MATCH($S37,Scénarios!$AI$2:$AI$232,0),MATCH(AT$4,Scénarios!$B$4:$AI$4,0))),"-")</f>
        <v>-</v>
      </c>
      <c r="AU37" s="462" t="str">
        <f>IFERROR(INDEX(Scénarios!$B$2:$AI$232,MATCH($S37,Scénarios!$AI$2:$AI$232,0),MATCH(AU$4,Scénarios!$B$4:$AI$4,0)),"-")</f>
        <v>-</v>
      </c>
      <c r="AV37" s="462" t="str">
        <f>IFERROR(INDEX(Scénarios!$B$2:$AI$232,MATCH($S37,Scénarios!$AI$2:$AI$232,0),MATCH(AV$4,Scénarios!$B$4:$AI$4,0)),"-")</f>
        <v>-</v>
      </c>
      <c r="AW37" s="462" t="str">
        <f>IFERROR(INDEX(Scénarios!$B$2:$AI$232,MATCH($S37,Scénarios!$AI$2:$AI$232,0),MATCH(AW$4,Scénarios!$B$4:$AI$4,0)),"-")</f>
        <v>-</v>
      </c>
      <c r="AX37" s="462" t="str">
        <f>IFERROR(INDEX(Scénarios!$B$2:$AI$232,MATCH($S37,Scénarios!$AI$2:$AI$232,0),MATCH(AX$4,Scénarios!$B$4:$AI$4,0)),"-")</f>
        <v>-</v>
      </c>
      <c r="AY37" s="443" t="str">
        <f>IFERROR(INDEX(Scénarios!$B$2:$AI$232,MATCH($S37,Scénarios!$AI$2:$AI$232,0),MATCH(AY$4,Scénarios!$B$4:$AI$4,0)),"-")</f>
        <v>-</v>
      </c>
      <c r="AZ37" s="588" t="str">
        <f>IFERROR(INDEX(Param!$A$31:$C$35,MATCH($AY37,Param!$C$31:$C$35,0),1),"-")</f>
        <v>-</v>
      </c>
      <c r="BA37" s="588" t="str">
        <f>IFERROR(IF(INDEX(Scénarios!$B$2:$AI$232,MATCH($S37,Scénarios!$AI$2:$AI$232,0),MATCH(BA$4,Scénarios!$B$4:$AI$4,0))=0,"",INDEX(Scénarios!$B$2:$AI$232,MATCH($S37,Scénarios!$AI$2:$AI$232,0),MATCH(BA$4,Scénarios!$B$4:$AI$4,0))),"-")</f>
        <v>-</v>
      </c>
      <c r="BB37" s="443" t="str">
        <f>IFERROR(IF(INDEX(Scénarios!$B$2:$AK$237,MATCH($S37,Scénarios!$AI$2:$AI$237,0),MATCH(BB$4,Scénarios!$B$4:$AK$4,0))=0,"",INDEX(Scénarios!$B$2:$AK$237,MATCH($S37,Scénarios!$AI$2:$AI$237,0),MATCH(BB$4,Scénarios!$B$4:$AK$4,0))),"-")</f>
        <v>-</v>
      </c>
      <c r="BC37" s="443" t="str">
        <f>IFERROR(INDEX(Scénarios!$B$2:$AV$232,MATCH($S37,Scénarios!$AI$2:$AI$232,0),MATCH(BC$4,Scénarios!$B$4:$AV$4,0)),"-")</f>
        <v>-</v>
      </c>
    </row>
    <row r="38" spans="15:55" ht="25.5" customHeight="1" x14ac:dyDescent="0.25">
      <c r="O38" s="604" t="str">
        <f t="shared" si="0"/>
        <v>Fiche R34 sans décision :
Veuillez ajouter une décision</v>
      </c>
      <c r="P38" s="609" t="s">
        <v>2188</v>
      </c>
      <c r="Q38" s="605" t="s">
        <v>2067</v>
      </c>
      <c r="R38" s="585" t="s">
        <v>2068</v>
      </c>
      <c r="S38" s="587" t="s">
        <v>2072</v>
      </c>
      <c r="T38" s="588" t="str">
        <f>IFERROR(INDEX(Tab_sel!$B$7:$C$18,MATCH($AB38,Tab_sel!$C$7:$C$18,0),1),"-")</f>
        <v>-</v>
      </c>
      <c r="U38" s="589" t="str">
        <f>IFERROR(INDEX(Scénarios!$B$2:$AI$232,MATCH($S38,Scénarios!$AI$2:$AI$232,0),MATCH(U$4,Scénarios!$B$4:$AI$4,0)),"-")</f>
        <v>-</v>
      </c>
      <c r="V38" s="588" t="str">
        <f>IFERROR(INDEX(Scénarios!$B$2:$AI$232,MATCH($S38,Scénarios!$AI$2:$AI$232,0),MATCH(V$4,Scénarios!$B$4:$AI$4,0)),"-")</f>
        <v>-</v>
      </c>
      <c r="W38" s="588" t="str">
        <f>IFERROR(INDEX(Scénarios!$B$2:$AI$232,MATCH($S38,Scénarios!$AI$2:$AI$232,0),MATCH(W$4,Scénarios!$B$4:$AI$4,0)),"-")</f>
        <v>-</v>
      </c>
      <c r="X38" s="588" t="str">
        <f>IFERROR(VLOOKUP(AD38,Expo!$D$4:$E$35,2,FALSE),"-")</f>
        <v>-</v>
      </c>
      <c r="Y38" s="859" t="str">
        <f>IFERROR(IF(INDEX(Scénarios!$B$2:$AI$232,MATCH($S38,Scénarios!$AI$2:$AI$232,0),MATCH(Y$4,Scénarios!$B$4:$AI$4,0))=0,"",INDEX(Scénarios!$B$2:$AI$232,MATCH($S38,Scénarios!$AI$2:$AI$232,0),MATCH(Y$4,Scénarios!$B$4:$AI$4,0))),"-")</f>
        <v>-</v>
      </c>
      <c r="Z38" s="589" t="str">
        <f>IFERROR(INDEX(Scénarios!$B$2:$AI$232,MATCH($S38,Scénarios!$AI$2:$AI$232,0),MATCH(Z$4,Scénarios!$B$4:$AI$4,0)),"-")</f>
        <v>-</v>
      </c>
      <c r="AA38" s="589" t="str">
        <f>IFERROR(INDEX(Scénarios!$B$2:$AI$232,MATCH($S38,Scénarios!$AI$2:$AI$232,0),MATCH(AA$4,Scénarios!$B$4:$AI$4,0)),"-")</f>
        <v>-</v>
      </c>
      <c r="AB38" s="586" t="str">
        <f>IFERROR(INDEX(Scénarios!$B$2:$AI$232,MATCH($S38,Scénarios!$AI$2:$AI$232,0),MATCH(AB$4,Scénarios!$B$4:$AI$4,0)),"-")</f>
        <v>-</v>
      </c>
      <c r="AC38" s="442" t="str">
        <f>IFERROR(INDEX(Tab_sel!$B$24:$C$27,MATCH($U38,Tab_sel!$C$24:$C$27,0),1),"-")</f>
        <v>-</v>
      </c>
      <c r="AD38" s="443" t="str">
        <f>IFERROR(INDEX(Scénarios!$B$2:$AI$232,MATCH($S38,Scénarios!$AI$2:$AI$232,0),MATCH(AD$4,Scénarios!$B$4:$AI$4,0)),"-")</f>
        <v>-</v>
      </c>
      <c r="AE38" s="460" t="str">
        <f>IFERROR(INDEX(Scénarios!$B$2:$AI$232,MATCH($S38,Scénarios!$AI$2:$AI$232,0),MATCH(AE$4,Scénarios!$B$4:$AI$4,0)),"-")</f>
        <v>-</v>
      </c>
      <c r="AF38" s="460" t="str">
        <f>IFERROR(INDEX(Scénarios!$B$2:$AI$232,MATCH($S38,Scénarios!$AI$2:$AI$232,0),MATCH(AF$4,Scénarios!$B$4:$AI$4,0)),"-")</f>
        <v>-</v>
      </c>
      <c r="AG38" s="460" t="str">
        <f>IFERROR(INDEX(Scénarios!$B$2:$AI$232,MATCH($S38,Scénarios!$AI$2:$AI$232,0),MATCH(AG$4,Scénarios!$B$4:$AI$4,0)),"-")</f>
        <v>-</v>
      </c>
      <c r="AH38" s="460" t="str">
        <f>IFERROR(INDEX(Scénarios!$B$2:$AI$232,MATCH($S38,Scénarios!$AI$2:$AI$232,0),MATCH(AH$4,Scénarios!$B$4:$AI$4,0)),"-")</f>
        <v>-</v>
      </c>
      <c r="AI38" s="443" t="str">
        <f>IFERROR(INDEX(Scénarios!$B$2:$AI$232,MATCH($S38,Scénarios!$AI$2:$AI$232,0),MATCH(AI$4,Scénarios!$B$4:$AI$4,0)),"-")</f>
        <v>-</v>
      </c>
      <c r="AJ38" s="443" t="str">
        <f>IFERROR(INDEX(Param!$A$3:$C$7,MATCH($AI38,Param!$C$3:$C$7,0),1),"-")</f>
        <v>-</v>
      </c>
      <c r="AK38" s="443" t="str">
        <f>IFERROR(INDEX(Scénarios!$B$2:$AI$232,MATCH($S38,Scénarios!$AI$2:$AI$232,0),MATCH(AK$4,Scénarios!$B$4:$AI$4,0)),"-")</f>
        <v>-</v>
      </c>
      <c r="AL38" s="443" t="str">
        <f>IFERROR(INDEX(Scénarios!$B$2:$AI$232,MATCH($S38,Scénarios!$AI$2:$AI$232,0),MATCH(AL$4,Scénarios!$B$4:$AI$4,0)),"-")</f>
        <v>-</v>
      </c>
      <c r="AM38" s="443" t="str">
        <f>IFERROR(INDEX(Param!$A$10:$C$14,MATCH($AL38,Param!$C$10:$C$14,0),1),"-")</f>
        <v>-</v>
      </c>
      <c r="AN38" s="443" t="str">
        <f>IFERROR(IF(INDEX(Scénarios!$B$2:$AI$232,MATCH($S38,Scénarios!$AI$2:$AI$232,0),MATCH(AN$4,Scénarios!$B$4:$AI$4,0))=0,"",INDEX(Scénarios!$B$2:$AI$232,MATCH($S38,Scénarios!$AI$2:$AI$232,0),MATCH(AN$4,Scénarios!$B$4:$AI$4,0))),"-")</f>
        <v>-</v>
      </c>
      <c r="AO38" s="443" t="str">
        <f>IFERROR(INDEX(Scénarios!$B$2:$AI$232,MATCH($S38,Scénarios!$AI$2:$AI$232,0),MATCH(AO$4,Scénarios!$B$4:$AI$4,0)),"-")</f>
        <v>-</v>
      </c>
      <c r="AP38" s="443" t="str">
        <f>IFERROR(INDEX(Param!$A$17:$C$21,MATCH($AO38,Param!$C$17:$C$21,0),1),"-")</f>
        <v>-</v>
      </c>
      <c r="AQ38" s="443" t="str">
        <f>IFERROR(IF(INDEX(Scénarios!$B$2:$AI$232,MATCH($S38,Scénarios!$AI$2:$AI$232,0),MATCH(AQ$4,Scénarios!$B$4:$AI$4,0))=0,"",INDEX(Scénarios!$B$2:$AI$232,MATCH($S38,Scénarios!$AI$2:$AI$232,0),MATCH(AQ$4,Scénarios!$B$4:$AI$4,0))),"-")</f>
        <v>-</v>
      </c>
      <c r="AR38" s="443" t="str">
        <f>IFERROR(INDEX(Scénarios!$B$2:$AI$232,MATCH($S38,Scénarios!$AI$2:$AI$232,0),MATCH(AR$4,Scénarios!$B$4:$AI$4,0)),"-")</f>
        <v>-</v>
      </c>
      <c r="AS38" s="443" t="str">
        <f>IFERROR(INDEX(Param!$A$24:$C$28,MATCH($AR38,Param!$C$24:$C$28,0),1),"-")</f>
        <v>-</v>
      </c>
      <c r="AT38" s="443" t="str">
        <f>IFERROR(IF(INDEX(Scénarios!$B$2:$AI$232,MATCH($S38,Scénarios!$AI$2:$AI$232,0),MATCH(AT$4,Scénarios!$B$4:$AI$4,0))=0,"",INDEX(Scénarios!$B$2:$AI$232,MATCH($S38,Scénarios!$AI$2:$AI$232,0),MATCH(AT$4,Scénarios!$B$4:$AI$4,0))),"-")</f>
        <v>-</v>
      </c>
      <c r="AU38" s="462" t="str">
        <f>IFERROR(INDEX(Scénarios!$B$2:$AI$232,MATCH($S38,Scénarios!$AI$2:$AI$232,0),MATCH(AU$4,Scénarios!$B$4:$AI$4,0)),"-")</f>
        <v>-</v>
      </c>
      <c r="AV38" s="462" t="str">
        <f>IFERROR(INDEX(Scénarios!$B$2:$AI$232,MATCH($S38,Scénarios!$AI$2:$AI$232,0),MATCH(AV$4,Scénarios!$B$4:$AI$4,0)),"-")</f>
        <v>-</v>
      </c>
      <c r="AW38" s="462" t="str">
        <f>IFERROR(INDEX(Scénarios!$B$2:$AI$232,MATCH($S38,Scénarios!$AI$2:$AI$232,0),MATCH(AW$4,Scénarios!$B$4:$AI$4,0)),"-")</f>
        <v>-</v>
      </c>
      <c r="AX38" s="462" t="str">
        <f>IFERROR(INDEX(Scénarios!$B$2:$AI$232,MATCH($S38,Scénarios!$AI$2:$AI$232,0),MATCH(AX$4,Scénarios!$B$4:$AI$4,0)),"-")</f>
        <v>-</v>
      </c>
      <c r="AY38" s="443" t="str">
        <f>IFERROR(INDEX(Scénarios!$B$2:$AI$232,MATCH($S38,Scénarios!$AI$2:$AI$232,0),MATCH(AY$4,Scénarios!$B$4:$AI$4,0)),"-")</f>
        <v>-</v>
      </c>
      <c r="AZ38" s="588" t="str">
        <f>IFERROR(INDEX(Param!$A$31:$C$35,MATCH($AY38,Param!$C$31:$C$35,0),1),"-")</f>
        <v>-</v>
      </c>
      <c r="BA38" s="588" t="str">
        <f>IFERROR(IF(INDEX(Scénarios!$B$2:$AI$232,MATCH($S38,Scénarios!$AI$2:$AI$232,0),MATCH(BA$4,Scénarios!$B$4:$AI$4,0))=0,"",INDEX(Scénarios!$B$2:$AI$232,MATCH($S38,Scénarios!$AI$2:$AI$232,0),MATCH(BA$4,Scénarios!$B$4:$AI$4,0))),"-")</f>
        <v>-</v>
      </c>
      <c r="BB38" s="443" t="str">
        <f>IFERROR(IF(INDEX(Scénarios!$B$2:$AK$237,MATCH($S38,Scénarios!$AI$2:$AI$237,0),MATCH(BB$4,Scénarios!$B$4:$AK$4,0))=0,"",INDEX(Scénarios!$B$2:$AK$237,MATCH($S38,Scénarios!$AI$2:$AI$237,0),MATCH(BB$4,Scénarios!$B$4:$AK$4,0))),"-")</f>
        <v>-</v>
      </c>
      <c r="BC38" s="443" t="str">
        <f>IFERROR(INDEX(Scénarios!$B$2:$AV$232,MATCH($S38,Scénarios!$AI$2:$AI$232,0),MATCH(BC$4,Scénarios!$B$4:$AV$4,0)),"-")</f>
        <v>-</v>
      </c>
    </row>
    <row r="39" spans="15:55" ht="25.5" customHeight="1" x14ac:dyDescent="0.25">
      <c r="O39" s="604" t="str">
        <f t="shared" si="0"/>
        <v>Fiche R35 sans décision :
Veuillez ajouter une décision</v>
      </c>
      <c r="P39" s="609" t="s">
        <v>2188</v>
      </c>
      <c r="Q39" s="605" t="s">
        <v>2067</v>
      </c>
      <c r="R39" s="585" t="s">
        <v>2068</v>
      </c>
      <c r="S39" s="587" t="s">
        <v>2073</v>
      </c>
      <c r="T39" s="588" t="str">
        <f>IFERROR(INDEX(Tab_sel!$B$7:$C$18,MATCH($AB39,Tab_sel!$C$7:$C$18,0),1),"-")</f>
        <v>-</v>
      </c>
      <c r="U39" s="589" t="str">
        <f>IFERROR(INDEX(Scénarios!$B$2:$AI$232,MATCH($S39,Scénarios!$AI$2:$AI$232,0),MATCH(U$4,Scénarios!$B$4:$AI$4,0)),"-")</f>
        <v>-</v>
      </c>
      <c r="V39" s="588" t="str">
        <f>IFERROR(INDEX(Scénarios!$B$2:$AI$232,MATCH($S39,Scénarios!$AI$2:$AI$232,0),MATCH(V$4,Scénarios!$B$4:$AI$4,0)),"-")</f>
        <v>-</v>
      </c>
      <c r="W39" s="588" t="str">
        <f>IFERROR(INDEX(Scénarios!$B$2:$AI$232,MATCH($S39,Scénarios!$AI$2:$AI$232,0),MATCH(W$4,Scénarios!$B$4:$AI$4,0)),"-")</f>
        <v>-</v>
      </c>
      <c r="X39" s="588" t="str">
        <f>IFERROR(VLOOKUP(AD39,Expo!$D$4:$E$35,2,FALSE),"-")</f>
        <v>-</v>
      </c>
      <c r="Y39" s="859" t="str">
        <f>IFERROR(IF(INDEX(Scénarios!$B$2:$AI$232,MATCH($S39,Scénarios!$AI$2:$AI$232,0),MATCH(Y$4,Scénarios!$B$4:$AI$4,0))=0,"",INDEX(Scénarios!$B$2:$AI$232,MATCH($S39,Scénarios!$AI$2:$AI$232,0),MATCH(Y$4,Scénarios!$B$4:$AI$4,0))),"-")</f>
        <v>-</v>
      </c>
      <c r="Z39" s="589" t="str">
        <f>IFERROR(INDEX(Scénarios!$B$2:$AI$232,MATCH($S39,Scénarios!$AI$2:$AI$232,0),MATCH(Z$4,Scénarios!$B$4:$AI$4,0)),"-")</f>
        <v>-</v>
      </c>
      <c r="AA39" s="589" t="str">
        <f>IFERROR(INDEX(Scénarios!$B$2:$AI$232,MATCH($S39,Scénarios!$AI$2:$AI$232,0),MATCH(AA$4,Scénarios!$B$4:$AI$4,0)),"-")</f>
        <v>-</v>
      </c>
      <c r="AB39" s="586" t="str">
        <f>IFERROR(INDEX(Scénarios!$B$2:$AI$232,MATCH($S39,Scénarios!$AI$2:$AI$232,0),MATCH(AB$4,Scénarios!$B$4:$AI$4,0)),"-")</f>
        <v>-</v>
      </c>
      <c r="AC39" s="442" t="str">
        <f>IFERROR(INDEX(Tab_sel!$B$24:$C$27,MATCH($U39,Tab_sel!$C$24:$C$27,0),1),"-")</f>
        <v>-</v>
      </c>
      <c r="AD39" s="443" t="str">
        <f>IFERROR(INDEX(Scénarios!$B$2:$AI$232,MATCH($S39,Scénarios!$AI$2:$AI$232,0),MATCH(AD$4,Scénarios!$B$4:$AI$4,0)),"-")</f>
        <v>-</v>
      </c>
      <c r="AE39" s="460" t="str">
        <f>IFERROR(INDEX(Scénarios!$B$2:$AI$232,MATCH($S39,Scénarios!$AI$2:$AI$232,0),MATCH(AE$4,Scénarios!$B$4:$AI$4,0)),"-")</f>
        <v>-</v>
      </c>
      <c r="AF39" s="460" t="str">
        <f>IFERROR(INDEX(Scénarios!$B$2:$AI$232,MATCH($S39,Scénarios!$AI$2:$AI$232,0),MATCH(AF$4,Scénarios!$B$4:$AI$4,0)),"-")</f>
        <v>-</v>
      </c>
      <c r="AG39" s="460" t="str">
        <f>IFERROR(INDEX(Scénarios!$B$2:$AI$232,MATCH($S39,Scénarios!$AI$2:$AI$232,0),MATCH(AG$4,Scénarios!$B$4:$AI$4,0)),"-")</f>
        <v>-</v>
      </c>
      <c r="AH39" s="460" t="str">
        <f>IFERROR(INDEX(Scénarios!$B$2:$AI$232,MATCH($S39,Scénarios!$AI$2:$AI$232,0),MATCH(AH$4,Scénarios!$B$4:$AI$4,0)),"-")</f>
        <v>-</v>
      </c>
      <c r="AI39" s="443" t="str">
        <f>IFERROR(INDEX(Scénarios!$B$2:$AI$232,MATCH($S39,Scénarios!$AI$2:$AI$232,0),MATCH(AI$4,Scénarios!$B$4:$AI$4,0)),"-")</f>
        <v>-</v>
      </c>
      <c r="AJ39" s="443" t="str">
        <f>IFERROR(INDEX(Param!$A$3:$C$7,MATCH($AI39,Param!$C$3:$C$7,0),1),"-")</f>
        <v>-</v>
      </c>
      <c r="AK39" s="443" t="str">
        <f>IFERROR(INDEX(Scénarios!$B$2:$AI$232,MATCH($S39,Scénarios!$AI$2:$AI$232,0),MATCH(AK$4,Scénarios!$B$4:$AI$4,0)),"-")</f>
        <v>-</v>
      </c>
      <c r="AL39" s="443" t="str">
        <f>IFERROR(INDEX(Scénarios!$B$2:$AI$232,MATCH($S39,Scénarios!$AI$2:$AI$232,0),MATCH(AL$4,Scénarios!$B$4:$AI$4,0)),"-")</f>
        <v>-</v>
      </c>
      <c r="AM39" s="443" t="str">
        <f>IFERROR(INDEX(Param!$A$10:$C$14,MATCH($AL39,Param!$C$10:$C$14,0),1),"-")</f>
        <v>-</v>
      </c>
      <c r="AN39" s="443" t="str">
        <f>IFERROR(IF(INDEX(Scénarios!$B$2:$AI$232,MATCH($S39,Scénarios!$AI$2:$AI$232,0),MATCH(AN$4,Scénarios!$B$4:$AI$4,0))=0,"",INDEX(Scénarios!$B$2:$AI$232,MATCH($S39,Scénarios!$AI$2:$AI$232,0),MATCH(AN$4,Scénarios!$B$4:$AI$4,0))),"-")</f>
        <v>-</v>
      </c>
      <c r="AO39" s="443" t="str">
        <f>IFERROR(INDEX(Scénarios!$B$2:$AI$232,MATCH($S39,Scénarios!$AI$2:$AI$232,0),MATCH(AO$4,Scénarios!$B$4:$AI$4,0)),"-")</f>
        <v>-</v>
      </c>
      <c r="AP39" s="443" t="str">
        <f>IFERROR(INDEX(Param!$A$17:$C$21,MATCH($AO39,Param!$C$17:$C$21,0),1),"-")</f>
        <v>-</v>
      </c>
      <c r="AQ39" s="443" t="str">
        <f>IFERROR(IF(INDEX(Scénarios!$B$2:$AI$232,MATCH($S39,Scénarios!$AI$2:$AI$232,0),MATCH(AQ$4,Scénarios!$B$4:$AI$4,0))=0,"",INDEX(Scénarios!$B$2:$AI$232,MATCH($S39,Scénarios!$AI$2:$AI$232,0),MATCH(AQ$4,Scénarios!$B$4:$AI$4,0))),"-")</f>
        <v>-</v>
      </c>
      <c r="AR39" s="443" t="str">
        <f>IFERROR(INDEX(Scénarios!$B$2:$AI$232,MATCH($S39,Scénarios!$AI$2:$AI$232,0),MATCH(AR$4,Scénarios!$B$4:$AI$4,0)),"-")</f>
        <v>-</v>
      </c>
      <c r="AS39" s="443" t="str">
        <f>IFERROR(INDEX(Param!$A$24:$C$28,MATCH($AR39,Param!$C$24:$C$28,0),1),"-")</f>
        <v>-</v>
      </c>
      <c r="AT39" s="443" t="str">
        <f>IFERROR(IF(INDEX(Scénarios!$B$2:$AI$232,MATCH($S39,Scénarios!$AI$2:$AI$232,0),MATCH(AT$4,Scénarios!$B$4:$AI$4,0))=0,"",INDEX(Scénarios!$B$2:$AI$232,MATCH($S39,Scénarios!$AI$2:$AI$232,0),MATCH(AT$4,Scénarios!$B$4:$AI$4,0))),"-")</f>
        <v>-</v>
      </c>
      <c r="AU39" s="462" t="str">
        <f>IFERROR(INDEX(Scénarios!$B$2:$AI$232,MATCH($S39,Scénarios!$AI$2:$AI$232,0),MATCH(AU$4,Scénarios!$B$4:$AI$4,0)),"-")</f>
        <v>-</v>
      </c>
      <c r="AV39" s="462" t="str">
        <f>IFERROR(INDEX(Scénarios!$B$2:$AI$232,MATCH($S39,Scénarios!$AI$2:$AI$232,0),MATCH(AV$4,Scénarios!$B$4:$AI$4,0)),"-")</f>
        <v>-</v>
      </c>
      <c r="AW39" s="462" t="str">
        <f>IFERROR(INDEX(Scénarios!$B$2:$AI$232,MATCH($S39,Scénarios!$AI$2:$AI$232,0),MATCH(AW$4,Scénarios!$B$4:$AI$4,0)),"-")</f>
        <v>-</v>
      </c>
      <c r="AX39" s="462" t="str">
        <f>IFERROR(INDEX(Scénarios!$B$2:$AI$232,MATCH($S39,Scénarios!$AI$2:$AI$232,0),MATCH(AX$4,Scénarios!$B$4:$AI$4,0)),"-")</f>
        <v>-</v>
      </c>
      <c r="AY39" s="443" t="str">
        <f>IFERROR(INDEX(Scénarios!$B$2:$AI$232,MATCH($S39,Scénarios!$AI$2:$AI$232,0),MATCH(AY$4,Scénarios!$B$4:$AI$4,0)),"-")</f>
        <v>-</v>
      </c>
      <c r="AZ39" s="588" t="str">
        <f>IFERROR(INDEX(Param!$A$31:$C$35,MATCH($AY39,Param!$C$31:$C$35,0),1),"-")</f>
        <v>-</v>
      </c>
      <c r="BA39" s="588" t="str">
        <f>IFERROR(IF(INDEX(Scénarios!$B$2:$AI$232,MATCH($S39,Scénarios!$AI$2:$AI$232,0),MATCH(BA$4,Scénarios!$B$4:$AI$4,0))=0,"",INDEX(Scénarios!$B$2:$AI$232,MATCH($S39,Scénarios!$AI$2:$AI$232,0),MATCH(BA$4,Scénarios!$B$4:$AI$4,0))),"-")</f>
        <v>-</v>
      </c>
      <c r="BB39" s="443" t="str">
        <f>IFERROR(IF(INDEX(Scénarios!$B$2:$AK$237,MATCH($S39,Scénarios!$AI$2:$AI$237,0),MATCH(BB$4,Scénarios!$B$4:$AK$4,0))=0,"",INDEX(Scénarios!$B$2:$AK$237,MATCH($S39,Scénarios!$AI$2:$AI$237,0),MATCH(BB$4,Scénarios!$B$4:$AK$4,0))),"-")</f>
        <v>-</v>
      </c>
      <c r="BC39" s="443" t="str">
        <f>IFERROR(INDEX(Scénarios!$B$2:$AV$232,MATCH($S39,Scénarios!$AI$2:$AI$232,0),MATCH(BC$4,Scénarios!$B$4:$AV$4,0)),"-")</f>
        <v>-</v>
      </c>
    </row>
    <row r="40" spans="15:55" ht="25.5" customHeight="1" x14ac:dyDescent="0.25">
      <c r="O40" s="604" t="str">
        <f t="shared" si="0"/>
        <v>Fiche R36 sans décision :
Veuillez ajouter une décision</v>
      </c>
      <c r="P40" s="609" t="s">
        <v>2188</v>
      </c>
      <c r="Q40" s="605" t="s">
        <v>2067</v>
      </c>
      <c r="R40" s="585" t="s">
        <v>2068</v>
      </c>
      <c r="S40" s="587" t="s">
        <v>2074</v>
      </c>
      <c r="T40" s="588" t="str">
        <f>IFERROR(INDEX(Tab_sel!$B$7:$C$18,MATCH($AB40,Tab_sel!$C$7:$C$18,0),1),"-")</f>
        <v>-</v>
      </c>
      <c r="U40" s="589" t="str">
        <f>IFERROR(INDEX(Scénarios!$B$2:$AI$232,MATCH($S40,Scénarios!$AI$2:$AI$232,0),MATCH(U$4,Scénarios!$B$4:$AI$4,0)),"-")</f>
        <v>-</v>
      </c>
      <c r="V40" s="588" t="str">
        <f>IFERROR(INDEX(Scénarios!$B$2:$AI$232,MATCH($S40,Scénarios!$AI$2:$AI$232,0),MATCH(V$4,Scénarios!$B$4:$AI$4,0)),"-")</f>
        <v>-</v>
      </c>
      <c r="W40" s="588" t="str">
        <f>IFERROR(INDEX(Scénarios!$B$2:$AI$232,MATCH($S40,Scénarios!$AI$2:$AI$232,0),MATCH(W$4,Scénarios!$B$4:$AI$4,0)),"-")</f>
        <v>-</v>
      </c>
      <c r="X40" s="588" t="str">
        <f>IFERROR(VLOOKUP(AD40,Expo!$D$4:$E$35,2,FALSE),"-")</f>
        <v>-</v>
      </c>
      <c r="Y40" s="859" t="str">
        <f>IFERROR(IF(INDEX(Scénarios!$B$2:$AI$232,MATCH($S40,Scénarios!$AI$2:$AI$232,0),MATCH(Y$4,Scénarios!$B$4:$AI$4,0))=0,"",INDEX(Scénarios!$B$2:$AI$232,MATCH($S40,Scénarios!$AI$2:$AI$232,0),MATCH(Y$4,Scénarios!$B$4:$AI$4,0))),"-")</f>
        <v>-</v>
      </c>
      <c r="Z40" s="589" t="str">
        <f>IFERROR(INDEX(Scénarios!$B$2:$AI$232,MATCH($S40,Scénarios!$AI$2:$AI$232,0),MATCH(Z$4,Scénarios!$B$4:$AI$4,0)),"-")</f>
        <v>-</v>
      </c>
      <c r="AA40" s="589" t="str">
        <f>IFERROR(INDEX(Scénarios!$B$2:$AI$232,MATCH($S40,Scénarios!$AI$2:$AI$232,0),MATCH(AA$4,Scénarios!$B$4:$AI$4,0)),"-")</f>
        <v>-</v>
      </c>
      <c r="AB40" s="586" t="str">
        <f>IFERROR(INDEX(Scénarios!$B$2:$AI$232,MATCH($S40,Scénarios!$AI$2:$AI$232,0),MATCH(AB$4,Scénarios!$B$4:$AI$4,0)),"-")</f>
        <v>-</v>
      </c>
      <c r="AC40" s="442" t="str">
        <f>IFERROR(INDEX(Tab_sel!$B$24:$C$27,MATCH($U40,Tab_sel!$C$24:$C$27,0),1),"-")</f>
        <v>-</v>
      </c>
      <c r="AD40" s="443" t="str">
        <f>IFERROR(INDEX(Scénarios!$B$2:$AI$232,MATCH($S40,Scénarios!$AI$2:$AI$232,0),MATCH(AD$4,Scénarios!$B$4:$AI$4,0)),"-")</f>
        <v>-</v>
      </c>
      <c r="AE40" s="460" t="str">
        <f>IFERROR(INDEX(Scénarios!$B$2:$AI$232,MATCH($S40,Scénarios!$AI$2:$AI$232,0),MATCH(AE$4,Scénarios!$B$4:$AI$4,0)),"-")</f>
        <v>-</v>
      </c>
      <c r="AF40" s="460" t="str">
        <f>IFERROR(INDEX(Scénarios!$B$2:$AI$232,MATCH($S40,Scénarios!$AI$2:$AI$232,0),MATCH(AF$4,Scénarios!$B$4:$AI$4,0)),"-")</f>
        <v>-</v>
      </c>
      <c r="AG40" s="460" t="str">
        <f>IFERROR(INDEX(Scénarios!$B$2:$AI$232,MATCH($S40,Scénarios!$AI$2:$AI$232,0),MATCH(AG$4,Scénarios!$B$4:$AI$4,0)),"-")</f>
        <v>-</v>
      </c>
      <c r="AH40" s="460" t="str">
        <f>IFERROR(INDEX(Scénarios!$B$2:$AI$232,MATCH($S40,Scénarios!$AI$2:$AI$232,0),MATCH(AH$4,Scénarios!$B$4:$AI$4,0)),"-")</f>
        <v>-</v>
      </c>
      <c r="AI40" s="443" t="str">
        <f>IFERROR(INDEX(Scénarios!$B$2:$AI$232,MATCH($S40,Scénarios!$AI$2:$AI$232,0),MATCH(AI$4,Scénarios!$B$4:$AI$4,0)),"-")</f>
        <v>-</v>
      </c>
      <c r="AJ40" s="443" t="str">
        <f>IFERROR(INDEX(Param!$A$3:$C$7,MATCH($AI40,Param!$C$3:$C$7,0),1),"-")</f>
        <v>-</v>
      </c>
      <c r="AK40" s="443" t="str">
        <f>IFERROR(INDEX(Scénarios!$B$2:$AI$232,MATCH($S40,Scénarios!$AI$2:$AI$232,0),MATCH(AK$4,Scénarios!$B$4:$AI$4,0)),"-")</f>
        <v>-</v>
      </c>
      <c r="AL40" s="443" t="str">
        <f>IFERROR(INDEX(Scénarios!$B$2:$AI$232,MATCH($S40,Scénarios!$AI$2:$AI$232,0),MATCH(AL$4,Scénarios!$B$4:$AI$4,0)),"-")</f>
        <v>-</v>
      </c>
      <c r="AM40" s="443" t="str">
        <f>IFERROR(INDEX(Param!$A$10:$C$14,MATCH($AL40,Param!$C$10:$C$14,0),1),"-")</f>
        <v>-</v>
      </c>
      <c r="AN40" s="443" t="str">
        <f>IFERROR(IF(INDEX(Scénarios!$B$2:$AI$232,MATCH($S40,Scénarios!$AI$2:$AI$232,0),MATCH(AN$4,Scénarios!$B$4:$AI$4,0))=0,"",INDEX(Scénarios!$B$2:$AI$232,MATCH($S40,Scénarios!$AI$2:$AI$232,0),MATCH(AN$4,Scénarios!$B$4:$AI$4,0))),"-")</f>
        <v>-</v>
      </c>
      <c r="AO40" s="443" t="str">
        <f>IFERROR(INDEX(Scénarios!$B$2:$AI$232,MATCH($S40,Scénarios!$AI$2:$AI$232,0),MATCH(AO$4,Scénarios!$B$4:$AI$4,0)),"-")</f>
        <v>-</v>
      </c>
      <c r="AP40" s="443" t="str">
        <f>IFERROR(INDEX(Param!$A$17:$C$21,MATCH($AO40,Param!$C$17:$C$21,0),1),"-")</f>
        <v>-</v>
      </c>
      <c r="AQ40" s="443" t="str">
        <f>IFERROR(IF(INDEX(Scénarios!$B$2:$AI$232,MATCH($S40,Scénarios!$AI$2:$AI$232,0),MATCH(AQ$4,Scénarios!$B$4:$AI$4,0))=0,"",INDEX(Scénarios!$B$2:$AI$232,MATCH($S40,Scénarios!$AI$2:$AI$232,0),MATCH(AQ$4,Scénarios!$B$4:$AI$4,0))),"-")</f>
        <v>-</v>
      </c>
      <c r="AR40" s="443" t="str">
        <f>IFERROR(INDEX(Scénarios!$B$2:$AI$232,MATCH($S40,Scénarios!$AI$2:$AI$232,0),MATCH(AR$4,Scénarios!$B$4:$AI$4,0)),"-")</f>
        <v>-</v>
      </c>
      <c r="AS40" s="443" t="str">
        <f>IFERROR(INDEX(Param!$A$24:$C$28,MATCH($AR40,Param!$C$24:$C$28,0),1),"-")</f>
        <v>-</v>
      </c>
      <c r="AT40" s="443" t="str">
        <f>IFERROR(IF(INDEX(Scénarios!$B$2:$AI$232,MATCH($S40,Scénarios!$AI$2:$AI$232,0),MATCH(AT$4,Scénarios!$B$4:$AI$4,0))=0,"",INDEX(Scénarios!$B$2:$AI$232,MATCH($S40,Scénarios!$AI$2:$AI$232,0),MATCH(AT$4,Scénarios!$B$4:$AI$4,0))),"-")</f>
        <v>-</v>
      </c>
      <c r="AU40" s="462" t="str">
        <f>IFERROR(INDEX(Scénarios!$B$2:$AI$232,MATCH($S40,Scénarios!$AI$2:$AI$232,0),MATCH(AU$4,Scénarios!$B$4:$AI$4,0)),"-")</f>
        <v>-</v>
      </c>
      <c r="AV40" s="462" t="str">
        <f>IFERROR(INDEX(Scénarios!$B$2:$AI$232,MATCH($S40,Scénarios!$AI$2:$AI$232,0),MATCH(AV$4,Scénarios!$B$4:$AI$4,0)),"-")</f>
        <v>-</v>
      </c>
      <c r="AW40" s="462" t="str">
        <f>IFERROR(INDEX(Scénarios!$B$2:$AI$232,MATCH($S40,Scénarios!$AI$2:$AI$232,0),MATCH(AW$4,Scénarios!$B$4:$AI$4,0)),"-")</f>
        <v>-</v>
      </c>
      <c r="AX40" s="462" t="str">
        <f>IFERROR(INDEX(Scénarios!$B$2:$AI$232,MATCH($S40,Scénarios!$AI$2:$AI$232,0),MATCH(AX$4,Scénarios!$B$4:$AI$4,0)),"-")</f>
        <v>-</v>
      </c>
      <c r="AY40" s="443" t="str">
        <f>IFERROR(INDEX(Scénarios!$B$2:$AI$232,MATCH($S40,Scénarios!$AI$2:$AI$232,0),MATCH(AY$4,Scénarios!$B$4:$AI$4,0)),"-")</f>
        <v>-</v>
      </c>
      <c r="AZ40" s="588" t="str">
        <f>IFERROR(INDEX(Param!$A$31:$C$35,MATCH($AY40,Param!$C$31:$C$35,0),1),"-")</f>
        <v>-</v>
      </c>
      <c r="BA40" s="588" t="str">
        <f>IFERROR(IF(INDEX(Scénarios!$B$2:$AI$232,MATCH($S40,Scénarios!$AI$2:$AI$232,0),MATCH(BA$4,Scénarios!$B$4:$AI$4,0))=0,"",INDEX(Scénarios!$B$2:$AI$232,MATCH($S40,Scénarios!$AI$2:$AI$232,0),MATCH(BA$4,Scénarios!$B$4:$AI$4,0))),"-")</f>
        <v>-</v>
      </c>
      <c r="BB40" s="443" t="str">
        <f>IFERROR(IF(INDEX(Scénarios!$B$2:$AK$237,MATCH($S40,Scénarios!$AI$2:$AI$237,0),MATCH(BB$4,Scénarios!$B$4:$AK$4,0))=0,"",INDEX(Scénarios!$B$2:$AK$237,MATCH($S40,Scénarios!$AI$2:$AI$237,0),MATCH(BB$4,Scénarios!$B$4:$AK$4,0))),"-")</f>
        <v>-</v>
      </c>
      <c r="BC40" s="443" t="str">
        <f>IFERROR(INDEX(Scénarios!$B$2:$AV$232,MATCH($S40,Scénarios!$AI$2:$AI$232,0),MATCH(BC$4,Scénarios!$B$4:$AV$4,0)),"-")</f>
        <v>-</v>
      </c>
    </row>
    <row r="41" spans="15:55" ht="25.5" customHeight="1" x14ac:dyDescent="0.25">
      <c r="O41" s="604" t="str">
        <f t="shared" si="0"/>
        <v>Fiche R37 sans décision :
Veuillez ajouter une décision</v>
      </c>
      <c r="P41" s="609" t="s">
        <v>2188</v>
      </c>
      <c r="Q41" s="605" t="s">
        <v>2067</v>
      </c>
      <c r="R41" s="585" t="s">
        <v>2068</v>
      </c>
      <c r="S41" s="587" t="s">
        <v>2075</v>
      </c>
      <c r="T41" s="588" t="str">
        <f>IFERROR(INDEX(Tab_sel!$B$7:$C$18,MATCH($AB41,Tab_sel!$C$7:$C$18,0),1),"-")</f>
        <v>-</v>
      </c>
      <c r="U41" s="589" t="str">
        <f>IFERROR(INDEX(Scénarios!$B$2:$AI$232,MATCH($S41,Scénarios!$AI$2:$AI$232,0),MATCH(U$4,Scénarios!$B$4:$AI$4,0)),"-")</f>
        <v>-</v>
      </c>
      <c r="V41" s="588" t="str">
        <f>IFERROR(INDEX(Scénarios!$B$2:$AI$232,MATCH($S41,Scénarios!$AI$2:$AI$232,0),MATCH(V$4,Scénarios!$B$4:$AI$4,0)),"-")</f>
        <v>-</v>
      </c>
      <c r="W41" s="588" t="str">
        <f>IFERROR(INDEX(Scénarios!$B$2:$AI$232,MATCH($S41,Scénarios!$AI$2:$AI$232,0),MATCH(W$4,Scénarios!$B$4:$AI$4,0)),"-")</f>
        <v>-</v>
      </c>
      <c r="X41" s="588" t="str">
        <f>IFERROR(VLOOKUP(AD41,Expo!$D$4:$E$35,2,FALSE),"-")</f>
        <v>-</v>
      </c>
      <c r="Y41" s="859" t="str">
        <f>IFERROR(IF(INDEX(Scénarios!$B$2:$AI$232,MATCH($S41,Scénarios!$AI$2:$AI$232,0),MATCH(Y$4,Scénarios!$B$4:$AI$4,0))=0,"",INDEX(Scénarios!$B$2:$AI$232,MATCH($S41,Scénarios!$AI$2:$AI$232,0),MATCH(Y$4,Scénarios!$B$4:$AI$4,0))),"-")</f>
        <v>-</v>
      </c>
      <c r="Z41" s="589" t="str">
        <f>IFERROR(INDEX(Scénarios!$B$2:$AI$232,MATCH($S41,Scénarios!$AI$2:$AI$232,0),MATCH(Z$4,Scénarios!$B$4:$AI$4,0)),"-")</f>
        <v>-</v>
      </c>
      <c r="AA41" s="589" t="str">
        <f>IFERROR(INDEX(Scénarios!$B$2:$AI$232,MATCH($S41,Scénarios!$AI$2:$AI$232,0),MATCH(AA$4,Scénarios!$B$4:$AI$4,0)),"-")</f>
        <v>-</v>
      </c>
      <c r="AB41" s="586" t="str">
        <f>IFERROR(INDEX(Scénarios!$B$2:$AI$232,MATCH($S41,Scénarios!$AI$2:$AI$232,0),MATCH(AB$4,Scénarios!$B$4:$AI$4,0)),"-")</f>
        <v>-</v>
      </c>
      <c r="AC41" s="442" t="str">
        <f>IFERROR(INDEX(Tab_sel!$B$24:$C$27,MATCH($U41,Tab_sel!$C$24:$C$27,0),1),"-")</f>
        <v>-</v>
      </c>
      <c r="AD41" s="443" t="str">
        <f>IFERROR(INDEX(Scénarios!$B$2:$AI$232,MATCH($S41,Scénarios!$AI$2:$AI$232,0),MATCH(AD$4,Scénarios!$B$4:$AI$4,0)),"-")</f>
        <v>-</v>
      </c>
      <c r="AE41" s="460" t="str">
        <f>IFERROR(INDEX(Scénarios!$B$2:$AI$232,MATCH($S41,Scénarios!$AI$2:$AI$232,0),MATCH(AE$4,Scénarios!$B$4:$AI$4,0)),"-")</f>
        <v>-</v>
      </c>
      <c r="AF41" s="460" t="str">
        <f>IFERROR(INDEX(Scénarios!$B$2:$AI$232,MATCH($S41,Scénarios!$AI$2:$AI$232,0),MATCH(AF$4,Scénarios!$B$4:$AI$4,0)),"-")</f>
        <v>-</v>
      </c>
      <c r="AG41" s="460" t="str">
        <f>IFERROR(INDEX(Scénarios!$B$2:$AI$232,MATCH($S41,Scénarios!$AI$2:$AI$232,0),MATCH(AG$4,Scénarios!$B$4:$AI$4,0)),"-")</f>
        <v>-</v>
      </c>
      <c r="AH41" s="460" t="str">
        <f>IFERROR(INDEX(Scénarios!$B$2:$AI$232,MATCH($S41,Scénarios!$AI$2:$AI$232,0),MATCH(AH$4,Scénarios!$B$4:$AI$4,0)),"-")</f>
        <v>-</v>
      </c>
      <c r="AI41" s="443" t="str">
        <f>IFERROR(INDEX(Scénarios!$B$2:$AI$232,MATCH($S41,Scénarios!$AI$2:$AI$232,0),MATCH(AI$4,Scénarios!$B$4:$AI$4,0)),"-")</f>
        <v>-</v>
      </c>
      <c r="AJ41" s="443" t="str">
        <f>IFERROR(INDEX(Param!$A$3:$C$7,MATCH($AI41,Param!$C$3:$C$7,0),1),"-")</f>
        <v>-</v>
      </c>
      <c r="AK41" s="443" t="str">
        <f>IFERROR(INDEX(Scénarios!$B$2:$AI$232,MATCH($S41,Scénarios!$AI$2:$AI$232,0),MATCH(AK$4,Scénarios!$B$4:$AI$4,0)),"-")</f>
        <v>-</v>
      </c>
      <c r="AL41" s="443" t="str">
        <f>IFERROR(INDEX(Scénarios!$B$2:$AI$232,MATCH($S41,Scénarios!$AI$2:$AI$232,0),MATCH(AL$4,Scénarios!$B$4:$AI$4,0)),"-")</f>
        <v>-</v>
      </c>
      <c r="AM41" s="443" t="str">
        <f>IFERROR(INDEX(Param!$A$10:$C$14,MATCH($AL41,Param!$C$10:$C$14,0),1),"-")</f>
        <v>-</v>
      </c>
      <c r="AN41" s="443" t="str">
        <f>IFERROR(IF(INDEX(Scénarios!$B$2:$AI$232,MATCH($S41,Scénarios!$AI$2:$AI$232,0),MATCH(AN$4,Scénarios!$B$4:$AI$4,0))=0,"",INDEX(Scénarios!$B$2:$AI$232,MATCH($S41,Scénarios!$AI$2:$AI$232,0),MATCH(AN$4,Scénarios!$B$4:$AI$4,0))),"-")</f>
        <v>-</v>
      </c>
      <c r="AO41" s="443" t="str">
        <f>IFERROR(INDEX(Scénarios!$B$2:$AI$232,MATCH($S41,Scénarios!$AI$2:$AI$232,0),MATCH(AO$4,Scénarios!$B$4:$AI$4,0)),"-")</f>
        <v>-</v>
      </c>
      <c r="AP41" s="443" t="str">
        <f>IFERROR(INDEX(Param!$A$17:$C$21,MATCH($AO41,Param!$C$17:$C$21,0),1),"-")</f>
        <v>-</v>
      </c>
      <c r="AQ41" s="443" t="str">
        <f>IFERROR(IF(INDEX(Scénarios!$B$2:$AI$232,MATCH($S41,Scénarios!$AI$2:$AI$232,0),MATCH(AQ$4,Scénarios!$B$4:$AI$4,0))=0,"",INDEX(Scénarios!$B$2:$AI$232,MATCH($S41,Scénarios!$AI$2:$AI$232,0),MATCH(AQ$4,Scénarios!$B$4:$AI$4,0))),"-")</f>
        <v>-</v>
      </c>
      <c r="AR41" s="443" t="str">
        <f>IFERROR(INDEX(Scénarios!$B$2:$AI$232,MATCH($S41,Scénarios!$AI$2:$AI$232,0),MATCH(AR$4,Scénarios!$B$4:$AI$4,0)),"-")</f>
        <v>-</v>
      </c>
      <c r="AS41" s="443" t="str">
        <f>IFERROR(INDEX(Param!$A$24:$C$28,MATCH($AR41,Param!$C$24:$C$28,0),1),"-")</f>
        <v>-</v>
      </c>
      <c r="AT41" s="443" t="str">
        <f>IFERROR(IF(INDEX(Scénarios!$B$2:$AI$232,MATCH($S41,Scénarios!$AI$2:$AI$232,0),MATCH(AT$4,Scénarios!$B$4:$AI$4,0))=0,"",INDEX(Scénarios!$B$2:$AI$232,MATCH($S41,Scénarios!$AI$2:$AI$232,0),MATCH(AT$4,Scénarios!$B$4:$AI$4,0))),"-")</f>
        <v>-</v>
      </c>
      <c r="AU41" s="462" t="str">
        <f>IFERROR(INDEX(Scénarios!$B$2:$AI$232,MATCH($S41,Scénarios!$AI$2:$AI$232,0),MATCH(AU$4,Scénarios!$B$4:$AI$4,0)),"-")</f>
        <v>-</v>
      </c>
      <c r="AV41" s="462" t="str">
        <f>IFERROR(INDEX(Scénarios!$B$2:$AI$232,MATCH($S41,Scénarios!$AI$2:$AI$232,0),MATCH(AV$4,Scénarios!$B$4:$AI$4,0)),"-")</f>
        <v>-</v>
      </c>
      <c r="AW41" s="462" t="str">
        <f>IFERROR(INDEX(Scénarios!$B$2:$AI$232,MATCH($S41,Scénarios!$AI$2:$AI$232,0),MATCH(AW$4,Scénarios!$B$4:$AI$4,0)),"-")</f>
        <v>-</v>
      </c>
      <c r="AX41" s="462" t="str">
        <f>IFERROR(INDEX(Scénarios!$B$2:$AI$232,MATCH($S41,Scénarios!$AI$2:$AI$232,0),MATCH(AX$4,Scénarios!$B$4:$AI$4,0)),"-")</f>
        <v>-</v>
      </c>
      <c r="AY41" s="443" t="str">
        <f>IFERROR(INDEX(Scénarios!$B$2:$AI$232,MATCH($S41,Scénarios!$AI$2:$AI$232,0),MATCH(AY$4,Scénarios!$B$4:$AI$4,0)),"-")</f>
        <v>-</v>
      </c>
      <c r="AZ41" s="588" t="str">
        <f>IFERROR(INDEX(Param!$A$31:$C$35,MATCH($AY41,Param!$C$31:$C$35,0),1),"-")</f>
        <v>-</v>
      </c>
      <c r="BA41" s="588" t="str">
        <f>IFERROR(IF(INDEX(Scénarios!$B$2:$AI$232,MATCH($S41,Scénarios!$AI$2:$AI$232,0),MATCH(BA$4,Scénarios!$B$4:$AI$4,0))=0,"",INDEX(Scénarios!$B$2:$AI$232,MATCH($S41,Scénarios!$AI$2:$AI$232,0),MATCH(BA$4,Scénarios!$B$4:$AI$4,0))),"-")</f>
        <v>-</v>
      </c>
      <c r="BB41" s="443" t="str">
        <f>IFERROR(IF(INDEX(Scénarios!$B$2:$AK$237,MATCH($S41,Scénarios!$AI$2:$AI$237,0),MATCH(BB$4,Scénarios!$B$4:$AK$4,0))=0,"",INDEX(Scénarios!$B$2:$AK$237,MATCH($S41,Scénarios!$AI$2:$AI$237,0),MATCH(BB$4,Scénarios!$B$4:$AK$4,0))),"-")</f>
        <v>-</v>
      </c>
      <c r="BC41" s="443" t="str">
        <f>IFERROR(INDEX(Scénarios!$B$2:$AV$232,MATCH($S41,Scénarios!$AI$2:$AI$232,0),MATCH(BC$4,Scénarios!$B$4:$AV$4,0)),"-")</f>
        <v>-</v>
      </c>
    </row>
    <row r="42" spans="15:55" ht="25.5" customHeight="1" x14ac:dyDescent="0.25">
      <c r="O42" s="604" t="str">
        <f t="shared" si="0"/>
        <v>Fiche R38 sans décision :
Veuillez ajouter une décision</v>
      </c>
      <c r="P42" s="609" t="s">
        <v>2188</v>
      </c>
      <c r="Q42" s="605" t="s">
        <v>2067</v>
      </c>
      <c r="R42" s="585" t="s">
        <v>2068</v>
      </c>
      <c r="S42" s="587" t="s">
        <v>2076</v>
      </c>
      <c r="T42" s="588" t="str">
        <f>IFERROR(INDEX(Tab_sel!$B$7:$C$18,MATCH($AB42,Tab_sel!$C$7:$C$18,0),1),"-")</f>
        <v>-</v>
      </c>
      <c r="U42" s="589" t="str">
        <f>IFERROR(INDEX(Scénarios!$B$2:$AI$232,MATCH($S42,Scénarios!$AI$2:$AI$232,0),MATCH(U$4,Scénarios!$B$4:$AI$4,0)),"-")</f>
        <v>-</v>
      </c>
      <c r="V42" s="588" t="str">
        <f>IFERROR(INDEX(Scénarios!$B$2:$AI$232,MATCH($S42,Scénarios!$AI$2:$AI$232,0),MATCH(V$4,Scénarios!$B$4:$AI$4,0)),"-")</f>
        <v>-</v>
      </c>
      <c r="W42" s="588" t="str">
        <f>IFERROR(INDEX(Scénarios!$B$2:$AI$232,MATCH($S42,Scénarios!$AI$2:$AI$232,0),MATCH(W$4,Scénarios!$B$4:$AI$4,0)),"-")</f>
        <v>-</v>
      </c>
      <c r="X42" s="588" t="str">
        <f>IFERROR(VLOOKUP(AD42,Expo!$D$4:$E$35,2,FALSE),"-")</f>
        <v>-</v>
      </c>
      <c r="Y42" s="859" t="str">
        <f>IFERROR(IF(INDEX(Scénarios!$B$2:$AI$232,MATCH($S42,Scénarios!$AI$2:$AI$232,0),MATCH(Y$4,Scénarios!$B$4:$AI$4,0))=0,"",INDEX(Scénarios!$B$2:$AI$232,MATCH($S42,Scénarios!$AI$2:$AI$232,0),MATCH(Y$4,Scénarios!$B$4:$AI$4,0))),"-")</f>
        <v>-</v>
      </c>
      <c r="Z42" s="589" t="str">
        <f>IFERROR(INDEX(Scénarios!$B$2:$AI$232,MATCH($S42,Scénarios!$AI$2:$AI$232,0),MATCH(Z$4,Scénarios!$B$4:$AI$4,0)),"-")</f>
        <v>-</v>
      </c>
      <c r="AA42" s="589" t="str">
        <f>IFERROR(INDEX(Scénarios!$B$2:$AI$232,MATCH($S42,Scénarios!$AI$2:$AI$232,0),MATCH(AA$4,Scénarios!$B$4:$AI$4,0)),"-")</f>
        <v>-</v>
      </c>
      <c r="AB42" s="586" t="str">
        <f>IFERROR(INDEX(Scénarios!$B$2:$AI$232,MATCH($S42,Scénarios!$AI$2:$AI$232,0),MATCH(AB$4,Scénarios!$B$4:$AI$4,0)),"-")</f>
        <v>-</v>
      </c>
      <c r="AC42" s="442" t="str">
        <f>IFERROR(INDEX(Tab_sel!$B$24:$C$27,MATCH($U42,Tab_sel!$C$24:$C$27,0),1),"-")</f>
        <v>-</v>
      </c>
      <c r="AD42" s="443" t="str">
        <f>IFERROR(INDEX(Scénarios!$B$2:$AI$232,MATCH($S42,Scénarios!$AI$2:$AI$232,0),MATCH(AD$4,Scénarios!$B$4:$AI$4,0)),"-")</f>
        <v>-</v>
      </c>
      <c r="AE42" s="460" t="str">
        <f>IFERROR(INDEX(Scénarios!$B$2:$AI$232,MATCH($S42,Scénarios!$AI$2:$AI$232,0),MATCH(AE$4,Scénarios!$B$4:$AI$4,0)),"-")</f>
        <v>-</v>
      </c>
      <c r="AF42" s="460" t="str">
        <f>IFERROR(INDEX(Scénarios!$B$2:$AI$232,MATCH($S42,Scénarios!$AI$2:$AI$232,0),MATCH(AF$4,Scénarios!$B$4:$AI$4,0)),"-")</f>
        <v>-</v>
      </c>
      <c r="AG42" s="460" t="str">
        <f>IFERROR(INDEX(Scénarios!$B$2:$AI$232,MATCH($S42,Scénarios!$AI$2:$AI$232,0),MATCH(AG$4,Scénarios!$B$4:$AI$4,0)),"-")</f>
        <v>-</v>
      </c>
      <c r="AH42" s="460" t="str">
        <f>IFERROR(INDEX(Scénarios!$B$2:$AI$232,MATCH($S42,Scénarios!$AI$2:$AI$232,0),MATCH(AH$4,Scénarios!$B$4:$AI$4,0)),"-")</f>
        <v>-</v>
      </c>
      <c r="AI42" s="443" t="str">
        <f>IFERROR(INDEX(Scénarios!$B$2:$AI$232,MATCH($S42,Scénarios!$AI$2:$AI$232,0),MATCH(AI$4,Scénarios!$B$4:$AI$4,0)),"-")</f>
        <v>-</v>
      </c>
      <c r="AJ42" s="443" t="str">
        <f>IFERROR(INDEX(Param!$A$3:$C$7,MATCH($AI42,Param!$C$3:$C$7,0),1),"-")</f>
        <v>-</v>
      </c>
      <c r="AK42" s="443" t="str">
        <f>IFERROR(INDEX(Scénarios!$B$2:$AI$232,MATCH($S42,Scénarios!$AI$2:$AI$232,0),MATCH(AK$4,Scénarios!$B$4:$AI$4,0)),"-")</f>
        <v>-</v>
      </c>
      <c r="AL42" s="443" t="str">
        <f>IFERROR(INDEX(Scénarios!$B$2:$AI$232,MATCH($S42,Scénarios!$AI$2:$AI$232,0),MATCH(AL$4,Scénarios!$B$4:$AI$4,0)),"-")</f>
        <v>-</v>
      </c>
      <c r="AM42" s="443" t="str">
        <f>IFERROR(INDEX(Param!$A$10:$C$14,MATCH($AL42,Param!$C$10:$C$14,0),1),"-")</f>
        <v>-</v>
      </c>
      <c r="AN42" s="443" t="str">
        <f>IFERROR(IF(INDEX(Scénarios!$B$2:$AI$232,MATCH($S42,Scénarios!$AI$2:$AI$232,0),MATCH(AN$4,Scénarios!$B$4:$AI$4,0))=0,"",INDEX(Scénarios!$B$2:$AI$232,MATCH($S42,Scénarios!$AI$2:$AI$232,0),MATCH(AN$4,Scénarios!$B$4:$AI$4,0))),"-")</f>
        <v>-</v>
      </c>
      <c r="AO42" s="443" t="str">
        <f>IFERROR(INDEX(Scénarios!$B$2:$AI$232,MATCH($S42,Scénarios!$AI$2:$AI$232,0),MATCH(AO$4,Scénarios!$B$4:$AI$4,0)),"-")</f>
        <v>-</v>
      </c>
      <c r="AP42" s="443" t="str">
        <f>IFERROR(INDEX(Param!$A$17:$C$21,MATCH($AO42,Param!$C$17:$C$21,0),1),"-")</f>
        <v>-</v>
      </c>
      <c r="AQ42" s="443" t="str">
        <f>IFERROR(IF(INDEX(Scénarios!$B$2:$AI$232,MATCH($S42,Scénarios!$AI$2:$AI$232,0),MATCH(AQ$4,Scénarios!$B$4:$AI$4,0))=0,"",INDEX(Scénarios!$B$2:$AI$232,MATCH($S42,Scénarios!$AI$2:$AI$232,0),MATCH(AQ$4,Scénarios!$B$4:$AI$4,0))),"-")</f>
        <v>-</v>
      </c>
      <c r="AR42" s="443" t="str">
        <f>IFERROR(INDEX(Scénarios!$B$2:$AI$232,MATCH($S42,Scénarios!$AI$2:$AI$232,0),MATCH(AR$4,Scénarios!$B$4:$AI$4,0)),"-")</f>
        <v>-</v>
      </c>
      <c r="AS42" s="443" t="str">
        <f>IFERROR(INDEX(Param!$A$24:$C$28,MATCH($AR42,Param!$C$24:$C$28,0),1),"-")</f>
        <v>-</v>
      </c>
      <c r="AT42" s="443" t="str">
        <f>IFERROR(IF(INDEX(Scénarios!$B$2:$AI$232,MATCH($S42,Scénarios!$AI$2:$AI$232,0),MATCH(AT$4,Scénarios!$B$4:$AI$4,0))=0,"",INDEX(Scénarios!$B$2:$AI$232,MATCH($S42,Scénarios!$AI$2:$AI$232,0),MATCH(AT$4,Scénarios!$B$4:$AI$4,0))),"-")</f>
        <v>-</v>
      </c>
      <c r="AU42" s="462" t="str">
        <f>IFERROR(INDEX(Scénarios!$B$2:$AI$232,MATCH($S42,Scénarios!$AI$2:$AI$232,0),MATCH(AU$4,Scénarios!$B$4:$AI$4,0)),"-")</f>
        <v>-</v>
      </c>
      <c r="AV42" s="462" t="str">
        <f>IFERROR(INDEX(Scénarios!$B$2:$AI$232,MATCH($S42,Scénarios!$AI$2:$AI$232,0),MATCH(AV$4,Scénarios!$B$4:$AI$4,0)),"-")</f>
        <v>-</v>
      </c>
      <c r="AW42" s="462" t="str">
        <f>IFERROR(INDEX(Scénarios!$B$2:$AI$232,MATCH($S42,Scénarios!$AI$2:$AI$232,0),MATCH(AW$4,Scénarios!$B$4:$AI$4,0)),"-")</f>
        <v>-</v>
      </c>
      <c r="AX42" s="462" t="str">
        <f>IFERROR(INDEX(Scénarios!$B$2:$AI$232,MATCH($S42,Scénarios!$AI$2:$AI$232,0),MATCH(AX$4,Scénarios!$B$4:$AI$4,0)),"-")</f>
        <v>-</v>
      </c>
      <c r="AY42" s="443" t="str">
        <f>IFERROR(INDEX(Scénarios!$B$2:$AI$232,MATCH($S42,Scénarios!$AI$2:$AI$232,0),MATCH(AY$4,Scénarios!$B$4:$AI$4,0)),"-")</f>
        <v>-</v>
      </c>
      <c r="AZ42" s="588" t="str">
        <f>IFERROR(INDEX(Param!$A$31:$C$35,MATCH($AY42,Param!$C$31:$C$35,0),1),"-")</f>
        <v>-</v>
      </c>
      <c r="BA42" s="588" t="str">
        <f>IFERROR(IF(INDEX(Scénarios!$B$2:$AI$232,MATCH($S42,Scénarios!$AI$2:$AI$232,0),MATCH(BA$4,Scénarios!$B$4:$AI$4,0))=0,"",INDEX(Scénarios!$B$2:$AI$232,MATCH($S42,Scénarios!$AI$2:$AI$232,0),MATCH(BA$4,Scénarios!$B$4:$AI$4,0))),"-")</f>
        <v>-</v>
      </c>
      <c r="BB42" s="443" t="str">
        <f>IFERROR(IF(INDEX(Scénarios!$B$2:$AK$237,MATCH($S42,Scénarios!$AI$2:$AI$237,0),MATCH(BB$4,Scénarios!$B$4:$AK$4,0))=0,"",INDEX(Scénarios!$B$2:$AK$237,MATCH($S42,Scénarios!$AI$2:$AI$237,0),MATCH(BB$4,Scénarios!$B$4:$AK$4,0))),"-")</f>
        <v>-</v>
      </c>
      <c r="BC42" s="443" t="str">
        <f>IFERROR(INDEX(Scénarios!$B$2:$AV$232,MATCH($S42,Scénarios!$AI$2:$AI$232,0),MATCH(BC$4,Scénarios!$B$4:$AV$4,0)),"-")</f>
        <v>-</v>
      </c>
    </row>
    <row r="43" spans="15:55" ht="25.5" customHeight="1" x14ac:dyDescent="0.25">
      <c r="O43" s="604" t="str">
        <f t="shared" si="0"/>
        <v>Fiche R39 sans décision :
Veuillez ajouter une décision</v>
      </c>
      <c r="P43" s="609" t="s">
        <v>2188</v>
      </c>
      <c r="Q43" s="605" t="s">
        <v>2067</v>
      </c>
      <c r="R43" s="585" t="s">
        <v>2068</v>
      </c>
      <c r="S43" s="587" t="s">
        <v>2077</v>
      </c>
      <c r="T43" s="588" t="str">
        <f>IFERROR(INDEX(Tab_sel!$B$7:$C$18,MATCH($AB43,Tab_sel!$C$7:$C$18,0),1),"-")</f>
        <v>-</v>
      </c>
      <c r="U43" s="589" t="str">
        <f>IFERROR(INDEX(Scénarios!$B$2:$AI$232,MATCH($S43,Scénarios!$AI$2:$AI$232,0),MATCH(U$4,Scénarios!$B$4:$AI$4,0)),"-")</f>
        <v>-</v>
      </c>
      <c r="V43" s="588" t="str">
        <f>IFERROR(INDEX(Scénarios!$B$2:$AI$232,MATCH($S43,Scénarios!$AI$2:$AI$232,0),MATCH(V$4,Scénarios!$B$4:$AI$4,0)),"-")</f>
        <v>-</v>
      </c>
      <c r="W43" s="588" t="str">
        <f>IFERROR(INDEX(Scénarios!$B$2:$AI$232,MATCH($S43,Scénarios!$AI$2:$AI$232,0),MATCH(W$4,Scénarios!$B$4:$AI$4,0)),"-")</f>
        <v>-</v>
      </c>
      <c r="X43" s="588" t="str">
        <f>IFERROR(VLOOKUP(AD43,Expo!$D$4:$E$35,2,FALSE),"-")</f>
        <v>-</v>
      </c>
      <c r="Y43" s="859" t="str">
        <f>IFERROR(IF(INDEX(Scénarios!$B$2:$AI$232,MATCH($S43,Scénarios!$AI$2:$AI$232,0),MATCH(Y$4,Scénarios!$B$4:$AI$4,0))=0,"",INDEX(Scénarios!$B$2:$AI$232,MATCH($S43,Scénarios!$AI$2:$AI$232,0),MATCH(Y$4,Scénarios!$B$4:$AI$4,0))),"-")</f>
        <v>-</v>
      </c>
      <c r="Z43" s="589" t="str">
        <f>IFERROR(INDEX(Scénarios!$B$2:$AI$232,MATCH($S43,Scénarios!$AI$2:$AI$232,0),MATCH(Z$4,Scénarios!$B$4:$AI$4,0)),"-")</f>
        <v>-</v>
      </c>
      <c r="AA43" s="589" t="str">
        <f>IFERROR(INDEX(Scénarios!$B$2:$AI$232,MATCH($S43,Scénarios!$AI$2:$AI$232,0),MATCH(AA$4,Scénarios!$B$4:$AI$4,0)),"-")</f>
        <v>-</v>
      </c>
      <c r="AB43" s="586" t="str">
        <f>IFERROR(INDEX(Scénarios!$B$2:$AI$232,MATCH($S43,Scénarios!$AI$2:$AI$232,0),MATCH(AB$4,Scénarios!$B$4:$AI$4,0)),"-")</f>
        <v>-</v>
      </c>
      <c r="AC43" s="442" t="str">
        <f>IFERROR(INDEX(Tab_sel!$B$24:$C$27,MATCH($U43,Tab_sel!$C$24:$C$27,0),1),"-")</f>
        <v>-</v>
      </c>
      <c r="AD43" s="443" t="str">
        <f>IFERROR(INDEX(Scénarios!$B$2:$AI$232,MATCH($S43,Scénarios!$AI$2:$AI$232,0),MATCH(AD$4,Scénarios!$B$4:$AI$4,0)),"-")</f>
        <v>-</v>
      </c>
      <c r="AE43" s="460" t="str">
        <f>IFERROR(INDEX(Scénarios!$B$2:$AI$232,MATCH($S43,Scénarios!$AI$2:$AI$232,0),MATCH(AE$4,Scénarios!$B$4:$AI$4,0)),"-")</f>
        <v>-</v>
      </c>
      <c r="AF43" s="460" t="str">
        <f>IFERROR(INDEX(Scénarios!$B$2:$AI$232,MATCH($S43,Scénarios!$AI$2:$AI$232,0),MATCH(AF$4,Scénarios!$B$4:$AI$4,0)),"-")</f>
        <v>-</v>
      </c>
      <c r="AG43" s="460" t="str">
        <f>IFERROR(INDEX(Scénarios!$B$2:$AI$232,MATCH($S43,Scénarios!$AI$2:$AI$232,0),MATCH(AG$4,Scénarios!$B$4:$AI$4,0)),"-")</f>
        <v>-</v>
      </c>
      <c r="AH43" s="460" t="str">
        <f>IFERROR(INDEX(Scénarios!$B$2:$AI$232,MATCH($S43,Scénarios!$AI$2:$AI$232,0),MATCH(AH$4,Scénarios!$B$4:$AI$4,0)),"-")</f>
        <v>-</v>
      </c>
      <c r="AI43" s="443" t="str">
        <f>IFERROR(INDEX(Scénarios!$B$2:$AI$232,MATCH($S43,Scénarios!$AI$2:$AI$232,0),MATCH(AI$4,Scénarios!$B$4:$AI$4,0)),"-")</f>
        <v>-</v>
      </c>
      <c r="AJ43" s="443" t="str">
        <f>IFERROR(INDEX(Param!$A$3:$C$7,MATCH($AI43,Param!$C$3:$C$7,0),1),"-")</f>
        <v>-</v>
      </c>
      <c r="AK43" s="443" t="str">
        <f>IFERROR(INDEX(Scénarios!$B$2:$AI$232,MATCH($S43,Scénarios!$AI$2:$AI$232,0),MATCH(AK$4,Scénarios!$B$4:$AI$4,0)),"-")</f>
        <v>-</v>
      </c>
      <c r="AL43" s="443" t="str">
        <f>IFERROR(INDEX(Scénarios!$B$2:$AI$232,MATCH($S43,Scénarios!$AI$2:$AI$232,0),MATCH(AL$4,Scénarios!$B$4:$AI$4,0)),"-")</f>
        <v>-</v>
      </c>
      <c r="AM43" s="443" t="str">
        <f>IFERROR(INDEX(Param!$A$10:$C$14,MATCH($AL43,Param!$C$10:$C$14,0),1),"-")</f>
        <v>-</v>
      </c>
      <c r="AN43" s="443" t="str">
        <f>IFERROR(IF(INDEX(Scénarios!$B$2:$AI$232,MATCH($S43,Scénarios!$AI$2:$AI$232,0),MATCH(AN$4,Scénarios!$B$4:$AI$4,0))=0,"",INDEX(Scénarios!$B$2:$AI$232,MATCH($S43,Scénarios!$AI$2:$AI$232,0),MATCH(AN$4,Scénarios!$B$4:$AI$4,0))),"-")</f>
        <v>-</v>
      </c>
      <c r="AO43" s="443" t="str">
        <f>IFERROR(INDEX(Scénarios!$B$2:$AI$232,MATCH($S43,Scénarios!$AI$2:$AI$232,0),MATCH(AO$4,Scénarios!$B$4:$AI$4,0)),"-")</f>
        <v>-</v>
      </c>
      <c r="AP43" s="443" t="str">
        <f>IFERROR(INDEX(Param!$A$17:$C$21,MATCH($AO43,Param!$C$17:$C$21,0),1),"-")</f>
        <v>-</v>
      </c>
      <c r="AQ43" s="443" t="str">
        <f>IFERROR(IF(INDEX(Scénarios!$B$2:$AI$232,MATCH($S43,Scénarios!$AI$2:$AI$232,0),MATCH(AQ$4,Scénarios!$B$4:$AI$4,0))=0,"",INDEX(Scénarios!$B$2:$AI$232,MATCH($S43,Scénarios!$AI$2:$AI$232,0),MATCH(AQ$4,Scénarios!$B$4:$AI$4,0))),"-")</f>
        <v>-</v>
      </c>
      <c r="AR43" s="443" t="str">
        <f>IFERROR(INDEX(Scénarios!$B$2:$AI$232,MATCH($S43,Scénarios!$AI$2:$AI$232,0),MATCH(AR$4,Scénarios!$B$4:$AI$4,0)),"-")</f>
        <v>-</v>
      </c>
      <c r="AS43" s="443" t="str">
        <f>IFERROR(INDEX(Param!$A$24:$C$28,MATCH($AR43,Param!$C$24:$C$28,0),1),"-")</f>
        <v>-</v>
      </c>
      <c r="AT43" s="443" t="str">
        <f>IFERROR(IF(INDEX(Scénarios!$B$2:$AI$232,MATCH($S43,Scénarios!$AI$2:$AI$232,0),MATCH(AT$4,Scénarios!$B$4:$AI$4,0))=0,"",INDEX(Scénarios!$B$2:$AI$232,MATCH($S43,Scénarios!$AI$2:$AI$232,0),MATCH(AT$4,Scénarios!$B$4:$AI$4,0))),"-")</f>
        <v>-</v>
      </c>
      <c r="AU43" s="462" t="str">
        <f>IFERROR(INDEX(Scénarios!$B$2:$AI$232,MATCH($S43,Scénarios!$AI$2:$AI$232,0),MATCH(AU$4,Scénarios!$B$4:$AI$4,0)),"-")</f>
        <v>-</v>
      </c>
      <c r="AV43" s="462" t="str">
        <f>IFERROR(INDEX(Scénarios!$B$2:$AI$232,MATCH($S43,Scénarios!$AI$2:$AI$232,0),MATCH(AV$4,Scénarios!$B$4:$AI$4,0)),"-")</f>
        <v>-</v>
      </c>
      <c r="AW43" s="462" t="str">
        <f>IFERROR(INDEX(Scénarios!$B$2:$AI$232,MATCH($S43,Scénarios!$AI$2:$AI$232,0),MATCH(AW$4,Scénarios!$B$4:$AI$4,0)),"-")</f>
        <v>-</v>
      </c>
      <c r="AX43" s="462" t="str">
        <f>IFERROR(INDEX(Scénarios!$B$2:$AI$232,MATCH($S43,Scénarios!$AI$2:$AI$232,0),MATCH(AX$4,Scénarios!$B$4:$AI$4,0)),"-")</f>
        <v>-</v>
      </c>
      <c r="AY43" s="443" t="str">
        <f>IFERROR(INDEX(Scénarios!$B$2:$AI$232,MATCH($S43,Scénarios!$AI$2:$AI$232,0),MATCH(AY$4,Scénarios!$B$4:$AI$4,0)),"-")</f>
        <v>-</v>
      </c>
      <c r="AZ43" s="588" t="str">
        <f>IFERROR(INDEX(Param!$A$31:$C$35,MATCH($AY43,Param!$C$31:$C$35,0),1),"-")</f>
        <v>-</v>
      </c>
      <c r="BA43" s="588" t="str">
        <f>IFERROR(IF(INDEX(Scénarios!$B$2:$AI$232,MATCH($S43,Scénarios!$AI$2:$AI$232,0),MATCH(BA$4,Scénarios!$B$4:$AI$4,0))=0,"",INDEX(Scénarios!$B$2:$AI$232,MATCH($S43,Scénarios!$AI$2:$AI$232,0),MATCH(BA$4,Scénarios!$B$4:$AI$4,0))),"-")</f>
        <v>-</v>
      </c>
      <c r="BB43" s="443" t="str">
        <f>IFERROR(IF(INDEX(Scénarios!$B$2:$AK$237,MATCH($S43,Scénarios!$AI$2:$AI$237,0),MATCH(BB$4,Scénarios!$B$4:$AK$4,0))=0,"",INDEX(Scénarios!$B$2:$AK$237,MATCH($S43,Scénarios!$AI$2:$AI$237,0),MATCH(BB$4,Scénarios!$B$4:$AK$4,0))),"-")</f>
        <v>-</v>
      </c>
      <c r="BC43" s="443" t="str">
        <f>IFERROR(INDEX(Scénarios!$B$2:$AV$232,MATCH($S43,Scénarios!$AI$2:$AI$232,0),MATCH(BC$4,Scénarios!$B$4:$AV$4,0)),"-")</f>
        <v>-</v>
      </c>
    </row>
    <row r="44" spans="15:55" ht="25.5" customHeight="1" x14ac:dyDescent="0.25">
      <c r="O44" s="604" t="str">
        <f t="shared" si="0"/>
        <v>Fiche R40 sans décision :
Veuillez ajouter une décision</v>
      </c>
      <c r="P44" s="609" t="s">
        <v>2188</v>
      </c>
      <c r="Q44" s="605" t="s">
        <v>2067</v>
      </c>
      <c r="R44" s="585" t="s">
        <v>2068</v>
      </c>
      <c r="S44" s="587" t="s">
        <v>2078</v>
      </c>
      <c r="T44" s="588" t="str">
        <f>IFERROR(INDEX(Tab_sel!$B$7:$C$18,MATCH($AB44,Tab_sel!$C$7:$C$18,0),1),"-")</f>
        <v>-</v>
      </c>
      <c r="U44" s="589" t="str">
        <f>IFERROR(INDEX(Scénarios!$B$2:$AI$232,MATCH($S44,Scénarios!$AI$2:$AI$232,0),MATCH(U$4,Scénarios!$B$4:$AI$4,0)),"-")</f>
        <v>-</v>
      </c>
      <c r="V44" s="588" t="str">
        <f>IFERROR(INDEX(Scénarios!$B$2:$AI$232,MATCH($S44,Scénarios!$AI$2:$AI$232,0),MATCH(V$4,Scénarios!$B$4:$AI$4,0)),"-")</f>
        <v>-</v>
      </c>
      <c r="W44" s="588" t="str">
        <f>IFERROR(INDEX(Scénarios!$B$2:$AI$232,MATCH($S44,Scénarios!$AI$2:$AI$232,0),MATCH(W$4,Scénarios!$B$4:$AI$4,0)),"-")</f>
        <v>-</v>
      </c>
      <c r="X44" s="588" t="str">
        <f>IFERROR(VLOOKUP(AD44,Expo!$D$4:$E$35,2,FALSE),"-")</f>
        <v>-</v>
      </c>
      <c r="Y44" s="859" t="str">
        <f>IFERROR(IF(INDEX(Scénarios!$B$2:$AI$232,MATCH($S44,Scénarios!$AI$2:$AI$232,0),MATCH(Y$4,Scénarios!$B$4:$AI$4,0))=0,"",INDEX(Scénarios!$B$2:$AI$232,MATCH($S44,Scénarios!$AI$2:$AI$232,0),MATCH(Y$4,Scénarios!$B$4:$AI$4,0))),"-")</f>
        <v>-</v>
      </c>
      <c r="Z44" s="589" t="str">
        <f>IFERROR(INDEX(Scénarios!$B$2:$AI$232,MATCH($S44,Scénarios!$AI$2:$AI$232,0),MATCH(Z$4,Scénarios!$B$4:$AI$4,0)),"-")</f>
        <v>-</v>
      </c>
      <c r="AA44" s="589" t="str">
        <f>IFERROR(INDEX(Scénarios!$B$2:$AI$232,MATCH($S44,Scénarios!$AI$2:$AI$232,0),MATCH(AA$4,Scénarios!$B$4:$AI$4,0)),"-")</f>
        <v>-</v>
      </c>
      <c r="AB44" s="586" t="str">
        <f>IFERROR(INDEX(Scénarios!$B$2:$AI$232,MATCH($S44,Scénarios!$AI$2:$AI$232,0),MATCH(AB$4,Scénarios!$B$4:$AI$4,0)),"-")</f>
        <v>-</v>
      </c>
      <c r="AC44" s="442" t="str">
        <f>IFERROR(INDEX(Tab_sel!$B$24:$C$27,MATCH($U44,Tab_sel!$C$24:$C$27,0),1),"-")</f>
        <v>-</v>
      </c>
      <c r="AD44" s="443" t="str">
        <f>IFERROR(INDEX(Scénarios!$B$2:$AI$232,MATCH($S44,Scénarios!$AI$2:$AI$232,0),MATCH(AD$4,Scénarios!$B$4:$AI$4,0)),"-")</f>
        <v>-</v>
      </c>
      <c r="AE44" s="460" t="str">
        <f>IFERROR(INDEX(Scénarios!$B$2:$AI$232,MATCH($S44,Scénarios!$AI$2:$AI$232,0),MATCH(AE$4,Scénarios!$B$4:$AI$4,0)),"-")</f>
        <v>-</v>
      </c>
      <c r="AF44" s="460" t="str">
        <f>IFERROR(INDEX(Scénarios!$B$2:$AI$232,MATCH($S44,Scénarios!$AI$2:$AI$232,0),MATCH(AF$4,Scénarios!$B$4:$AI$4,0)),"-")</f>
        <v>-</v>
      </c>
      <c r="AG44" s="460" t="str">
        <f>IFERROR(INDEX(Scénarios!$B$2:$AI$232,MATCH($S44,Scénarios!$AI$2:$AI$232,0),MATCH(AG$4,Scénarios!$B$4:$AI$4,0)),"-")</f>
        <v>-</v>
      </c>
      <c r="AH44" s="460" t="str">
        <f>IFERROR(INDEX(Scénarios!$B$2:$AI$232,MATCH($S44,Scénarios!$AI$2:$AI$232,0),MATCH(AH$4,Scénarios!$B$4:$AI$4,0)),"-")</f>
        <v>-</v>
      </c>
      <c r="AI44" s="443" t="str">
        <f>IFERROR(INDEX(Scénarios!$B$2:$AI$232,MATCH($S44,Scénarios!$AI$2:$AI$232,0),MATCH(AI$4,Scénarios!$B$4:$AI$4,0)),"-")</f>
        <v>-</v>
      </c>
      <c r="AJ44" s="443" t="str">
        <f>IFERROR(INDEX(Param!$A$3:$C$7,MATCH($AI44,Param!$C$3:$C$7,0),1),"-")</f>
        <v>-</v>
      </c>
      <c r="AK44" s="443" t="str">
        <f>IFERROR(INDEX(Scénarios!$B$2:$AI$232,MATCH($S44,Scénarios!$AI$2:$AI$232,0),MATCH(AK$4,Scénarios!$B$4:$AI$4,0)),"-")</f>
        <v>-</v>
      </c>
      <c r="AL44" s="443" t="str">
        <f>IFERROR(INDEX(Scénarios!$B$2:$AI$232,MATCH($S44,Scénarios!$AI$2:$AI$232,0),MATCH(AL$4,Scénarios!$B$4:$AI$4,0)),"-")</f>
        <v>-</v>
      </c>
      <c r="AM44" s="443" t="str">
        <f>IFERROR(INDEX(Param!$A$10:$C$14,MATCH($AL44,Param!$C$10:$C$14,0),1),"-")</f>
        <v>-</v>
      </c>
      <c r="AN44" s="443" t="str">
        <f>IFERROR(IF(INDEX(Scénarios!$B$2:$AI$232,MATCH($S44,Scénarios!$AI$2:$AI$232,0),MATCH(AN$4,Scénarios!$B$4:$AI$4,0))=0,"",INDEX(Scénarios!$B$2:$AI$232,MATCH($S44,Scénarios!$AI$2:$AI$232,0),MATCH(AN$4,Scénarios!$B$4:$AI$4,0))),"-")</f>
        <v>-</v>
      </c>
      <c r="AO44" s="443" t="str">
        <f>IFERROR(INDEX(Scénarios!$B$2:$AI$232,MATCH($S44,Scénarios!$AI$2:$AI$232,0),MATCH(AO$4,Scénarios!$B$4:$AI$4,0)),"-")</f>
        <v>-</v>
      </c>
      <c r="AP44" s="443" t="str">
        <f>IFERROR(INDEX(Param!$A$17:$C$21,MATCH($AO44,Param!$C$17:$C$21,0),1),"-")</f>
        <v>-</v>
      </c>
      <c r="AQ44" s="443" t="str">
        <f>IFERROR(IF(INDEX(Scénarios!$B$2:$AI$232,MATCH($S44,Scénarios!$AI$2:$AI$232,0),MATCH(AQ$4,Scénarios!$B$4:$AI$4,0))=0,"",INDEX(Scénarios!$B$2:$AI$232,MATCH($S44,Scénarios!$AI$2:$AI$232,0),MATCH(AQ$4,Scénarios!$B$4:$AI$4,0))),"-")</f>
        <v>-</v>
      </c>
      <c r="AR44" s="443" t="str">
        <f>IFERROR(INDEX(Scénarios!$B$2:$AI$232,MATCH($S44,Scénarios!$AI$2:$AI$232,0),MATCH(AR$4,Scénarios!$B$4:$AI$4,0)),"-")</f>
        <v>-</v>
      </c>
      <c r="AS44" s="443" t="str">
        <f>IFERROR(INDEX(Param!$A$24:$C$28,MATCH($AR44,Param!$C$24:$C$28,0),1),"-")</f>
        <v>-</v>
      </c>
      <c r="AT44" s="443" t="str">
        <f>IFERROR(IF(INDEX(Scénarios!$B$2:$AI$232,MATCH($S44,Scénarios!$AI$2:$AI$232,0),MATCH(AT$4,Scénarios!$B$4:$AI$4,0))=0,"",INDEX(Scénarios!$B$2:$AI$232,MATCH($S44,Scénarios!$AI$2:$AI$232,0),MATCH(AT$4,Scénarios!$B$4:$AI$4,0))),"-")</f>
        <v>-</v>
      </c>
      <c r="AU44" s="462" t="str">
        <f>IFERROR(INDEX(Scénarios!$B$2:$AI$232,MATCH($S44,Scénarios!$AI$2:$AI$232,0),MATCH(AU$4,Scénarios!$B$4:$AI$4,0)),"-")</f>
        <v>-</v>
      </c>
      <c r="AV44" s="462" t="str">
        <f>IFERROR(INDEX(Scénarios!$B$2:$AI$232,MATCH($S44,Scénarios!$AI$2:$AI$232,0),MATCH(AV$4,Scénarios!$B$4:$AI$4,0)),"-")</f>
        <v>-</v>
      </c>
      <c r="AW44" s="462" t="str">
        <f>IFERROR(INDEX(Scénarios!$B$2:$AI$232,MATCH($S44,Scénarios!$AI$2:$AI$232,0),MATCH(AW$4,Scénarios!$B$4:$AI$4,0)),"-")</f>
        <v>-</v>
      </c>
      <c r="AX44" s="462" t="str">
        <f>IFERROR(INDEX(Scénarios!$B$2:$AI$232,MATCH($S44,Scénarios!$AI$2:$AI$232,0),MATCH(AX$4,Scénarios!$B$4:$AI$4,0)),"-")</f>
        <v>-</v>
      </c>
      <c r="AY44" s="443" t="str">
        <f>IFERROR(INDEX(Scénarios!$B$2:$AI$232,MATCH($S44,Scénarios!$AI$2:$AI$232,0),MATCH(AY$4,Scénarios!$B$4:$AI$4,0)),"-")</f>
        <v>-</v>
      </c>
      <c r="AZ44" s="588" t="str">
        <f>IFERROR(INDEX(Param!$A$31:$C$35,MATCH($AY44,Param!$C$31:$C$35,0),1),"-")</f>
        <v>-</v>
      </c>
      <c r="BA44" s="588" t="str">
        <f>IFERROR(IF(INDEX(Scénarios!$B$2:$AI$232,MATCH($S44,Scénarios!$AI$2:$AI$232,0),MATCH(BA$4,Scénarios!$B$4:$AI$4,0))=0,"",INDEX(Scénarios!$B$2:$AI$232,MATCH($S44,Scénarios!$AI$2:$AI$232,0),MATCH(BA$4,Scénarios!$B$4:$AI$4,0))),"-")</f>
        <v>-</v>
      </c>
      <c r="BB44" s="443" t="str">
        <f>IFERROR(IF(INDEX(Scénarios!$B$2:$AK$237,MATCH($S44,Scénarios!$AI$2:$AI$237,0),MATCH(BB$4,Scénarios!$B$4:$AK$4,0))=0,"",INDEX(Scénarios!$B$2:$AK$237,MATCH($S44,Scénarios!$AI$2:$AI$237,0),MATCH(BB$4,Scénarios!$B$4:$AK$4,0))),"-")</f>
        <v>-</v>
      </c>
      <c r="BC44" s="443" t="str">
        <f>IFERROR(INDEX(Scénarios!$B$2:$AV$232,MATCH($S44,Scénarios!$AI$2:$AI$232,0),MATCH(BC$4,Scénarios!$B$4:$AV$4,0)),"-")</f>
        <v>-</v>
      </c>
    </row>
    <row r="45" spans="15:55" ht="25.5" customHeight="1" x14ac:dyDescent="0.25">
      <c r="O45" s="604" t="str">
        <f t="shared" si="0"/>
        <v>Fiche R41 sans décision :
Veuillez ajouter une décision</v>
      </c>
      <c r="P45" s="609" t="s">
        <v>2188</v>
      </c>
      <c r="Q45" s="605" t="s">
        <v>2067</v>
      </c>
      <c r="R45" s="585" t="s">
        <v>2068</v>
      </c>
      <c r="S45" s="587" t="s">
        <v>2079</v>
      </c>
      <c r="T45" s="588" t="str">
        <f>IFERROR(INDEX(Tab_sel!$B$7:$C$18,MATCH($AB45,Tab_sel!$C$7:$C$18,0),1),"-")</f>
        <v>-</v>
      </c>
      <c r="U45" s="589" t="str">
        <f>IFERROR(INDEX(Scénarios!$B$2:$AI$232,MATCH($S45,Scénarios!$AI$2:$AI$232,0),MATCH(U$4,Scénarios!$B$4:$AI$4,0)),"-")</f>
        <v>-</v>
      </c>
      <c r="V45" s="588" t="str">
        <f>IFERROR(INDEX(Scénarios!$B$2:$AI$232,MATCH($S45,Scénarios!$AI$2:$AI$232,0),MATCH(V$4,Scénarios!$B$4:$AI$4,0)),"-")</f>
        <v>-</v>
      </c>
      <c r="W45" s="588" t="str">
        <f>IFERROR(INDEX(Scénarios!$B$2:$AI$232,MATCH($S45,Scénarios!$AI$2:$AI$232,0),MATCH(W$4,Scénarios!$B$4:$AI$4,0)),"-")</f>
        <v>-</v>
      </c>
      <c r="X45" s="588" t="str">
        <f>IFERROR(VLOOKUP(AD45,Expo!$D$4:$E$35,2,FALSE),"-")</f>
        <v>-</v>
      </c>
      <c r="Y45" s="859" t="str">
        <f>IFERROR(IF(INDEX(Scénarios!$B$2:$AI$232,MATCH($S45,Scénarios!$AI$2:$AI$232,0),MATCH(Y$4,Scénarios!$B$4:$AI$4,0))=0,"",INDEX(Scénarios!$B$2:$AI$232,MATCH($S45,Scénarios!$AI$2:$AI$232,0),MATCH(Y$4,Scénarios!$B$4:$AI$4,0))),"-")</f>
        <v>-</v>
      </c>
      <c r="Z45" s="589" t="str">
        <f>IFERROR(INDEX(Scénarios!$B$2:$AI$232,MATCH($S45,Scénarios!$AI$2:$AI$232,0),MATCH(Z$4,Scénarios!$B$4:$AI$4,0)),"-")</f>
        <v>-</v>
      </c>
      <c r="AA45" s="589" t="str">
        <f>IFERROR(INDEX(Scénarios!$B$2:$AI$232,MATCH($S45,Scénarios!$AI$2:$AI$232,0),MATCH(AA$4,Scénarios!$B$4:$AI$4,0)),"-")</f>
        <v>-</v>
      </c>
      <c r="AB45" s="586" t="str">
        <f>IFERROR(INDEX(Scénarios!$B$2:$AI$232,MATCH($S45,Scénarios!$AI$2:$AI$232,0),MATCH(AB$4,Scénarios!$B$4:$AI$4,0)),"-")</f>
        <v>-</v>
      </c>
      <c r="AC45" s="442" t="str">
        <f>IFERROR(INDEX(Tab_sel!$B$24:$C$27,MATCH($U45,Tab_sel!$C$24:$C$27,0),1),"-")</f>
        <v>-</v>
      </c>
      <c r="AD45" s="443" t="str">
        <f>IFERROR(INDEX(Scénarios!$B$2:$AI$232,MATCH($S45,Scénarios!$AI$2:$AI$232,0),MATCH(AD$4,Scénarios!$B$4:$AI$4,0)),"-")</f>
        <v>-</v>
      </c>
      <c r="AE45" s="460" t="str">
        <f>IFERROR(INDEX(Scénarios!$B$2:$AI$232,MATCH($S45,Scénarios!$AI$2:$AI$232,0),MATCH(AE$4,Scénarios!$B$4:$AI$4,0)),"-")</f>
        <v>-</v>
      </c>
      <c r="AF45" s="460" t="str">
        <f>IFERROR(INDEX(Scénarios!$B$2:$AI$232,MATCH($S45,Scénarios!$AI$2:$AI$232,0),MATCH(AF$4,Scénarios!$B$4:$AI$4,0)),"-")</f>
        <v>-</v>
      </c>
      <c r="AG45" s="460" t="str">
        <f>IFERROR(INDEX(Scénarios!$B$2:$AI$232,MATCH($S45,Scénarios!$AI$2:$AI$232,0),MATCH(AG$4,Scénarios!$B$4:$AI$4,0)),"-")</f>
        <v>-</v>
      </c>
      <c r="AH45" s="460" t="str">
        <f>IFERROR(INDEX(Scénarios!$B$2:$AI$232,MATCH($S45,Scénarios!$AI$2:$AI$232,0),MATCH(AH$4,Scénarios!$B$4:$AI$4,0)),"-")</f>
        <v>-</v>
      </c>
      <c r="AI45" s="443" t="str">
        <f>IFERROR(INDEX(Scénarios!$B$2:$AI$232,MATCH($S45,Scénarios!$AI$2:$AI$232,0),MATCH(AI$4,Scénarios!$B$4:$AI$4,0)),"-")</f>
        <v>-</v>
      </c>
      <c r="AJ45" s="443" t="str">
        <f>IFERROR(INDEX(Param!$A$3:$C$7,MATCH($AI45,Param!$C$3:$C$7,0),1),"-")</f>
        <v>-</v>
      </c>
      <c r="AK45" s="443" t="str">
        <f>IFERROR(INDEX(Scénarios!$B$2:$AI$232,MATCH($S45,Scénarios!$AI$2:$AI$232,0),MATCH(AK$4,Scénarios!$B$4:$AI$4,0)),"-")</f>
        <v>-</v>
      </c>
      <c r="AL45" s="443" t="str">
        <f>IFERROR(INDEX(Scénarios!$B$2:$AI$232,MATCH($S45,Scénarios!$AI$2:$AI$232,0),MATCH(AL$4,Scénarios!$B$4:$AI$4,0)),"-")</f>
        <v>-</v>
      </c>
      <c r="AM45" s="443" t="str">
        <f>IFERROR(INDEX(Param!$A$10:$C$14,MATCH($AL45,Param!$C$10:$C$14,0),1),"-")</f>
        <v>-</v>
      </c>
      <c r="AN45" s="443" t="str">
        <f>IFERROR(IF(INDEX(Scénarios!$B$2:$AI$232,MATCH($S45,Scénarios!$AI$2:$AI$232,0),MATCH(AN$4,Scénarios!$B$4:$AI$4,0))=0,"",INDEX(Scénarios!$B$2:$AI$232,MATCH($S45,Scénarios!$AI$2:$AI$232,0),MATCH(AN$4,Scénarios!$B$4:$AI$4,0))),"-")</f>
        <v>-</v>
      </c>
      <c r="AO45" s="443" t="str">
        <f>IFERROR(INDEX(Scénarios!$B$2:$AI$232,MATCH($S45,Scénarios!$AI$2:$AI$232,0),MATCH(AO$4,Scénarios!$B$4:$AI$4,0)),"-")</f>
        <v>-</v>
      </c>
      <c r="AP45" s="443" t="str">
        <f>IFERROR(INDEX(Param!$A$17:$C$21,MATCH($AO45,Param!$C$17:$C$21,0),1),"-")</f>
        <v>-</v>
      </c>
      <c r="AQ45" s="443" t="str">
        <f>IFERROR(IF(INDEX(Scénarios!$B$2:$AI$232,MATCH($S45,Scénarios!$AI$2:$AI$232,0),MATCH(AQ$4,Scénarios!$B$4:$AI$4,0))=0,"",INDEX(Scénarios!$B$2:$AI$232,MATCH($S45,Scénarios!$AI$2:$AI$232,0),MATCH(AQ$4,Scénarios!$B$4:$AI$4,0))),"-")</f>
        <v>-</v>
      </c>
      <c r="AR45" s="443" t="str">
        <f>IFERROR(INDEX(Scénarios!$B$2:$AI$232,MATCH($S45,Scénarios!$AI$2:$AI$232,0),MATCH(AR$4,Scénarios!$B$4:$AI$4,0)),"-")</f>
        <v>-</v>
      </c>
      <c r="AS45" s="443" t="str">
        <f>IFERROR(INDEX(Param!$A$24:$C$28,MATCH($AR45,Param!$C$24:$C$28,0),1),"-")</f>
        <v>-</v>
      </c>
      <c r="AT45" s="443" t="str">
        <f>IFERROR(IF(INDEX(Scénarios!$B$2:$AI$232,MATCH($S45,Scénarios!$AI$2:$AI$232,0),MATCH(AT$4,Scénarios!$B$4:$AI$4,0))=0,"",INDEX(Scénarios!$B$2:$AI$232,MATCH($S45,Scénarios!$AI$2:$AI$232,0),MATCH(AT$4,Scénarios!$B$4:$AI$4,0))),"-")</f>
        <v>-</v>
      </c>
      <c r="AU45" s="462" t="str">
        <f>IFERROR(INDEX(Scénarios!$B$2:$AI$232,MATCH($S45,Scénarios!$AI$2:$AI$232,0),MATCH(AU$4,Scénarios!$B$4:$AI$4,0)),"-")</f>
        <v>-</v>
      </c>
      <c r="AV45" s="462" t="str">
        <f>IFERROR(INDEX(Scénarios!$B$2:$AI$232,MATCH($S45,Scénarios!$AI$2:$AI$232,0),MATCH(AV$4,Scénarios!$B$4:$AI$4,0)),"-")</f>
        <v>-</v>
      </c>
      <c r="AW45" s="462" t="str">
        <f>IFERROR(INDEX(Scénarios!$B$2:$AI$232,MATCH($S45,Scénarios!$AI$2:$AI$232,0),MATCH(AW$4,Scénarios!$B$4:$AI$4,0)),"-")</f>
        <v>-</v>
      </c>
      <c r="AX45" s="462" t="str">
        <f>IFERROR(INDEX(Scénarios!$B$2:$AI$232,MATCH($S45,Scénarios!$AI$2:$AI$232,0),MATCH(AX$4,Scénarios!$B$4:$AI$4,0)),"-")</f>
        <v>-</v>
      </c>
      <c r="AY45" s="443" t="str">
        <f>IFERROR(INDEX(Scénarios!$B$2:$AI$232,MATCH($S45,Scénarios!$AI$2:$AI$232,0),MATCH(AY$4,Scénarios!$B$4:$AI$4,0)),"-")</f>
        <v>-</v>
      </c>
      <c r="AZ45" s="588" t="str">
        <f>IFERROR(INDEX(Param!$A$31:$C$35,MATCH($AY45,Param!$C$31:$C$35,0),1),"-")</f>
        <v>-</v>
      </c>
      <c r="BA45" s="588" t="str">
        <f>IFERROR(IF(INDEX(Scénarios!$B$2:$AI$232,MATCH($S45,Scénarios!$AI$2:$AI$232,0),MATCH(BA$4,Scénarios!$B$4:$AI$4,0))=0,"",INDEX(Scénarios!$B$2:$AI$232,MATCH($S45,Scénarios!$AI$2:$AI$232,0),MATCH(BA$4,Scénarios!$B$4:$AI$4,0))),"-")</f>
        <v>-</v>
      </c>
      <c r="BB45" s="443" t="str">
        <f>IFERROR(IF(INDEX(Scénarios!$B$2:$AK$237,MATCH($S45,Scénarios!$AI$2:$AI$237,0),MATCH(BB$4,Scénarios!$B$4:$AK$4,0))=0,"",INDEX(Scénarios!$B$2:$AK$237,MATCH($S45,Scénarios!$AI$2:$AI$237,0),MATCH(BB$4,Scénarios!$B$4:$AK$4,0))),"-")</f>
        <v>-</v>
      </c>
      <c r="BC45" s="443" t="str">
        <f>IFERROR(INDEX(Scénarios!$B$2:$AV$232,MATCH($S45,Scénarios!$AI$2:$AI$232,0),MATCH(BC$4,Scénarios!$B$4:$AV$4,0)),"-")</f>
        <v>-</v>
      </c>
    </row>
    <row r="46" spans="15:55" ht="25.5" customHeight="1" x14ac:dyDescent="0.25">
      <c r="O46" s="604" t="str">
        <f t="shared" si="0"/>
        <v>Fiche R42 sans décision :
Veuillez ajouter une décision</v>
      </c>
      <c r="P46" s="609" t="s">
        <v>2188</v>
      </c>
      <c r="Q46" s="605" t="s">
        <v>2067</v>
      </c>
      <c r="R46" s="585" t="s">
        <v>2068</v>
      </c>
      <c r="S46" s="587" t="s">
        <v>2080</v>
      </c>
      <c r="T46" s="588" t="str">
        <f>IFERROR(INDEX(Tab_sel!$B$7:$C$18,MATCH($AB46,Tab_sel!$C$7:$C$18,0),1),"-")</f>
        <v>-</v>
      </c>
      <c r="U46" s="589" t="str">
        <f>IFERROR(INDEX(Scénarios!$B$2:$AI$232,MATCH($S46,Scénarios!$AI$2:$AI$232,0),MATCH(U$4,Scénarios!$B$4:$AI$4,0)),"-")</f>
        <v>-</v>
      </c>
      <c r="V46" s="588" t="str">
        <f>IFERROR(INDEX(Scénarios!$B$2:$AI$232,MATCH($S46,Scénarios!$AI$2:$AI$232,0),MATCH(V$4,Scénarios!$B$4:$AI$4,0)),"-")</f>
        <v>-</v>
      </c>
      <c r="W46" s="588" t="str">
        <f>IFERROR(INDEX(Scénarios!$B$2:$AI$232,MATCH($S46,Scénarios!$AI$2:$AI$232,0),MATCH(W$4,Scénarios!$B$4:$AI$4,0)),"-")</f>
        <v>-</v>
      </c>
      <c r="X46" s="588" t="str">
        <f>IFERROR(VLOOKUP(AD46,Expo!$D$4:$E$35,2,FALSE),"-")</f>
        <v>-</v>
      </c>
      <c r="Y46" s="859" t="str">
        <f>IFERROR(IF(INDEX(Scénarios!$B$2:$AI$232,MATCH($S46,Scénarios!$AI$2:$AI$232,0),MATCH(Y$4,Scénarios!$B$4:$AI$4,0))=0,"",INDEX(Scénarios!$B$2:$AI$232,MATCH($S46,Scénarios!$AI$2:$AI$232,0),MATCH(Y$4,Scénarios!$B$4:$AI$4,0))),"-")</f>
        <v>-</v>
      </c>
      <c r="Z46" s="589" t="str">
        <f>IFERROR(INDEX(Scénarios!$B$2:$AI$232,MATCH($S46,Scénarios!$AI$2:$AI$232,0),MATCH(Z$4,Scénarios!$B$4:$AI$4,0)),"-")</f>
        <v>-</v>
      </c>
      <c r="AA46" s="589" t="str">
        <f>IFERROR(INDEX(Scénarios!$B$2:$AI$232,MATCH($S46,Scénarios!$AI$2:$AI$232,0),MATCH(AA$4,Scénarios!$B$4:$AI$4,0)),"-")</f>
        <v>-</v>
      </c>
      <c r="AB46" s="586" t="str">
        <f>IFERROR(INDEX(Scénarios!$B$2:$AI$232,MATCH($S46,Scénarios!$AI$2:$AI$232,0),MATCH(AB$4,Scénarios!$B$4:$AI$4,0)),"-")</f>
        <v>-</v>
      </c>
      <c r="AC46" s="442" t="str">
        <f>IFERROR(INDEX(Tab_sel!$B$24:$C$27,MATCH($U46,Tab_sel!$C$24:$C$27,0),1),"-")</f>
        <v>-</v>
      </c>
      <c r="AD46" s="443" t="str">
        <f>IFERROR(INDEX(Scénarios!$B$2:$AI$232,MATCH($S46,Scénarios!$AI$2:$AI$232,0),MATCH(AD$4,Scénarios!$B$4:$AI$4,0)),"-")</f>
        <v>-</v>
      </c>
      <c r="AE46" s="460" t="str">
        <f>IFERROR(INDEX(Scénarios!$B$2:$AI$232,MATCH($S46,Scénarios!$AI$2:$AI$232,0),MATCH(AE$4,Scénarios!$B$4:$AI$4,0)),"-")</f>
        <v>-</v>
      </c>
      <c r="AF46" s="460" t="str">
        <f>IFERROR(INDEX(Scénarios!$B$2:$AI$232,MATCH($S46,Scénarios!$AI$2:$AI$232,0),MATCH(AF$4,Scénarios!$B$4:$AI$4,0)),"-")</f>
        <v>-</v>
      </c>
      <c r="AG46" s="460" t="str">
        <f>IFERROR(INDEX(Scénarios!$B$2:$AI$232,MATCH($S46,Scénarios!$AI$2:$AI$232,0),MATCH(AG$4,Scénarios!$B$4:$AI$4,0)),"-")</f>
        <v>-</v>
      </c>
      <c r="AH46" s="460" t="str">
        <f>IFERROR(INDEX(Scénarios!$B$2:$AI$232,MATCH($S46,Scénarios!$AI$2:$AI$232,0),MATCH(AH$4,Scénarios!$B$4:$AI$4,0)),"-")</f>
        <v>-</v>
      </c>
      <c r="AI46" s="443" t="str">
        <f>IFERROR(INDEX(Scénarios!$B$2:$AI$232,MATCH($S46,Scénarios!$AI$2:$AI$232,0),MATCH(AI$4,Scénarios!$B$4:$AI$4,0)),"-")</f>
        <v>-</v>
      </c>
      <c r="AJ46" s="443" t="str">
        <f>IFERROR(INDEX(Param!$A$3:$C$7,MATCH($AI46,Param!$C$3:$C$7,0),1),"-")</f>
        <v>-</v>
      </c>
      <c r="AK46" s="443" t="str">
        <f>IFERROR(INDEX(Scénarios!$B$2:$AI$232,MATCH($S46,Scénarios!$AI$2:$AI$232,0),MATCH(AK$4,Scénarios!$B$4:$AI$4,0)),"-")</f>
        <v>-</v>
      </c>
      <c r="AL46" s="443" t="str">
        <f>IFERROR(INDEX(Scénarios!$B$2:$AI$232,MATCH($S46,Scénarios!$AI$2:$AI$232,0),MATCH(AL$4,Scénarios!$B$4:$AI$4,0)),"-")</f>
        <v>-</v>
      </c>
      <c r="AM46" s="443" t="str">
        <f>IFERROR(INDEX(Param!$A$10:$C$14,MATCH($AL46,Param!$C$10:$C$14,0),1),"-")</f>
        <v>-</v>
      </c>
      <c r="AN46" s="443" t="str">
        <f>IFERROR(IF(INDEX(Scénarios!$B$2:$AI$232,MATCH($S46,Scénarios!$AI$2:$AI$232,0),MATCH(AN$4,Scénarios!$B$4:$AI$4,0))=0,"",INDEX(Scénarios!$B$2:$AI$232,MATCH($S46,Scénarios!$AI$2:$AI$232,0),MATCH(AN$4,Scénarios!$B$4:$AI$4,0))),"-")</f>
        <v>-</v>
      </c>
      <c r="AO46" s="443" t="str">
        <f>IFERROR(INDEX(Scénarios!$B$2:$AI$232,MATCH($S46,Scénarios!$AI$2:$AI$232,0),MATCH(AO$4,Scénarios!$B$4:$AI$4,0)),"-")</f>
        <v>-</v>
      </c>
      <c r="AP46" s="443" t="str">
        <f>IFERROR(INDEX(Param!$A$17:$C$21,MATCH($AO46,Param!$C$17:$C$21,0),1),"-")</f>
        <v>-</v>
      </c>
      <c r="AQ46" s="443" t="str">
        <f>IFERROR(IF(INDEX(Scénarios!$B$2:$AI$232,MATCH($S46,Scénarios!$AI$2:$AI$232,0),MATCH(AQ$4,Scénarios!$B$4:$AI$4,0))=0,"",INDEX(Scénarios!$B$2:$AI$232,MATCH($S46,Scénarios!$AI$2:$AI$232,0),MATCH(AQ$4,Scénarios!$B$4:$AI$4,0))),"-")</f>
        <v>-</v>
      </c>
      <c r="AR46" s="443" t="str">
        <f>IFERROR(INDEX(Scénarios!$B$2:$AI$232,MATCH($S46,Scénarios!$AI$2:$AI$232,0),MATCH(AR$4,Scénarios!$B$4:$AI$4,0)),"-")</f>
        <v>-</v>
      </c>
      <c r="AS46" s="443" t="str">
        <f>IFERROR(INDEX(Param!$A$24:$C$28,MATCH($AR46,Param!$C$24:$C$28,0),1),"-")</f>
        <v>-</v>
      </c>
      <c r="AT46" s="443" t="str">
        <f>IFERROR(IF(INDEX(Scénarios!$B$2:$AI$232,MATCH($S46,Scénarios!$AI$2:$AI$232,0),MATCH(AT$4,Scénarios!$B$4:$AI$4,0))=0,"",INDEX(Scénarios!$B$2:$AI$232,MATCH($S46,Scénarios!$AI$2:$AI$232,0),MATCH(AT$4,Scénarios!$B$4:$AI$4,0))),"-")</f>
        <v>-</v>
      </c>
      <c r="AU46" s="462" t="str">
        <f>IFERROR(INDEX(Scénarios!$B$2:$AI$232,MATCH($S46,Scénarios!$AI$2:$AI$232,0),MATCH(AU$4,Scénarios!$B$4:$AI$4,0)),"-")</f>
        <v>-</v>
      </c>
      <c r="AV46" s="462" t="str">
        <f>IFERROR(INDEX(Scénarios!$B$2:$AI$232,MATCH($S46,Scénarios!$AI$2:$AI$232,0),MATCH(AV$4,Scénarios!$B$4:$AI$4,0)),"-")</f>
        <v>-</v>
      </c>
      <c r="AW46" s="462" t="str">
        <f>IFERROR(INDEX(Scénarios!$B$2:$AI$232,MATCH($S46,Scénarios!$AI$2:$AI$232,0),MATCH(AW$4,Scénarios!$B$4:$AI$4,0)),"-")</f>
        <v>-</v>
      </c>
      <c r="AX46" s="462" t="str">
        <f>IFERROR(INDEX(Scénarios!$B$2:$AI$232,MATCH($S46,Scénarios!$AI$2:$AI$232,0),MATCH(AX$4,Scénarios!$B$4:$AI$4,0)),"-")</f>
        <v>-</v>
      </c>
      <c r="AY46" s="443" t="str">
        <f>IFERROR(INDEX(Scénarios!$B$2:$AI$232,MATCH($S46,Scénarios!$AI$2:$AI$232,0),MATCH(AY$4,Scénarios!$B$4:$AI$4,0)),"-")</f>
        <v>-</v>
      </c>
      <c r="AZ46" s="588" t="str">
        <f>IFERROR(INDEX(Param!$A$31:$C$35,MATCH($AY46,Param!$C$31:$C$35,0),1),"-")</f>
        <v>-</v>
      </c>
      <c r="BA46" s="588" t="str">
        <f>IFERROR(IF(INDEX(Scénarios!$B$2:$AI$232,MATCH($S46,Scénarios!$AI$2:$AI$232,0),MATCH(BA$4,Scénarios!$B$4:$AI$4,0))=0,"",INDEX(Scénarios!$B$2:$AI$232,MATCH($S46,Scénarios!$AI$2:$AI$232,0),MATCH(BA$4,Scénarios!$B$4:$AI$4,0))),"-")</f>
        <v>-</v>
      </c>
      <c r="BB46" s="443" t="str">
        <f>IFERROR(IF(INDEX(Scénarios!$B$2:$AK$237,MATCH($S46,Scénarios!$AI$2:$AI$237,0),MATCH(BB$4,Scénarios!$B$4:$AK$4,0))=0,"",INDEX(Scénarios!$B$2:$AK$237,MATCH($S46,Scénarios!$AI$2:$AI$237,0),MATCH(BB$4,Scénarios!$B$4:$AK$4,0))),"-")</f>
        <v>-</v>
      </c>
      <c r="BC46" s="443" t="str">
        <f>IFERROR(INDEX(Scénarios!$B$2:$AV$232,MATCH($S46,Scénarios!$AI$2:$AI$232,0),MATCH(BC$4,Scénarios!$B$4:$AV$4,0)),"-")</f>
        <v>-</v>
      </c>
    </row>
    <row r="47" spans="15:55" ht="25.5" customHeight="1" x14ac:dyDescent="0.25">
      <c r="O47" s="604" t="str">
        <f t="shared" si="0"/>
        <v>Fiche R43 sans décision :
Veuillez ajouter une décision</v>
      </c>
      <c r="P47" s="609" t="s">
        <v>2188</v>
      </c>
      <c r="Q47" s="605" t="s">
        <v>2067</v>
      </c>
      <c r="R47" s="585" t="s">
        <v>2068</v>
      </c>
      <c r="S47" s="587" t="s">
        <v>2081</v>
      </c>
      <c r="T47" s="588" t="str">
        <f>IFERROR(INDEX(Tab_sel!$B$7:$C$18,MATCH($AB47,Tab_sel!$C$7:$C$18,0),1),"-")</f>
        <v>-</v>
      </c>
      <c r="U47" s="589" t="str">
        <f>IFERROR(INDEX(Scénarios!$B$2:$AI$232,MATCH($S47,Scénarios!$AI$2:$AI$232,0),MATCH(U$4,Scénarios!$B$4:$AI$4,0)),"-")</f>
        <v>-</v>
      </c>
      <c r="V47" s="588" t="str">
        <f>IFERROR(INDEX(Scénarios!$B$2:$AI$232,MATCH($S47,Scénarios!$AI$2:$AI$232,0),MATCH(V$4,Scénarios!$B$4:$AI$4,0)),"-")</f>
        <v>-</v>
      </c>
      <c r="W47" s="588" t="str">
        <f>IFERROR(INDEX(Scénarios!$B$2:$AI$232,MATCH($S47,Scénarios!$AI$2:$AI$232,0),MATCH(W$4,Scénarios!$B$4:$AI$4,0)),"-")</f>
        <v>-</v>
      </c>
      <c r="X47" s="588" t="str">
        <f>IFERROR(VLOOKUP(AD47,Expo!$D$4:$E$35,2,FALSE),"-")</f>
        <v>-</v>
      </c>
      <c r="Y47" s="859" t="str">
        <f>IFERROR(IF(INDEX(Scénarios!$B$2:$AI$232,MATCH($S47,Scénarios!$AI$2:$AI$232,0),MATCH(Y$4,Scénarios!$B$4:$AI$4,0))=0,"",INDEX(Scénarios!$B$2:$AI$232,MATCH($S47,Scénarios!$AI$2:$AI$232,0),MATCH(Y$4,Scénarios!$B$4:$AI$4,0))),"-")</f>
        <v>-</v>
      </c>
      <c r="Z47" s="589" t="str">
        <f>IFERROR(INDEX(Scénarios!$B$2:$AI$232,MATCH($S47,Scénarios!$AI$2:$AI$232,0),MATCH(Z$4,Scénarios!$B$4:$AI$4,0)),"-")</f>
        <v>-</v>
      </c>
      <c r="AA47" s="589" t="str">
        <f>IFERROR(INDEX(Scénarios!$B$2:$AI$232,MATCH($S47,Scénarios!$AI$2:$AI$232,0),MATCH(AA$4,Scénarios!$B$4:$AI$4,0)),"-")</f>
        <v>-</v>
      </c>
      <c r="AB47" s="586" t="str">
        <f>IFERROR(INDEX(Scénarios!$B$2:$AI$232,MATCH($S47,Scénarios!$AI$2:$AI$232,0),MATCH(AB$4,Scénarios!$B$4:$AI$4,0)),"-")</f>
        <v>-</v>
      </c>
      <c r="AC47" s="442" t="str">
        <f>IFERROR(INDEX(Tab_sel!$B$24:$C$27,MATCH($U47,Tab_sel!$C$24:$C$27,0),1),"-")</f>
        <v>-</v>
      </c>
      <c r="AD47" s="443" t="str">
        <f>IFERROR(INDEX(Scénarios!$B$2:$AI$232,MATCH($S47,Scénarios!$AI$2:$AI$232,0),MATCH(AD$4,Scénarios!$B$4:$AI$4,0)),"-")</f>
        <v>-</v>
      </c>
      <c r="AE47" s="460" t="str">
        <f>IFERROR(INDEX(Scénarios!$B$2:$AI$232,MATCH($S47,Scénarios!$AI$2:$AI$232,0),MATCH(AE$4,Scénarios!$B$4:$AI$4,0)),"-")</f>
        <v>-</v>
      </c>
      <c r="AF47" s="460" t="str">
        <f>IFERROR(INDEX(Scénarios!$B$2:$AI$232,MATCH($S47,Scénarios!$AI$2:$AI$232,0),MATCH(AF$4,Scénarios!$B$4:$AI$4,0)),"-")</f>
        <v>-</v>
      </c>
      <c r="AG47" s="460" t="str">
        <f>IFERROR(INDEX(Scénarios!$B$2:$AI$232,MATCH($S47,Scénarios!$AI$2:$AI$232,0),MATCH(AG$4,Scénarios!$B$4:$AI$4,0)),"-")</f>
        <v>-</v>
      </c>
      <c r="AH47" s="460" t="str">
        <f>IFERROR(INDEX(Scénarios!$B$2:$AI$232,MATCH($S47,Scénarios!$AI$2:$AI$232,0),MATCH(AH$4,Scénarios!$B$4:$AI$4,0)),"-")</f>
        <v>-</v>
      </c>
      <c r="AI47" s="443" t="str">
        <f>IFERROR(INDEX(Scénarios!$B$2:$AI$232,MATCH($S47,Scénarios!$AI$2:$AI$232,0),MATCH(AI$4,Scénarios!$B$4:$AI$4,0)),"-")</f>
        <v>-</v>
      </c>
      <c r="AJ47" s="443" t="str">
        <f>IFERROR(INDEX(Param!$A$3:$C$7,MATCH($AI47,Param!$C$3:$C$7,0),1),"-")</f>
        <v>-</v>
      </c>
      <c r="AK47" s="443" t="str">
        <f>IFERROR(INDEX(Scénarios!$B$2:$AI$232,MATCH($S47,Scénarios!$AI$2:$AI$232,0),MATCH(AK$4,Scénarios!$B$4:$AI$4,0)),"-")</f>
        <v>-</v>
      </c>
      <c r="AL47" s="443" t="str">
        <f>IFERROR(INDEX(Scénarios!$B$2:$AI$232,MATCH($S47,Scénarios!$AI$2:$AI$232,0),MATCH(AL$4,Scénarios!$B$4:$AI$4,0)),"-")</f>
        <v>-</v>
      </c>
      <c r="AM47" s="443" t="str">
        <f>IFERROR(INDEX(Param!$A$10:$C$14,MATCH($AL47,Param!$C$10:$C$14,0),1),"-")</f>
        <v>-</v>
      </c>
      <c r="AN47" s="443" t="str">
        <f>IFERROR(IF(INDEX(Scénarios!$B$2:$AI$232,MATCH($S47,Scénarios!$AI$2:$AI$232,0),MATCH(AN$4,Scénarios!$B$4:$AI$4,0))=0,"",INDEX(Scénarios!$B$2:$AI$232,MATCH($S47,Scénarios!$AI$2:$AI$232,0),MATCH(AN$4,Scénarios!$B$4:$AI$4,0))),"-")</f>
        <v>-</v>
      </c>
      <c r="AO47" s="443" t="str">
        <f>IFERROR(INDEX(Scénarios!$B$2:$AI$232,MATCH($S47,Scénarios!$AI$2:$AI$232,0),MATCH(AO$4,Scénarios!$B$4:$AI$4,0)),"-")</f>
        <v>-</v>
      </c>
      <c r="AP47" s="443" t="str">
        <f>IFERROR(INDEX(Param!$A$17:$C$21,MATCH($AO47,Param!$C$17:$C$21,0),1),"-")</f>
        <v>-</v>
      </c>
      <c r="AQ47" s="443" t="str">
        <f>IFERROR(IF(INDEX(Scénarios!$B$2:$AI$232,MATCH($S47,Scénarios!$AI$2:$AI$232,0),MATCH(AQ$4,Scénarios!$B$4:$AI$4,0))=0,"",INDEX(Scénarios!$B$2:$AI$232,MATCH($S47,Scénarios!$AI$2:$AI$232,0),MATCH(AQ$4,Scénarios!$B$4:$AI$4,0))),"-")</f>
        <v>-</v>
      </c>
      <c r="AR47" s="443" t="str">
        <f>IFERROR(INDEX(Scénarios!$B$2:$AI$232,MATCH($S47,Scénarios!$AI$2:$AI$232,0),MATCH(AR$4,Scénarios!$B$4:$AI$4,0)),"-")</f>
        <v>-</v>
      </c>
      <c r="AS47" s="443" t="str">
        <f>IFERROR(INDEX(Param!$A$24:$C$28,MATCH($AR47,Param!$C$24:$C$28,0),1),"-")</f>
        <v>-</v>
      </c>
      <c r="AT47" s="443" t="str">
        <f>IFERROR(IF(INDEX(Scénarios!$B$2:$AI$232,MATCH($S47,Scénarios!$AI$2:$AI$232,0),MATCH(AT$4,Scénarios!$B$4:$AI$4,0))=0,"",INDEX(Scénarios!$B$2:$AI$232,MATCH($S47,Scénarios!$AI$2:$AI$232,0),MATCH(AT$4,Scénarios!$B$4:$AI$4,0))),"-")</f>
        <v>-</v>
      </c>
      <c r="AU47" s="462" t="str">
        <f>IFERROR(INDEX(Scénarios!$B$2:$AI$232,MATCH($S47,Scénarios!$AI$2:$AI$232,0),MATCH(AU$4,Scénarios!$B$4:$AI$4,0)),"-")</f>
        <v>-</v>
      </c>
      <c r="AV47" s="462" t="str">
        <f>IFERROR(INDEX(Scénarios!$B$2:$AI$232,MATCH($S47,Scénarios!$AI$2:$AI$232,0),MATCH(AV$4,Scénarios!$B$4:$AI$4,0)),"-")</f>
        <v>-</v>
      </c>
      <c r="AW47" s="462" t="str">
        <f>IFERROR(INDEX(Scénarios!$B$2:$AI$232,MATCH($S47,Scénarios!$AI$2:$AI$232,0),MATCH(AW$4,Scénarios!$B$4:$AI$4,0)),"-")</f>
        <v>-</v>
      </c>
      <c r="AX47" s="462" t="str">
        <f>IFERROR(INDEX(Scénarios!$B$2:$AI$232,MATCH($S47,Scénarios!$AI$2:$AI$232,0),MATCH(AX$4,Scénarios!$B$4:$AI$4,0)),"-")</f>
        <v>-</v>
      </c>
      <c r="AY47" s="443" t="str">
        <f>IFERROR(INDEX(Scénarios!$B$2:$AI$232,MATCH($S47,Scénarios!$AI$2:$AI$232,0),MATCH(AY$4,Scénarios!$B$4:$AI$4,0)),"-")</f>
        <v>-</v>
      </c>
      <c r="AZ47" s="588" t="str">
        <f>IFERROR(INDEX(Param!$A$31:$C$35,MATCH($AY47,Param!$C$31:$C$35,0),1),"-")</f>
        <v>-</v>
      </c>
      <c r="BA47" s="588" t="str">
        <f>IFERROR(IF(INDEX(Scénarios!$B$2:$AI$232,MATCH($S47,Scénarios!$AI$2:$AI$232,0),MATCH(BA$4,Scénarios!$B$4:$AI$4,0))=0,"",INDEX(Scénarios!$B$2:$AI$232,MATCH($S47,Scénarios!$AI$2:$AI$232,0),MATCH(BA$4,Scénarios!$B$4:$AI$4,0))),"-")</f>
        <v>-</v>
      </c>
      <c r="BB47" s="443" t="str">
        <f>IFERROR(IF(INDEX(Scénarios!$B$2:$AK$237,MATCH($S47,Scénarios!$AI$2:$AI$237,0),MATCH(BB$4,Scénarios!$B$4:$AK$4,0))=0,"",INDEX(Scénarios!$B$2:$AK$237,MATCH($S47,Scénarios!$AI$2:$AI$237,0),MATCH(BB$4,Scénarios!$B$4:$AK$4,0))),"-")</f>
        <v>-</v>
      </c>
      <c r="BC47" s="443" t="str">
        <f>IFERROR(INDEX(Scénarios!$B$2:$AV$232,MATCH($S47,Scénarios!$AI$2:$AI$232,0),MATCH(BC$4,Scénarios!$B$4:$AV$4,0)),"-")</f>
        <v>-</v>
      </c>
    </row>
    <row r="48" spans="15:55" ht="25.5" customHeight="1" x14ac:dyDescent="0.25">
      <c r="O48" s="604" t="str">
        <f t="shared" si="0"/>
        <v>Fiche R44 sans décision :
Veuillez ajouter une décision</v>
      </c>
      <c r="P48" s="609" t="s">
        <v>2188</v>
      </c>
      <c r="Q48" s="605" t="s">
        <v>2067</v>
      </c>
      <c r="R48" s="585" t="s">
        <v>2068</v>
      </c>
      <c r="S48" s="587" t="s">
        <v>2082</v>
      </c>
      <c r="T48" s="588" t="str">
        <f>IFERROR(INDEX(Tab_sel!$B$7:$C$18,MATCH($AB48,Tab_sel!$C$7:$C$18,0),1),"-")</f>
        <v>-</v>
      </c>
      <c r="U48" s="589" t="str">
        <f>IFERROR(INDEX(Scénarios!$B$2:$AI$232,MATCH($S48,Scénarios!$AI$2:$AI$232,0),MATCH(U$4,Scénarios!$B$4:$AI$4,0)),"-")</f>
        <v>-</v>
      </c>
      <c r="V48" s="588" t="str">
        <f>IFERROR(INDEX(Scénarios!$B$2:$AI$232,MATCH($S48,Scénarios!$AI$2:$AI$232,0),MATCH(V$4,Scénarios!$B$4:$AI$4,0)),"-")</f>
        <v>-</v>
      </c>
      <c r="W48" s="588" t="str">
        <f>IFERROR(INDEX(Scénarios!$B$2:$AI$232,MATCH($S48,Scénarios!$AI$2:$AI$232,0),MATCH(W$4,Scénarios!$B$4:$AI$4,0)),"-")</f>
        <v>-</v>
      </c>
      <c r="X48" s="588" t="str">
        <f>IFERROR(VLOOKUP(AD48,Expo!$D$4:$E$35,2,FALSE),"-")</f>
        <v>-</v>
      </c>
      <c r="Y48" s="859" t="str">
        <f>IFERROR(IF(INDEX(Scénarios!$B$2:$AI$232,MATCH($S48,Scénarios!$AI$2:$AI$232,0),MATCH(Y$4,Scénarios!$B$4:$AI$4,0))=0,"",INDEX(Scénarios!$B$2:$AI$232,MATCH($S48,Scénarios!$AI$2:$AI$232,0),MATCH(Y$4,Scénarios!$B$4:$AI$4,0))),"-")</f>
        <v>-</v>
      </c>
      <c r="Z48" s="589" t="str">
        <f>IFERROR(INDEX(Scénarios!$B$2:$AI$232,MATCH($S48,Scénarios!$AI$2:$AI$232,0),MATCH(Z$4,Scénarios!$B$4:$AI$4,0)),"-")</f>
        <v>-</v>
      </c>
      <c r="AA48" s="589" t="str">
        <f>IFERROR(INDEX(Scénarios!$B$2:$AI$232,MATCH($S48,Scénarios!$AI$2:$AI$232,0),MATCH(AA$4,Scénarios!$B$4:$AI$4,0)),"-")</f>
        <v>-</v>
      </c>
      <c r="AB48" s="586" t="str">
        <f>IFERROR(INDEX(Scénarios!$B$2:$AI$232,MATCH($S48,Scénarios!$AI$2:$AI$232,0),MATCH(AB$4,Scénarios!$B$4:$AI$4,0)),"-")</f>
        <v>-</v>
      </c>
      <c r="AC48" s="442" t="str">
        <f>IFERROR(INDEX(Tab_sel!$B$24:$C$27,MATCH($U48,Tab_sel!$C$24:$C$27,0),1),"-")</f>
        <v>-</v>
      </c>
      <c r="AD48" s="443" t="str">
        <f>IFERROR(INDEX(Scénarios!$B$2:$AI$232,MATCH($S48,Scénarios!$AI$2:$AI$232,0),MATCH(AD$4,Scénarios!$B$4:$AI$4,0)),"-")</f>
        <v>-</v>
      </c>
      <c r="AE48" s="460" t="str">
        <f>IFERROR(INDEX(Scénarios!$B$2:$AI$232,MATCH($S48,Scénarios!$AI$2:$AI$232,0),MATCH(AE$4,Scénarios!$B$4:$AI$4,0)),"-")</f>
        <v>-</v>
      </c>
      <c r="AF48" s="460" t="str">
        <f>IFERROR(INDEX(Scénarios!$B$2:$AI$232,MATCH($S48,Scénarios!$AI$2:$AI$232,0),MATCH(AF$4,Scénarios!$B$4:$AI$4,0)),"-")</f>
        <v>-</v>
      </c>
      <c r="AG48" s="460" t="str">
        <f>IFERROR(INDEX(Scénarios!$B$2:$AI$232,MATCH($S48,Scénarios!$AI$2:$AI$232,0),MATCH(AG$4,Scénarios!$B$4:$AI$4,0)),"-")</f>
        <v>-</v>
      </c>
      <c r="AH48" s="460" t="str">
        <f>IFERROR(INDEX(Scénarios!$B$2:$AI$232,MATCH($S48,Scénarios!$AI$2:$AI$232,0),MATCH(AH$4,Scénarios!$B$4:$AI$4,0)),"-")</f>
        <v>-</v>
      </c>
      <c r="AI48" s="443" t="str">
        <f>IFERROR(INDEX(Scénarios!$B$2:$AI$232,MATCH($S48,Scénarios!$AI$2:$AI$232,0),MATCH(AI$4,Scénarios!$B$4:$AI$4,0)),"-")</f>
        <v>-</v>
      </c>
      <c r="AJ48" s="443" t="str">
        <f>IFERROR(INDEX(Param!$A$3:$C$7,MATCH($AI48,Param!$C$3:$C$7,0),1),"-")</f>
        <v>-</v>
      </c>
      <c r="AK48" s="443" t="str">
        <f>IFERROR(INDEX(Scénarios!$B$2:$AI$232,MATCH($S48,Scénarios!$AI$2:$AI$232,0),MATCH(AK$4,Scénarios!$B$4:$AI$4,0)),"-")</f>
        <v>-</v>
      </c>
      <c r="AL48" s="443" t="str">
        <f>IFERROR(INDEX(Scénarios!$B$2:$AI$232,MATCH($S48,Scénarios!$AI$2:$AI$232,0),MATCH(AL$4,Scénarios!$B$4:$AI$4,0)),"-")</f>
        <v>-</v>
      </c>
      <c r="AM48" s="443" t="str">
        <f>IFERROR(INDEX(Param!$A$10:$C$14,MATCH($AL48,Param!$C$10:$C$14,0),1),"-")</f>
        <v>-</v>
      </c>
      <c r="AN48" s="443" t="str">
        <f>IFERROR(IF(INDEX(Scénarios!$B$2:$AI$232,MATCH($S48,Scénarios!$AI$2:$AI$232,0),MATCH(AN$4,Scénarios!$B$4:$AI$4,0))=0,"",INDEX(Scénarios!$B$2:$AI$232,MATCH($S48,Scénarios!$AI$2:$AI$232,0),MATCH(AN$4,Scénarios!$B$4:$AI$4,0))),"-")</f>
        <v>-</v>
      </c>
      <c r="AO48" s="443" t="str">
        <f>IFERROR(INDEX(Scénarios!$B$2:$AI$232,MATCH($S48,Scénarios!$AI$2:$AI$232,0),MATCH(AO$4,Scénarios!$B$4:$AI$4,0)),"-")</f>
        <v>-</v>
      </c>
      <c r="AP48" s="443" t="str">
        <f>IFERROR(INDEX(Param!$A$17:$C$21,MATCH($AO48,Param!$C$17:$C$21,0),1),"-")</f>
        <v>-</v>
      </c>
      <c r="AQ48" s="443" t="str">
        <f>IFERROR(IF(INDEX(Scénarios!$B$2:$AI$232,MATCH($S48,Scénarios!$AI$2:$AI$232,0),MATCH(AQ$4,Scénarios!$B$4:$AI$4,0))=0,"",INDEX(Scénarios!$B$2:$AI$232,MATCH($S48,Scénarios!$AI$2:$AI$232,0),MATCH(AQ$4,Scénarios!$B$4:$AI$4,0))),"-")</f>
        <v>-</v>
      </c>
      <c r="AR48" s="443" t="str">
        <f>IFERROR(INDEX(Scénarios!$B$2:$AI$232,MATCH($S48,Scénarios!$AI$2:$AI$232,0),MATCH(AR$4,Scénarios!$B$4:$AI$4,0)),"-")</f>
        <v>-</v>
      </c>
      <c r="AS48" s="443" t="str">
        <f>IFERROR(INDEX(Param!$A$24:$C$28,MATCH($AR48,Param!$C$24:$C$28,0),1),"-")</f>
        <v>-</v>
      </c>
      <c r="AT48" s="443" t="str">
        <f>IFERROR(IF(INDEX(Scénarios!$B$2:$AI$232,MATCH($S48,Scénarios!$AI$2:$AI$232,0),MATCH(AT$4,Scénarios!$B$4:$AI$4,0))=0,"",INDEX(Scénarios!$B$2:$AI$232,MATCH($S48,Scénarios!$AI$2:$AI$232,0),MATCH(AT$4,Scénarios!$B$4:$AI$4,0))),"-")</f>
        <v>-</v>
      </c>
      <c r="AU48" s="462" t="str">
        <f>IFERROR(INDEX(Scénarios!$B$2:$AI$232,MATCH($S48,Scénarios!$AI$2:$AI$232,0),MATCH(AU$4,Scénarios!$B$4:$AI$4,0)),"-")</f>
        <v>-</v>
      </c>
      <c r="AV48" s="462" t="str">
        <f>IFERROR(INDEX(Scénarios!$B$2:$AI$232,MATCH($S48,Scénarios!$AI$2:$AI$232,0),MATCH(AV$4,Scénarios!$B$4:$AI$4,0)),"-")</f>
        <v>-</v>
      </c>
      <c r="AW48" s="462" t="str">
        <f>IFERROR(INDEX(Scénarios!$B$2:$AI$232,MATCH($S48,Scénarios!$AI$2:$AI$232,0),MATCH(AW$4,Scénarios!$B$4:$AI$4,0)),"-")</f>
        <v>-</v>
      </c>
      <c r="AX48" s="462" t="str">
        <f>IFERROR(INDEX(Scénarios!$B$2:$AI$232,MATCH($S48,Scénarios!$AI$2:$AI$232,0),MATCH(AX$4,Scénarios!$B$4:$AI$4,0)),"-")</f>
        <v>-</v>
      </c>
      <c r="AY48" s="443" t="str">
        <f>IFERROR(INDEX(Scénarios!$B$2:$AI$232,MATCH($S48,Scénarios!$AI$2:$AI$232,0),MATCH(AY$4,Scénarios!$B$4:$AI$4,0)),"-")</f>
        <v>-</v>
      </c>
      <c r="AZ48" s="588" t="str">
        <f>IFERROR(INDEX(Param!$A$31:$C$35,MATCH($AY48,Param!$C$31:$C$35,0),1),"-")</f>
        <v>-</v>
      </c>
      <c r="BA48" s="588" t="str">
        <f>IFERROR(IF(INDEX(Scénarios!$B$2:$AI$232,MATCH($S48,Scénarios!$AI$2:$AI$232,0),MATCH(BA$4,Scénarios!$B$4:$AI$4,0))=0,"",INDEX(Scénarios!$B$2:$AI$232,MATCH($S48,Scénarios!$AI$2:$AI$232,0),MATCH(BA$4,Scénarios!$B$4:$AI$4,0))),"-")</f>
        <v>-</v>
      </c>
      <c r="BB48" s="443" t="str">
        <f>IFERROR(IF(INDEX(Scénarios!$B$2:$AK$237,MATCH($S48,Scénarios!$AI$2:$AI$237,0),MATCH(BB$4,Scénarios!$B$4:$AK$4,0))=0,"",INDEX(Scénarios!$B$2:$AK$237,MATCH($S48,Scénarios!$AI$2:$AI$237,0),MATCH(BB$4,Scénarios!$B$4:$AK$4,0))),"-")</f>
        <v>-</v>
      </c>
      <c r="BC48" s="443" t="str">
        <f>IFERROR(INDEX(Scénarios!$B$2:$AV$232,MATCH($S48,Scénarios!$AI$2:$AI$232,0),MATCH(BC$4,Scénarios!$B$4:$AV$4,0)),"-")</f>
        <v>-</v>
      </c>
    </row>
    <row r="49" spans="15:55" ht="25.5" customHeight="1" x14ac:dyDescent="0.25">
      <c r="O49" s="604" t="str">
        <f t="shared" si="0"/>
        <v>Fiche R45 sans décision :
Veuillez ajouter une décision</v>
      </c>
      <c r="P49" s="609" t="s">
        <v>2188</v>
      </c>
      <c r="Q49" s="605" t="s">
        <v>2067</v>
      </c>
      <c r="R49" s="585" t="s">
        <v>2068</v>
      </c>
      <c r="S49" s="587" t="s">
        <v>2083</v>
      </c>
      <c r="T49" s="588" t="str">
        <f>IFERROR(INDEX(Tab_sel!$B$7:$C$18,MATCH($AB49,Tab_sel!$C$7:$C$18,0),1),"-")</f>
        <v>-</v>
      </c>
      <c r="U49" s="589" t="str">
        <f>IFERROR(INDEX(Scénarios!$B$2:$AI$232,MATCH($S49,Scénarios!$AI$2:$AI$232,0),MATCH(U$4,Scénarios!$B$4:$AI$4,0)),"-")</f>
        <v>-</v>
      </c>
      <c r="V49" s="588" t="str">
        <f>IFERROR(INDEX(Scénarios!$B$2:$AI$232,MATCH($S49,Scénarios!$AI$2:$AI$232,0),MATCH(V$4,Scénarios!$B$4:$AI$4,0)),"-")</f>
        <v>-</v>
      </c>
      <c r="W49" s="588" t="str">
        <f>IFERROR(INDEX(Scénarios!$B$2:$AI$232,MATCH($S49,Scénarios!$AI$2:$AI$232,0),MATCH(W$4,Scénarios!$B$4:$AI$4,0)),"-")</f>
        <v>-</v>
      </c>
      <c r="X49" s="588" t="str">
        <f>IFERROR(VLOOKUP(AD49,Expo!$D$4:$E$35,2,FALSE),"-")</f>
        <v>-</v>
      </c>
      <c r="Y49" s="859" t="str">
        <f>IFERROR(IF(INDEX(Scénarios!$B$2:$AI$232,MATCH($S49,Scénarios!$AI$2:$AI$232,0),MATCH(Y$4,Scénarios!$B$4:$AI$4,0))=0,"",INDEX(Scénarios!$B$2:$AI$232,MATCH($S49,Scénarios!$AI$2:$AI$232,0),MATCH(Y$4,Scénarios!$B$4:$AI$4,0))),"-")</f>
        <v>-</v>
      </c>
      <c r="Z49" s="589" t="str">
        <f>IFERROR(INDEX(Scénarios!$B$2:$AI$232,MATCH($S49,Scénarios!$AI$2:$AI$232,0),MATCH(Z$4,Scénarios!$B$4:$AI$4,0)),"-")</f>
        <v>-</v>
      </c>
      <c r="AA49" s="589" t="str">
        <f>IFERROR(INDEX(Scénarios!$B$2:$AI$232,MATCH($S49,Scénarios!$AI$2:$AI$232,0),MATCH(AA$4,Scénarios!$B$4:$AI$4,0)),"-")</f>
        <v>-</v>
      </c>
      <c r="AB49" s="586" t="str">
        <f>IFERROR(INDEX(Scénarios!$B$2:$AI$232,MATCH($S49,Scénarios!$AI$2:$AI$232,0),MATCH(AB$4,Scénarios!$B$4:$AI$4,0)),"-")</f>
        <v>-</v>
      </c>
      <c r="AC49" s="442" t="str">
        <f>IFERROR(INDEX(Tab_sel!$B$24:$C$27,MATCH($U49,Tab_sel!$C$24:$C$27,0),1),"-")</f>
        <v>-</v>
      </c>
      <c r="AD49" s="443" t="str">
        <f>IFERROR(INDEX(Scénarios!$B$2:$AI$232,MATCH($S49,Scénarios!$AI$2:$AI$232,0),MATCH(AD$4,Scénarios!$B$4:$AI$4,0)),"-")</f>
        <v>-</v>
      </c>
      <c r="AE49" s="460" t="str">
        <f>IFERROR(INDEX(Scénarios!$B$2:$AI$232,MATCH($S49,Scénarios!$AI$2:$AI$232,0),MATCH(AE$4,Scénarios!$B$4:$AI$4,0)),"-")</f>
        <v>-</v>
      </c>
      <c r="AF49" s="460" t="str">
        <f>IFERROR(INDEX(Scénarios!$B$2:$AI$232,MATCH($S49,Scénarios!$AI$2:$AI$232,0),MATCH(AF$4,Scénarios!$B$4:$AI$4,0)),"-")</f>
        <v>-</v>
      </c>
      <c r="AG49" s="460" t="str">
        <f>IFERROR(INDEX(Scénarios!$B$2:$AI$232,MATCH($S49,Scénarios!$AI$2:$AI$232,0),MATCH(AG$4,Scénarios!$B$4:$AI$4,0)),"-")</f>
        <v>-</v>
      </c>
      <c r="AH49" s="460" t="str">
        <f>IFERROR(INDEX(Scénarios!$B$2:$AI$232,MATCH($S49,Scénarios!$AI$2:$AI$232,0),MATCH(AH$4,Scénarios!$B$4:$AI$4,0)),"-")</f>
        <v>-</v>
      </c>
      <c r="AI49" s="443" t="str">
        <f>IFERROR(INDEX(Scénarios!$B$2:$AI$232,MATCH($S49,Scénarios!$AI$2:$AI$232,0),MATCH(AI$4,Scénarios!$B$4:$AI$4,0)),"-")</f>
        <v>-</v>
      </c>
      <c r="AJ49" s="443" t="str">
        <f>IFERROR(INDEX(Param!$A$3:$C$7,MATCH($AI49,Param!$C$3:$C$7,0),1),"-")</f>
        <v>-</v>
      </c>
      <c r="AK49" s="443" t="str">
        <f>IFERROR(INDEX(Scénarios!$B$2:$AI$232,MATCH($S49,Scénarios!$AI$2:$AI$232,0),MATCH(AK$4,Scénarios!$B$4:$AI$4,0)),"-")</f>
        <v>-</v>
      </c>
      <c r="AL49" s="443" t="str">
        <f>IFERROR(INDEX(Scénarios!$B$2:$AI$232,MATCH($S49,Scénarios!$AI$2:$AI$232,0),MATCH(AL$4,Scénarios!$B$4:$AI$4,0)),"-")</f>
        <v>-</v>
      </c>
      <c r="AM49" s="443" t="str">
        <f>IFERROR(INDEX(Param!$A$10:$C$14,MATCH($AL49,Param!$C$10:$C$14,0),1),"-")</f>
        <v>-</v>
      </c>
      <c r="AN49" s="443" t="str">
        <f>IFERROR(IF(INDEX(Scénarios!$B$2:$AI$232,MATCH($S49,Scénarios!$AI$2:$AI$232,0),MATCH(AN$4,Scénarios!$B$4:$AI$4,0))=0,"",INDEX(Scénarios!$B$2:$AI$232,MATCH($S49,Scénarios!$AI$2:$AI$232,0),MATCH(AN$4,Scénarios!$B$4:$AI$4,0))),"-")</f>
        <v>-</v>
      </c>
      <c r="AO49" s="443" t="str">
        <f>IFERROR(INDEX(Scénarios!$B$2:$AI$232,MATCH($S49,Scénarios!$AI$2:$AI$232,0),MATCH(AO$4,Scénarios!$B$4:$AI$4,0)),"-")</f>
        <v>-</v>
      </c>
      <c r="AP49" s="443" t="str">
        <f>IFERROR(INDEX(Param!$A$17:$C$21,MATCH($AO49,Param!$C$17:$C$21,0),1),"-")</f>
        <v>-</v>
      </c>
      <c r="AQ49" s="443" t="str">
        <f>IFERROR(IF(INDEX(Scénarios!$B$2:$AI$232,MATCH($S49,Scénarios!$AI$2:$AI$232,0),MATCH(AQ$4,Scénarios!$B$4:$AI$4,0))=0,"",INDEX(Scénarios!$B$2:$AI$232,MATCH($S49,Scénarios!$AI$2:$AI$232,0),MATCH(AQ$4,Scénarios!$B$4:$AI$4,0))),"-")</f>
        <v>-</v>
      </c>
      <c r="AR49" s="443" t="str">
        <f>IFERROR(INDEX(Scénarios!$B$2:$AI$232,MATCH($S49,Scénarios!$AI$2:$AI$232,0),MATCH(AR$4,Scénarios!$B$4:$AI$4,0)),"-")</f>
        <v>-</v>
      </c>
      <c r="AS49" s="443" t="str">
        <f>IFERROR(INDEX(Param!$A$24:$C$28,MATCH($AR49,Param!$C$24:$C$28,0),1),"-")</f>
        <v>-</v>
      </c>
      <c r="AT49" s="443" t="str">
        <f>IFERROR(IF(INDEX(Scénarios!$B$2:$AI$232,MATCH($S49,Scénarios!$AI$2:$AI$232,0),MATCH(AT$4,Scénarios!$B$4:$AI$4,0))=0,"",INDEX(Scénarios!$B$2:$AI$232,MATCH($S49,Scénarios!$AI$2:$AI$232,0),MATCH(AT$4,Scénarios!$B$4:$AI$4,0))),"-")</f>
        <v>-</v>
      </c>
      <c r="AU49" s="462" t="str">
        <f>IFERROR(INDEX(Scénarios!$B$2:$AI$232,MATCH($S49,Scénarios!$AI$2:$AI$232,0),MATCH(AU$4,Scénarios!$B$4:$AI$4,0)),"-")</f>
        <v>-</v>
      </c>
      <c r="AV49" s="462" t="str">
        <f>IFERROR(INDEX(Scénarios!$B$2:$AI$232,MATCH($S49,Scénarios!$AI$2:$AI$232,0),MATCH(AV$4,Scénarios!$B$4:$AI$4,0)),"-")</f>
        <v>-</v>
      </c>
      <c r="AW49" s="462" t="str">
        <f>IFERROR(INDEX(Scénarios!$B$2:$AI$232,MATCH($S49,Scénarios!$AI$2:$AI$232,0),MATCH(AW$4,Scénarios!$B$4:$AI$4,0)),"-")</f>
        <v>-</v>
      </c>
      <c r="AX49" s="462" t="str">
        <f>IFERROR(INDEX(Scénarios!$B$2:$AI$232,MATCH($S49,Scénarios!$AI$2:$AI$232,0),MATCH(AX$4,Scénarios!$B$4:$AI$4,0)),"-")</f>
        <v>-</v>
      </c>
      <c r="AY49" s="443" t="str">
        <f>IFERROR(INDEX(Scénarios!$B$2:$AI$232,MATCH($S49,Scénarios!$AI$2:$AI$232,0),MATCH(AY$4,Scénarios!$B$4:$AI$4,0)),"-")</f>
        <v>-</v>
      </c>
      <c r="AZ49" s="588" t="str">
        <f>IFERROR(INDEX(Param!$A$31:$C$35,MATCH($AY49,Param!$C$31:$C$35,0),1),"-")</f>
        <v>-</v>
      </c>
      <c r="BA49" s="588" t="str">
        <f>IFERROR(IF(INDEX(Scénarios!$B$2:$AI$232,MATCH($S49,Scénarios!$AI$2:$AI$232,0),MATCH(BA$4,Scénarios!$B$4:$AI$4,0))=0,"",INDEX(Scénarios!$B$2:$AI$232,MATCH($S49,Scénarios!$AI$2:$AI$232,0),MATCH(BA$4,Scénarios!$B$4:$AI$4,0))),"-")</f>
        <v>-</v>
      </c>
      <c r="BB49" s="443" t="str">
        <f>IFERROR(IF(INDEX(Scénarios!$B$2:$AK$237,MATCH($S49,Scénarios!$AI$2:$AI$237,0),MATCH(BB$4,Scénarios!$B$4:$AK$4,0))=0,"",INDEX(Scénarios!$B$2:$AK$237,MATCH($S49,Scénarios!$AI$2:$AI$237,0),MATCH(BB$4,Scénarios!$B$4:$AK$4,0))),"-")</f>
        <v>-</v>
      </c>
      <c r="BC49" s="443" t="str">
        <f>IFERROR(INDEX(Scénarios!$B$2:$AV$232,MATCH($S49,Scénarios!$AI$2:$AI$232,0),MATCH(BC$4,Scénarios!$B$4:$AV$4,0)),"-")</f>
        <v>-</v>
      </c>
    </row>
    <row r="50" spans="15:55" ht="25.5" customHeight="1" x14ac:dyDescent="0.25">
      <c r="O50" s="604" t="str">
        <f t="shared" si="0"/>
        <v>Fiche R46 sans décision :
Veuillez ajouter une décision</v>
      </c>
      <c r="P50" s="609" t="s">
        <v>2188</v>
      </c>
      <c r="Q50" s="605" t="s">
        <v>2067</v>
      </c>
      <c r="R50" s="585" t="s">
        <v>2068</v>
      </c>
      <c r="S50" s="587" t="s">
        <v>2084</v>
      </c>
      <c r="T50" s="588" t="str">
        <f>IFERROR(INDEX(Tab_sel!$B$7:$C$18,MATCH($AB50,Tab_sel!$C$7:$C$18,0),1),"-")</f>
        <v>-</v>
      </c>
      <c r="U50" s="589" t="str">
        <f>IFERROR(INDEX(Scénarios!$B$2:$AI$232,MATCH($S50,Scénarios!$AI$2:$AI$232,0),MATCH(U$4,Scénarios!$B$4:$AI$4,0)),"-")</f>
        <v>-</v>
      </c>
      <c r="V50" s="588" t="str">
        <f>IFERROR(INDEX(Scénarios!$B$2:$AI$232,MATCH($S50,Scénarios!$AI$2:$AI$232,0),MATCH(V$4,Scénarios!$B$4:$AI$4,0)),"-")</f>
        <v>-</v>
      </c>
      <c r="W50" s="588" t="str">
        <f>IFERROR(INDEX(Scénarios!$B$2:$AI$232,MATCH($S50,Scénarios!$AI$2:$AI$232,0),MATCH(W$4,Scénarios!$B$4:$AI$4,0)),"-")</f>
        <v>-</v>
      </c>
      <c r="X50" s="588" t="str">
        <f>IFERROR(VLOOKUP(AD50,Expo!$D$4:$E$35,2,FALSE),"-")</f>
        <v>-</v>
      </c>
      <c r="Y50" s="859" t="str">
        <f>IFERROR(IF(INDEX(Scénarios!$B$2:$AI$232,MATCH($S50,Scénarios!$AI$2:$AI$232,0),MATCH(Y$4,Scénarios!$B$4:$AI$4,0))=0,"",INDEX(Scénarios!$B$2:$AI$232,MATCH($S50,Scénarios!$AI$2:$AI$232,0),MATCH(Y$4,Scénarios!$B$4:$AI$4,0))),"-")</f>
        <v>-</v>
      </c>
      <c r="Z50" s="589" t="str">
        <f>IFERROR(INDEX(Scénarios!$B$2:$AI$232,MATCH($S50,Scénarios!$AI$2:$AI$232,0),MATCH(Z$4,Scénarios!$B$4:$AI$4,0)),"-")</f>
        <v>-</v>
      </c>
      <c r="AA50" s="589" t="str">
        <f>IFERROR(INDEX(Scénarios!$B$2:$AI$232,MATCH($S50,Scénarios!$AI$2:$AI$232,0),MATCH(AA$4,Scénarios!$B$4:$AI$4,0)),"-")</f>
        <v>-</v>
      </c>
      <c r="AB50" s="586" t="str">
        <f>IFERROR(INDEX(Scénarios!$B$2:$AI$232,MATCH($S50,Scénarios!$AI$2:$AI$232,0),MATCH(AB$4,Scénarios!$B$4:$AI$4,0)),"-")</f>
        <v>-</v>
      </c>
      <c r="AC50" s="442" t="str">
        <f>IFERROR(INDEX(Tab_sel!$B$24:$C$27,MATCH($U50,Tab_sel!$C$24:$C$27,0),1),"-")</f>
        <v>-</v>
      </c>
      <c r="AD50" s="443" t="str">
        <f>IFERROR(INDEX(Scénarios!$B$2:$AI$232,MATCH($S50,Scénarios!$AI$2:$AI$232,0),MATCH(AD$4,Scénarios!$B$4:$AI$4,0)),"-")</f>
        <v>-</v>
      </c>
      <c r="AE50" s="460" t="str">
        <f>IFERROR(INDEX(Scénarios!$B$2:$AI$232,MATCH($S50,Scénarios!$AI$2:$AI$232,0),MATCH(AE$4,Scénarios!$B$4:$AI$4,0)),"-")</f>
        <v>-</v>
      </c>
      <c r="AF50" s="460" t="str">
        <f>IFERROR(INDEX(Scénarios!$B$2:$AI$232,MATCH($S50,Scénarios!$AI$2:$AI$232,0),MATCH(AF$4,Scénarios!$B$4:$AI$4,0)),"-")</f>
        <v>-</v>
      </c>
      <c r="AG50" s="460" t="str">
        <f>IFERROR(INDEX(Scénarios!$B$2:$AI$232,MATCH($S50,Scénarios!$AI$2:$AI$232,0),MATCH(AG$4,Scénarios!$B$4:$AI$4,0)),"-")</f>
        <v>-</v>
      </c>
      <c r="AH50" s="460" t="str">
        <f>IFERROR(INDEX(Scénarios!$B$2:$AI$232,MATCH($S50,Scénarios!$AI$2:$AI$232,0),MATCH(AH$4,Scénarios!$B$4:$AI$4,0)),"-")</f>
        <v>-</v>
      </c>
      <c r="AI50" s="443" t="str">
        <f>IFERROR(INDEX(Scénarios!$B$2:$AI$232,MATCH($S50,Scénarios!$AI$2:$AI$232,0),MATCH(AI$4,Scénarios!$B$4:$AI$4,0)),"-")</f>
        <v>-</v>
      </c>
      <c r="AJ50" s="443" t="str">
        <f>IFERROR(INDEX(Param!$A$3:$C$7,MATCH($AI50,Param!$C$3:$C$7,0),1),"-")</f>
        <v>-</v>
      </c>
      <c r="AK50" s="443" t="str">
        <f>IFERROR(INDEX(Scénarios!$B$2:$AI$232,MATCH($S50,Scénarios!$AI$2:$AI$232,0),MATCH(AK$4,Scénarios!$B$4:$AI$4,0)),"-")</f>
        <v>-</v>
      </c>
      <c r="AL50" s="443" t="str">
        <f>IFERROR(INDEX(Scénarios!$B$2:$AI$232,MATCH($S50,Scénarios!$AI$2:$AI$232,0),MATCH(AL$4,Scénarios!$B$4:$AI$4,0)),"-")</f>
        <v>-</v>
      </c>
      <c r="AM50" s="443" t="str">
        <f>IFERROR(INDEX(Param!$A$10:$C$14,MATCH($AL50,Param!$C$10:$C$14,0),1),"-")</f>
        <v>-</v>
      </c>
      <c r="AN50" s="443" t="str">
        <f>IFERROR(IF(INDEX(Scénarios!$B$2:$AI$232,MATCH($S50,Scénarios!$AI$2:$AI$232,0),MATCH(AN$4,Scénarios!$B$4:$AI$4,0))=0,"",INDEX(Scénarios!$B$2:$AI$232,MATCH($S50,Scénarios!$AI$2:$AI$232,0),MATCH(AN$4,Scénarios!$B$4:$AI$4,0))),"-")</f>
        <v>-</v>
      </c>
      <c r="AO50" s="443" t="str">
        <f>IFERROR(INDEX(Scénarios!$B$2:$AI$232,MATCH($S50,Scénarios!$AI$2:$AI$232,0),MATCH(AO$4,Scénarios!$B$4:$AI$4,0)),"-")</f>
        <v>-</v>
      </c>
      <c r="AP50" s="443" t="str">
        <f>IFERROR(INDEX(Param!$A$17:$C$21,MATCH($AO50,Param!$C$17:$C$21,0),1),"-")</f>
        <v>-</v>
      </c>
      <c r="AQ50" s="443" t="str">
        <f>IFERROR(IF(INDEX(Scénarios!$B$2:$AI$232,MATCH($S50,Scénarios!$AI$2:$AI$232,0),MATCH(AQ$4,Scénarios!$B$4:$AI$4,0))=0,"",INDEX(Scénarios!$B$2:$AI$232,MATCH($S50,Scénarios!$AI$2:$AI$232,0),MATCH(AQ$4,Scénarios!$B$4:$AI$4,0))),"-")</f>
        <v>-</v>
      </c>
      <c r="AR50" s="443" t="str">
        <f>IFERROR(INDEX(Scénarios!$B$2:$AI$232,MATCH($S50,Scénarios!$AI$2:$AI$232,0),MATCH(AR$4,Scénarios!$B$4:$AI$4,0)),"-")</f>
        <v>-</v>
      </c>
      <c r="AS50" s="443" t="str">
        <f>IFERROR(INDEX(Param!$A$24:$C$28,MATCH($AR50,Param!$C$24:$C$28,0),1),"-")</f>
        <v>-</v>
      </c>
      <c r="AT50" s="443" t="str">
        <f>IFERROR(IF(INDEX(Scénarios!$B$2:$AI$232,MATCH($S50,Scénarios!$AI$2:$AI$232,0),MATCH(AT$4,Scénarios!$B$4:$AI$4,0))=0,"",INDEX(Scénarios!$B$2:$AI$232,MATCH($S50,Scénarios!$AI$2:$AI$232,0),MATCH(AT$4,Scénarios!$B$4:$AI$4,0))),"-")</f>
        <v>-</v>
      </c>
      <c r="AU50" s="462" t="str">
        <f>IFERROR(INDEX(Scénarios!$B$2:$AI$232,MATCH($S50,Scénarios!$AI$2:$AI$232,0),MATCH(AU$4,Scénarios!$B$4:$AI$4,0)),"-")</f>
        <v>-</v>
      </c>
      <c r="AV50" s="462" t="str">
        <f>IFERROR(INDEX(Scénarios!$B$2:$AI$232,MATCH($S50,Scénarios!$AI$2:$AI$232,0),MATCH(AV$4,Scénarios!$B$4:$AI$4,0)),"-")</f>
        <v>-</v>
      </c>
      <c r="AW50" s="462" t="str">
        <f>IFERROR(INDEX(Scénarios!$B$2:$AI$232,MATCH($S50,Scénarios!$AI$2:$AI$232,0),MATCH(AW$4,Scénarios!$B$4:$AI$4,0)),"-")</f>
        <v>-</v>
      </c>
      <c r="AX50" s="462" t="str">
        <f>IFERROR(INDEX(Scénarios!$B$2:$AI$232,MATCH($S50,Scénarios!$AI$2:$AI$232,0),MATCH(AX$4,Scénarios!$B$4:$AI$4,0)),"-")</f>
        <v>-</v>
      </c>
      <c r="AY50" s="443" t="str">
        <f>IFERROR(INDEX(Scénarios!$B$2:$AI$232,MATCH($S50,Scénarios!$AI$2:$AI$232,0),MATCH(AY$4,Scénarios!$B$4:$AI$4,0)),"-")</f>
        <v>-</v>
      </c>
      <c r="AZ50" s="588" t="str">
        <f>IFERROR(INDEX(Param!$A$31:$C$35,MATCH($AY50,Param!$C$31:$C$35,0),1),"-")</f>
        <v>-</v>
      </c>
      <c r="BA50" s="588" t="str">
        <f>IFERROR(IF(INDEX(Scénarios!$B$2:$AI$232,MATCH($S50,Scénarios!$AI$2:$AI$232,0),MATCH(BA$4,Scénarios!$B$4:$AI$4,0))=0,"",INDEX(Scénarios!$B$2:$AI$232,MATCH($S50,Scénarios!$AI$2:$AI$232,0),MATCH(BA$4,Scénarios!$B$4:$AI$4,0))),"-")</f>
        <v>-</v>
      </c>
      <c r="BB50" s="443" t="str">
        <f>IFERROR(IF(INDEX(Scénarios!$B$2:$AK$237,MATCH($S50,Scénarios!$AI$2:$AI$237,0),MATCH(BB$4,Scénarios!$B$4:$AK$4,0))=0,"",INDEX(Scénarios!$B$2:$AK$237,MATCH($S50,Scénarios!$AI$2:$AI$237,0),MATCH(BB$4,Scénarios!$B$4:$AK$4,0))),"-")</f>
        <v>-</v>
      </c>
      <c r="BC50" s="443" t="str">
        <f>IFERROR(INDEX(Scénarios!$B$2:$AV$232,MATCH($S50,Scénarios!$AI$2:$AI$232,0),MATCH(BC$4,Scénarios!$B$4:$AV$4,0)),"-")</f>
        <v>-</v>
      </c>
    </row>
    <row r="51" spans="15:55" ht="25.5" customHeight="1" x14ac:dyDescent="0.25">
      <c r="O51" s="604" t="str">
        <f t="shared" si="0"/>
        <v>Fiche R47 sans décision :
Veuillez ajouter une décision</v>
      </c>
      <c r="P51" s="609" t="s">
        <v>2188</v>
      </c>
      <c r="Q51" s="605" t="s">
        <v>2067</v>
      </c>
      <c r="R51" s="585" t="s">
        <v>2068</v>
      </c>
      <c r="S51" s="587" t="s">
        <v>2085</v>
      </c>
      <c r="T51" s="588" t="str">
        <f>IFERROR(INDEX(Tab_sel!$B$7:$C$18,MATCH($AB51,Tab_sel!$C$7:$C$18,0),1),"-")</f>
        <v>-</v>
      </c>
      <c r="U51" s="589" t="str">
        <f>IFERROR(INDEX(Scénarios!$B$2:$AI$232,MATCH($S51,Scénarios!$AI$2:$AI$232,0),MATCH(U$4,Scénarios!$B$4:$AI$4,0)),"-")</f>
        <v>-</v>
      </c>
      <c r="V51" s="588" t="str">
        <f>IFERROR(INDEX(Scénarios!$B$2:$AI$232,MATCH($S51,Scénarios!$AI$2:$AI$232,0),MATCH(V$4,Scénarios!$B$4:$AI$4,0)),"-")</f>
        <v>-</v>
      </c>
      <c r="W51" s="588" t="str">
        <f>IFERROR(INDEX(Scénarios!$B$2:$AI$232,MATCH($S51,Scénarios!$AI$2:$AI$232,0),MATCH(W$4,Scénarios!$B$4:$AI$4,0)),"-")</f>
        <v>-</v>
      </c>
      <c r="X51" s="588" t="str">
        <f>IFERROR(VLOOKUP(AD51,Expo!$D$4:$E$35,2,FALSE),"-")</f>
        <v>-</v>
      </c>
      <c r="Y51" s="859" t="str">
        <f>IFERROR(IF(INDEX(Scénarios!$B$2:$AI$232,MATCH($S51,Scénarios!$AI$2:$AI$232,0),MATCH(Y$4,Scénarios!$B$4:$AI$4,0))=0,"",INDEX(Scénarios!$B$2:$AI$232,MATCH($S51,Scénarios!$AI$2:$AI$232,0),MATCH(Y$4,Scénarios!$B$4:$AI$4,0))),"-")</f>
        <v>-</v>
      </c>
      <c r="Z51" s="589" t="str">
        <f>IFERROR(INDEX(Scénarios!$B$2:$AI$232,MATCH($S51,Scénarios!$AI$2:$AI$232,0),MATCH(Z$4,Scénarios!$B$4:$AI$4,0)),"-")</f>
        <v>-</v>
      </c>
      <c r="AA51" s="589" t="str">
        <f>IFERROR(INDEX(Scénarios!$B$2:$AI$232,MATCH($S51,Scénarios!$AI$2:$AI$232,0),MATCH(AA$4,Scénarios!$B$4:$AI$4,0)),"-")</f>
        <v>-</v>
      </c>
      <c r="AB51" s="586" t="str">
        <f>IFERROR(INDEX(Scénarios!$B$2:$AI$232,MATCH($S51,Scénarios!$AI$2:$AI$232,0),MATCH(AB$4,Scénarios!$B$4:$AI$4,0)),"-")</f>
        <v>-</v>
      </c>
      <c r="AC51" s="442" t="str">
        <f>IFERROR(INDEX(Tab_sel!$B$24:$C$27,MATCH($U51,Tab_sel!$C$24:$C$27,0),1),"-")</f>
        <v>-</v>
      </c>
      <c r="AD51" s="443" t="str">
        <f>IFERROR(INDEX(Scénarios!$B$2:$AI$232,MATCH($S51,Scénarios!$AI$2:$AI$232,0),MATCH(AD$4,Scénarios!$B$4:$AI$4,0)),"-")</f>
        <v>-</v>
      </c>
      <c r="AE51" s="460" t="str">
        <f>IFERROR(INDEX(Scénarios!$B$2:$AI$232,MATCH($S51,Scénarios!$AI$2:$AI$232,0),MATCH(AE$4,Scénarios!$B$4:$AI$4,0)),"-")</f>
        <v>-</v>
      </c>
      <c r="AF51" s="460" t="str">
        <f>IFERROR(INDEX(Scénarios!$B$2:$AI$232,MATCH($S51,Scénarios!$AI$2:$AI$232,0),MATCH(AF$4,Scénarios!$B$4:$AI$4,0)),"-")</f>
        <v>-</v>
      </c>
      <c r="AG51" s="460" t="str">
        <f>IFERROR(INDEX(Scénarios!$B$2:$AI$232,MATCH($S51,Scénarios!$AI$2:$AI$232,0),MATCH(AG$4,Scénarios!$B$4:$AI$4,0)),"-")</f>
        <v>-</v>
      </c>
      <c r="AH51" s="460" t="str">
        <f>IFERROR(INDEX(Scénarios!$B$2:$AI$232,MATCH($S51,Scénarios!$AI$2:$AI$232,0),MATCH(AH$4,Scénarios!$B$4:$AI$4,0)),"-")</f>
        <v>-</v>
      </c>
      <c r="AI51" s="443" t="str">
        <f>IFERROR(INDEX(Scénarios!$B$2:$AI$232,MATCH($S51,Scénarios!$AI$2:$AI$232,0),MATCH(AI$4,Scénarios!$B$4:$AI$4,0)),"-")</f>
        <v>-</v>
      </c>
      <c r="AJ51" s="443" t="str">
        <f>IFERROR(INDEX(Param!$A$3:$C$7,MATCH($AI51,Param!$C$3:$C$7,0),1),"-")</f>
        <v>-</v>
      </c>
      <c r="AK51" s="443" t="str">
        <f>IFERROR(INDEX(Scénarios!$B$2:$AI$232,MATCH($S51,Scénarios!$AI$2:$AI$232,0),MATCH(AK$4,Scénarios!$B$4:$AI$4,0)),"-")</f>
        <v>-</v>
      </c>
      <c r="AL51" s="443" t="str">
        <f>IFERROR(INDEX(Scénarios!$B$2:$AI$232,MATCH($S51,Scénarios!$AI$2:$AI$232,0),MATCH(AL$4,Scénarios!$B$4:$AI$4,0)),"-")</f>
        <v>-</v>
      </c>
      <c r="AM51" s="443" t="str">
        <f>IFERROR(INDEX(Param!$A$10:$C$14,MATCH($AL51,Param!$C$10:$C$14,0),1),"-")</f>
        <v>-</v>
      </c>
      <c r="AN51" s="443" t="str">
        <f>IFERROR(IF(INDEX(Scénarios!$B$2:$AI$232,MATCH($S51,Scénarios!$AI$2:$AI$232,0),MATCH(AN$4,Scénarios!$B$4:$AI$4,0))=0,"",INDEX(Scénarios!$B$2:$AI$232,MATCH($S51,Scénarios!$AI$2:$AI$232,0),MATCH(AN$4,Scénarios!$B$4:$AI$4,0))),"-")</f>
        <v>-</v>
      </c>
      <c r="AO51" s="443" t="str">
        <f>IFERROR(INDEX(Scénarios!$B$2:$AI$232,MATCH($S51,Scénarios!$AI$2:$AI$232,0),MATCH(AO$4,Scénarios!$B$4:$AI$4,0)),"-")</f>
        <v>-</v>
      </c>
      <c r="AP51" s="443" t="str">
        <f>IFERROR(INDEX(Param!$A$17:$C$21,MATCH($AO51,Param!$C$17:$C$21,0),1),"-")</f>
        <v>-</v>
      </c>
      <c r="AQ51" s="443" t="str">
        <f>IFERROR(IF(INDEX(Scénarios!$B$2:$AI$232,MATCH($S51,Scénarios!$AI$2:$AI$232,0),MATCH(AQ$4,Scénarios!$B$4:$AI$4,0))=0,"",INDEX(Scénarios!$B$2:$AI$232,MATCH($S51,Scénarios!$AI$2:$AI$232,0),MATCH(AQ$4,Scénarios!$B$4:$AI$4,0))),"-")</f>
        <v>-</v>
      </c>
      <c r="AR51" s="443" t="str">
        <f>IFERROR(INDEX(Scénarios!$B$2:$AI$232,MATCH($S51,Scénarios!$AI$2:$AI$232,0),MATCH(AR$4,Scénarios!$B$4:$AI$4,0)),"-")</f>
        <v>-</v>
      </c>
      <c r="AS51" s="443" t="str">
        <f>IFERROR(INDEX(Param!$A$24:$C$28,MATCH($AR51,Param!$C$24:$C$28,0),1),"-")</f>
        <v>-</v>
      </c>
      <c r="AT51" s="443" t="str">
        <f>IFERROR(IF(INDEX(Scénarios!$B$2:$AI$232,MATCH($S51,Scénarios!$AI$2:$AI$232,0),MATCH(AT$4,Scénarios!$B$4:$AI$4,0))=0,"",INDEX(Scénarios!$B$2:$AI$232,MATCH($S51,Scénarios!$AI$2:$AI$232,0),MATCH(AT$4,Scénarios!$B$4:$AI$4,0))),"-")</f>
        <v>-</v>
      </c>
      <c r="AU51" s="462" t="str">
        <f>IFERROR(INDEX(Scénarios!$B$2:$AI$232,MATCH($S51,Scénarios!$AI$2:$AI$232,0),MATCH(AU$4,Scénarios!$B$4:$AI$4,0)),"-")</f>
        <v>-</v>
      </c>
      <c r="AV51" s="462" t="str">
        <f>IFERROR(INDEX(Scénarios!$B$2:$AI$232,MATCH($S51,Scénarios!$AI$2:$AI$232,0),MATCH(AV$4,Scénarios!$B$4:$AI$4,0)),"-")</f>
        <v>-</v>
      </c>
      <c r="AW51" s="462" t="str">
        <f>IFERROR(INDEX(Scénarios!$B$2:$AI$232,MATCH($S51,Scénarios!$AI$2:$AI$232,0),MATCH(AW$4,Scénarios!$B$4:$AI$4,0)),"-")</f>
        <v>-</v>
      </c>
      <c r="AX51" s="462" t="str">
        <f>IFERROR(INDEX(Scénarios!$B$2:$AI$232,MATCH($S51,Scénarios!$AI$2:$AI$232,0),MATCH(AX$4,Scénarios!$B$4:$AI$4,0)),"-")</f>
        <v>-</v>
      </c>
      <c r="AY51" s="443" t="str">
        <f>IFERROR(INDEX(Scénarios!$B$2:$AI$232,MATCH($S51,Scénarios!$AI$2:$AI$232,0),MATCH(AY$4,Scénarios!$B$4:$AI$4,0)),"-")</f>
        <v>-</v>
      </c>
      <c r="AZ51" s="588" t="str">
        <f>IFERROR(INDEX(Param!$A$31:$C$35,MATCH($AY51,Param!$C$31:$C$35,0),1),"-")</f>
        <v>-</v>
      </c>
      <c r="BA51" s="588" t="str">
        <f>IFERROR(IF(INDEX(Scénarios!$B$2:$AI$232,MATCH($S51,Scénarios!$AI$2:$AI$232,0),MATCH(BA$4,Scénarios!$B$4:$AI$4,0))=0,"",INDEX(Scénarios!$B$2:$AI$232,MATCH($S51,Scénarios!$AI$2:$AI$232,0),MATCH(BA$4,Scénarios!$B$4:$AI$4,0))),"-")</f>
        <v>-</v>
      </c>
      <c r="BB51" s="443" t="str">
        <f>IFERROR(IF(INDEX(Scénarios!$B$2:$AK$237,MATCH($S51,Scénarios!$AI$2:$AI$237,0),MATCH(BB$4,Scénarios!$B$4:$AK$4,0))=0,"",INDEX(Scénarios!$B$2:$AK$237,MATCH($S51,Scénarios!$AI$2:$AI$237,0),MATCH(BB$4,Scénarios!$B$4:$AK$4,0))),"-")</f>
        <v>-</v>
      </c>
      <c r="BC51" s="443" t="str">
        <f>IFERROR(INDEX(Scénarios!$B$2:$AV$232,MATCH($S51,Scénarios!$AI$2:$AI$232,0),MATCH(BC$4,Scénarios!$B$4:$AV$4,0)),"-")</f>
        <v>-</v>
      </c>
    </row>
    <row r="52" spans="15:55" ht="25.5" customHeight="1" x14ac:dyDescent="0.25">
      <c r="O52" s="604" t="str">
        <f t="shared" si="0"/>
        <v>Fiche R48 sans décision :
Veuillez ajouter une décision</v>
      </c>
      <c r="P52" s="609" t="s">
        <v>2188</v>
      </c>
      <c r="Q52" s="605" t="s">
        <v>2067</v>
      </c>
      <c r="R52" s="585" t="s">
        <v>2068</v>
      </c>
      <c r="S52" s="587" t="s">
        <v>2086</v>
      </c>
      <c r="T52" s="588" t="str">
        <f>IFERROR(INDEX(Tab_sel!$B$7:$C$18,MATCH($AB52,Tab_sel!$C$7:$C$18,0),1),"-")</f>
        <v>-</v>
      </c>
      <c r="U52" s="589" t="str">
        <f>IFERROR(INDEX(Scénarios!$B$2:$AI$232,MATCH($S52,Scénarios!$AI$2:$AI$232,0),MATCH(U$4,Scénarios!$B$4:$AI$4,0)),"-")</f>
        <v>-</v>
      </c>
      <c r="V52" s="588" t="str">
        <f>IFERROR(INDEX(Scénarios!$B$2:$AI$232,MATCH($S52,Scénarios!$AI$2:$AI$232,0),MATCH(V$4,Scénarios!$B$4:$AI$4,0)),"-")</f>
        <v>-</v>
      </c>
      <c r="W52" s="588" t="str">
        <f>IFERROR(INDEX(Scénarios!$B$2:$AI$232,MATCH($S52,Scénarios!$AI$2:$AI$232,0),MATCH(W$4,Scénarios!$B$4:$AI$4,0)),"-")</f>
        <v>-</v>
      </c>
      <c r="X52" s="588" t="str">
        <f>IFERROR(VLOOKUP(AD52,Expo!$D$4:$E$35,2,FALSE),"-")</f>
        <v>-</v>
      </c>
      <c r="Y52" s="859" t="str">
        <f>IFERROR(IF(INDEX(Scénarios!$B$2:$AI$232,MATCH($S52,Scénarios!$AI$2:$AI$232,0),MATCH(Y$4,Scénarios!$B$4:$AI$4,0))=0,"",INDEX(Scénarios!$B$2:$AI$232,MATCH($S52,Scénarios!$AI$2:$AI$232,0),MATCH(Y$4,Scénarios!$B$4:$AI$4,0))),"-")</f>
        <v>-</v>
      </c>
      <c r="Z52" s="589" t="str">
        <f>IFERROR(INDEX(Scénarios!$B$2:$AI$232,MATCH($S52,Scénarios!$AI$2:$AI$232,0),MATCH(Z$4,Scénarios!$B$4:$AI$4,0)),"-")</f>
        <v>-</v>
      </c>
      <c r="AA52" s="589" t="str">
        <f>IFERROR(INDEX(Scénarios!$B$2:$AI$232,MATCH($S52,Scénarios!$AI$2:$AI$232,0),MATCH(AA$4,Scénarios!$B$4:$AI$4,0)),"-")</f>
        <v>-</v>
      </c>
      <c r="AB52" s="586" t="str">
        <f>IFERROR(INDEX(Scénarios!$B$2:$AI$232,MATCH($S52,Scénarios!$AI$2:$AI$232,0),MATCH(AB$4,Scénarios!$B$4:$AI$4,0)),"-")</f>
        <v>-</v>
      </c>
      <c r="AC52" s="442" t="str">
        <f>IFERROR(INDEX(Tab_sel!$B$24:$C$27,MATCH($U52,Tab_sel!$C$24:$C$27,0),1),"-")</f>
        <v>-</v>
      </c>
      <c r="AD52" s="443" t="str">
        <f>IFERROR(INDEX(Scénarios!$B$2:$AI$232,MATCH($S52,Scénarios!$AI$2:$AI$232,0),MATCH(AD$4,Scénarios!$B$4:$AI$4,0)),"-")</f>
        <v>-</v>
      </c>
      <c r="AE52" s="460" t="str">
        <f>IFERROR(INDEX(Scénarios!$B$2:$AI$232,MATCH($S52,Scénarios!$AI$2:$AI$232,0),MATCH(AE$4,Scénarios!$B$4:$AI$4,0)),"-")</f>
        <v>-</v>
      </c>
      <c r="AF52" s="460" t="str">
        <f>IFERROR(INDEX(Scénarios!$B$2:$AI$232,MATCH($S52,Scénarios!$AI$2:$AI$232,0),MATCH(AF$4,Scénarios!$B$4:$AI$4,0)),"-")</f>
        <v>-</v>
      </c>
      <c r="AG52" s="460" t="str">
        <f>IFERROR(INDEX(Scénarios!$B$2:$AI$232,MATCH($S52,Scénarios!$AI$2:$AI$232,0),MATCH(AG$4,Scénarios!$B$4:$AI$4,0)),"-")</f>
        <v>-</v>
      </c>
      <c r="AH52" s="460" t="str">
        <f>IFERROR(INDEX(Scénarios!$B$2:$AI$232,MATCH($S52,Scénarios!$AI$2:$AI$232,0),MATCH(AH$4,Scénarios!$B$4:$AI$4,0)),"-")</f>
        <v>-</v>
      </c>
      <c r="AI52" s="443" t="str">
        <f>IFERROR(INDEX(Scénarios!$B$2:$AI$232,MATCH($S52,Scénarios!$AI$2:$AI$232,0),MATCH(AI$4,Scénarios!$B$4:$AI$4,0)),"-")</f>
        <v>-</v>
      </c>
      <c r="AJ52" s="443" t="str">
        <f>IFERROR(INDEX(Param!$A$3:$C$7,MATCH($AI52,Param!$C$3:$C$7,0),1),"-")</f>
        <v>-</v>
      </c>
      <c r="AK52" s="443" t="str">
        <f>IFERROR(INDEX(Scénarios!$B$2:$AI$232,MATCH($S52,Scénarios!$AI$2:$AI$232,0),MATCH(AK$4,Scénarios!$B$4:$AI$4,0)),"-")</f>
        <v>-</v>
      </c>
      <c r="AL52" s="443" t="str">
        <f>IFERROR(INDEX(Scénarios!$B$2:$AI$232,MATCH($S52,Scénarios!$AI$2:$AI$232,0),MATCH(AL$4,Scénarios!$B$4:$AI$4,0)),"-")</f>
        <v>-</v>
      </c>
      <c r="AM52" s="443" t="str">
        <f>IFERROR(INDEX(Param!$A$10:$C$14,MATCH($AL52,Param!$C$10:$C$14,0),1),"-")</f>
        <v>-</v>
      </c>
      <c r="AN52" s="443" t="str">
        <f>IFERROR(IF(INDEX(Scénarios!$B$2:$AI$232,MATCH($S52,Scénarios!$AI$2:$AI$232,0),MATCH(AN$4,Scénarios!$B$4:$AI$4,0))=0,"",INDEX(Scénarios!$B$2:$AI$232,MATCH($S52,Scénarios!$AI$2:$AI$232,0),MATCH(AN$4,Scénarios!$B$4:$AI$4,0))),"-")</f>
        <v>-</v>
      </c>
      <c r="AO52" s="443" t="str">
        <f>IFERROR(INDEX(Scénarios!$B$2:$AI$232,MATCH($S52,Scénarios!$AI$2:$AI$232,0),MATCH(AO$4,Scénarios!$B$4:$AI$4,0)),"-")</f>
        <v>-</v>
      </c>
      <c r="AP52" s="443" t="str">
        <f>IFERROR(INDEX(Param!$A$17:$C$21,MATCH($AO52,Param!$C$17:$C$21,0),1),"-")</f>
        <v>-</v>
      </c>
      <c r="AQ52" s="443" t="str">
        <f>IFERROR(IF(INDEX(Scénarios!$B$2:$AI$232,MATCH($S52,Scénarios!$AI$2:$AI$232,0),MATCH(AQ$4,Scénarios!$B$4:$AI$4,0))=0,"",INDEX(Scénarios!$B$2:$AI$232,MATCH($S52,Scénarios!$AI$2:$AI$232,0),MATCH(AQ$4,Scénarios!$B$4:$AI$4,0))),"-")</f>
        <v>-</v>
      </c>
      <c r="AR52" s="443" t="str">
        <f>IFERROR(INDEX(Scénarios!$B$2:$AI$232,MATCH($S52,Scénarios!$AI$2:$AI$232,0),MATCH(AR$4,Scénarios!$B$4:$AI$4,0)),"-")</f>
        <v>-</v>
      </c>
      <c r="AS52" s="443" t="str">
        <f>IFERROR(INDEX(Param!$A$24:$C$28,MATCH($AR52,Param!$C$24:$C$28,0),1),"-")</f>
        <v>-</v>
      </c>
      <c r="AT52" s="443" t="str">
        <f>IFERROR(IF(INDEX(Scénarios!$B$2:$AI$232,MATCH($S52,Scénarios!$AI$2:$AI$232,0),MATCH(AT$4,Scénarios!$B$4:$AI$4,0))=0,"",INDEX(Scénarios!$B$2:$AI$232,MATCH($S52,Scénarios!$AI$2:$AI$232,0),MATCH(AT$4,Scénarios!$B$4:$AI$4,0))),"-")</f>
        <v>-</v>
      </c>
      <c r="AU52" s="462" t="str">
        <f>IFERROR(INDEX(Scénarios!$B$2:$AI$232,MATCH($S52,Scénarios!$AI$2:$AI$232,0),MATCH(AU$4,Scénarios!$B$4:$AI$4,0)),"-")</f>
        <v>-</v>
      </c>
      <c r="AV52" s="462" t="str">
        <f>IFERROR(INDEX(Scénarios!$B$2:$AI$232,MATCH($S52,Scénarios!$AI$2:$AI$232,0),MATCH(AV$4,Scénarios!$B$4:$AI$4,0)),"-")</f>
        <v>-</v>
      </c>
      <c r="AW52" s="462" t="str">
        <f>IFERROR(INDEX(Scénarios!$B$2:$AI$232,MATCH($S52,Scénarios!$AI$2:$AI$232,0),MATCH(AW$4,Scénarios!$B$4:$AI$4,0)),"-")</f>
        <v>-</v>
      </c>
      <c r="AX52" s="462" t="str">
        <f>IFERROR(INDEX(Scénarios!$B$2:$AI$232,MATCH($S52,Scénarios!$AI$2:$AI$232,0),MATCH(AX$4,Scénarios!$B$4:$AI$4,0)),"-")</f>
        <v>-</v>
      </c>
      <c r="AY52" s="443" t="str">
        <f>IFERROR(INDEX(Scénarios!$B$2:$AI$232,MATCH($S52,Scénarios!$AI$2:$AI$232,0),MATCH(AY$4,Scénarios!$B$4:$AI$4,0)),"-")</f>
        <v>-</v>
      </c>
      <c r="AZ52" s="588" t="str">
        <f>IFERROR(INDEX(Param!$A$31:$C$35,MATCH($AY52,Param!$C$31:$C$35,0),1),"-")</f>
        <v>-</v>
      </c>
      <c r="BA52" s="588" t="str">
        <f>IFERROR(IF(INDEX(Scénarios!$B$2:$AI$232,MATCH($S52,Scénarios!$AI$2:$AI$232,0),MATCH(BA$4,Scénarios!$B$4:$AI$4,0))=0,"",INDEX(Scénarios!$B$2:$AI$232,MATCH($S52,Scénarios!$AI$2:$AI$232,0),MATCH(BA$4,Scénarios!$B$4:$AI$4,0))),"-")</f>
        <v>-</v>
      </c>
      <c r="BB52" s="443" t="str">
        <f>IFERROR(IF(INDEX(Scénarios!$B$2:$AK$237,MATCH($S52,Scénarios!$AI$2:$AI$237,0),MATCH(BB$4,Scénarios!$B$4:$AK$4,0))=0,"",INDEX(Scénarios!$B$2:$AK$237,MATCH($S52,Scénarios!$AI$2:$AI$237,0),MATCH(BB$4,Scénarios!$B$4:$AK$4,0))),"-")</f>
        <v>-</v>
      </c>
      <c r="BC52" s="443" t="str">
        <f>IFERROR(INDEX(Scénarios!$B$2:$AV$232,MATCH($S52,Scénarios!$AI$2:$AI$232,0),MATCH(BC$4,Scénarios!$B$4:$AV$4,0)),"-")</f>
        <v>-</v>
      </c>
    </row>
    <row r="53" spans="15:55" ht="25.5" customHeight="1" x14ac:dyDescent="0.25">
      <c r="O53" s="604" t="str">
        <f t="shared" si="0"/>
        <v>Fiche R49 sans décision :
Veuillez ajouter une décision</v>
      </c>
      <c r="P53" s="609" t="s">
        <v>2188</v>
      </c>
      <c r="Q53" s="605" t="s">
        <v>2067</v>
      </c>
      <c r="R53" s="585" t="s">
        <v>2068</v>
      </c>
      <c r="S53" s="587" t="s">
        <v>2087</v>
      </c>
      <c r="T53" s="588" t="str">
        <f>IFERROR(INDEX(Tab_sel!$B$7:$C$18,MATCH($AB53,Tab_sel!$C$7:$C$18,0),1),"-")</f>
        <v>-</v>
      </c>
      <c r="U53" s="589" t="str">
        <f>IFERROR(INDEX(Scénarios!$B$2:$AI$232,MATCH($S53,Scénarios!$AI$2:$AI$232,0),MATCH(U$4,Scénarios!$B$4:$AI$4,0)),"-")</f>
        <v>-</v>
      </c>
      <c r="V53" s="588" t="str">
        <f>IFERROR(INDEX(Scénarios!$B$2:$AI$232,MATCH($S53,Scénarios!$AI$2:$AI$232,0),MATCH(V$4,Scénarios!$B$4:$AI$4,0)),"-")</f>
        <v>-</v>
      </c>
      <c r="W53" s="588" t="str">
        <f>IFERROR(INDEX(Scénarios!$B$2:$AI$232,MATCH($S53,Scénarios!$AI$2:$AI$232,0),MATCH(W$4,Scénarios!$B$4:$AI$4,0)),"-")</f>
        <v>-</v>
      </c>
      <c r="X53" s="588" t="str">
        <f>IFERROR(VLOOKUP(AD53,Expo!$D$4:$E$35,2,FALSE),"-")</f>
        <v>-</v>
      </c>
      <c r="Y53" s="859" t="str">
        <f>IFERROR(IF(INDEX(Scénarios!$B$2:$AI$232,MATCH($S53,Scénarios!$AI$2:$AI$232,0),MATCH(Y$4,Scénarios!$B$4:$AI$4,0))=0,"",INDEX(Scénarios!$B$2:$AI$232,MATCH($S53,Scénarios!$AI$2:$AI$232,0),MATCH(Y$4,Scénarios!$B$4:$AI$4,0))),"-")</f>
        <v>-</v>
      </c>
      <c r="Z53" s="589" t="str">
        <f>IFERROR(INDEX(Scénarios!$B$2:$AI$232,MATCH($S53,Scénarios!$AI$2:$AI$232,0),MATCH(Z$4,Scénarios!$B$4:$AI$4,0)),"-")</f>
        <v>-</v>
      </c>
      <c r="AA53" s="589" t="str">
        <f>IFERROR(INDEX(Scénarios!$B$2:$AI$232,MATCH($S53,Scénarios!$AI$2:$AI$232,0),MATCH(AA$4,Scénarios!$B$4:$AI$4,0)),"-")</f>
        <v>-</v>
      </c>
      <c r="AB53" s="586" t="str">
        <f>IFERROR(INDEX(Scénarios!$B$2:$AI$232,MATCH($S53,Scénarios!$AI$2:$AI$232,0),MATCH(AB$4,Scénarios!$B$4:$AI$4,0)),"-")</f>
        <v>-</v>
      </c>
      <c r="AC53" s="442" t="str">
        <f>IFERROR(INDEX(Tab_sel!$B$24:$C$27,MATCH($U53,Tab_sel!$C$24:$C$27,0),1),"-")</f>
        <v>-</v>
      </c>
      <c r="AD53" s="443" t="str">
        <f>IFERROR(INDEX(Scénarios!$B$2:$AI$232,MATCH($S53,Scénarios!$AI$2:$AI$232,0),MATCH(AD$4,Scénarios!$B$4:$AI$4,0)),"-")</f>
        <v>-</v>
      </c>
      <c r="AE53" s="460" t="str">
        <f>IFERROR(INDEX(Scénarios!$B$2:$AI$232,MATCH($S53,Scénarios!$AI$2:$AI$232,0),MATCH(AE$4,Scénarios!$B$4:$AI$4,0)),"-")</f>
        <v>-</v>
      </c>
      <c r="AF53" s="460" t="str">
        <f>IFERROR(INDEX(Scénarios!$B$2:$AI$232,MATCH($S53,Scénarios!$AI$2:$AI$232,0),MATCH(AF$4,Scénarios!$B$4:$AI$4,0)),"-")</f>
        <v>-</v>
      </c>
      <c r="AG53" s="460" t="str">
        <f>IFERROR(INDEX(Scénarios!$B$2:$AI$232,MATCH($S53,Scénarios!$AI$2:$AI$232,0),MATCH(AG$4,Scénarios!$B$4:$AI$4,0)),"-")</f>
        <v>-</v>
      </c>
      <c r="AH53" s="460" t="str">
        <f>IFERROR(INDEX(Scénarios!$B$2:$AI$232,MATCH($S53,Scénarios!$AI$2:$AI$232,0),MATCH(AH$4,Scénarios!$B$4:$AI$4,0)),"-")</f>
        <v>-</v>
      </c>
      <c r="AI53" s="443" t="str">
        <f>IFERROR(INDEX(Scénarios!$B$2:$AI$232,MATCH($S53,Scénarios!$AI$2:$AI$232,0),MATCH(AI$4,Scénarios!$B$4:$AI$4,0)),"-")</f>
        <v>-</v>
      </c>
      <c r="AJ53" s="443" t="str">
        <f>IFERROR(INDEX(Param!$A$3:$C$7,MATCH($AI53,Param!$C$3:$C$7,0),1),"-")</f>
        <v>-</v>
      </c>
      <c r="AK53" s="443" t="str">
        <f>IFERROR(INDEX(Scénarios!$B$2:$AI$232,MATCH($S53,Scénarios!$AI$2:$AI$232,0),MATCH(AK$4,Scénarios!$B$4:$AI$4,0)),"-")</f>
        <v>-</v>
      </c>
      <c r="AL53" s="443" t="str">
        <f>IFERROR(INDEX(Scénarios!$B$2:$AI$232,MATCH($S53,Scénarios!$AI$2:$AI$232,0),MATCH(AL$4,Scénarios!$B$4:$AI$4,0)),"-")</f>
        <v>-</v>
      </c>
      <c r="AM53" s="443" t="str">
        <f>IFERROR(INDEX(Param!$A$10:$C$14,MATCH($AL53,Param!$C$10:$C$14,0),1),"-")</f>
        <v>-</v>
      </c>
      <c r="AN53" s="443" t="str">
        <f>IFERROR(IF(INDEX(Scénarios!$B$2:$AI$232,MATCH($S53,Scénarios!$AI$2:$AI$232,0),MATCH(AN$4,Scénarios!$B$4:$AI$4,0))=0,"",INDEX(Scénarios!$B$2:$AI$232,MATCH($S53,Scénarios!$AI$2:$AI$232,0),MATCH(AN$4,Scénarios!$B$4:$AI$4,0))),"-")</f>
        <v>-</v>
      </c>
      <c r="AO53" s="443" t="str">
        <f>IFERROR(INDEX(Scénarios!$B$2:$AI$232,MATCH($S53,Scénarios!$AI$2:$AI$232,0),MATCH(AO$4,Scénarios!$B$4:$AI$4,0)),"-")</f>
        <v>-</v>
      </c>
      <c r="AP53" s="443" t="str">
        <f>IFERROR(INDEX(Param!$A$17:$C$21,MATCH($AO53,Param!$C$17:$C$21,0),1),"-")</f>
        <v>-</v>
      </c>
      <c r="AQ53" s="443" t="str">
        <f>IFERROR(IF(INDEX(Scénarios!$B$2:$AI$232,MATCH($S53,Scénarios!$AI$2:$AI$232,0),MATCH(AQ$4,Scénarios!$B$4:$AI$4,0))=0,"",INDEX(Scénarios!$B$2:$AI$232,MATCH($S53,Scénarios!$AI$2:$AI$232,0),MATCH(AQ$4,Scénarios!$B$4:$AI$4,0))),"-")</f>
        <v>-</v>
      </c>
      <c r="AR53" s="443" t="str">
        <f>IFERROR(INDEX(Scénarios!$B$2:$AI$232,MATCH($S53,Scénarios!$AI$2:$AI$232,0),MATCH(AR$4,Scénarios!$B$4:$AI$4,0)),"-")</f>
        <v>-</v>
      </c>
      <c r="AS53" s="443" t="str">
        <f>IFERROR(INDEX(Param!$A$24:$C$28,MATCH($AR53,Param!$C$24:$C$28,0),1),"-")</f>
        <v>-</v>
      </c>
      <c r="AT53" s="443" t="str">
        <f>IFERROR(IF(INDEX(Scénarios!$B$2:$AI$232,MATCH($S53,Scénarios!$AI$2:$AI$232,0),MATCH(AT$4,Scénarios!$B$4:$AI$4,0))=0,"",INDEX(Scénarios!$B$2:$AI$232,MATCH($S53,Scénarios!$AI$2:$AI$232,0),MATCH(AT$4,Scénarios!$B$4:$AI$4,0))),"-")</f>
        <v>-</v>
      </c>
      <c r="AU53" s="462" t="str">
        <f>IFERROR(INDEX(Scénarios!$B$2:$AI$232,MATCH($S53,Scénarios!$AI$2:$AI$232,0),MATCH(AU$4,Scénarios!$B$4:$AI$4,0)),"-")</f>
        <v>-</v>
      </c>
      <c r="AV53" s="462" t="str">
        <f>IFERROR(INDEX(Scénarios!$B$2:$AI$232,MATCH($S53,Scénarios!$AI$2:$AI$232,0),MATCH(AV$4,Scénarios!$B$4:$AI$4,0)),"-")</f>
        <v>-</v>
      </c>
      <c r="AW53" s="462" t="str">
        <f>IFERROR(INDEX(Scénarios!$B$2:$AI$232,MATCH($S53,Scénarios!$AI$2:$AI$232,0),MATCH(AW$4,Scénarios!$B$4:$AI$4,0)),"-")</f>
        <v>-</v>
      </c>
      <c r="AX53" s="462" t="str">
        <f>IFERROR(INDEX(Scénarios!$B$2:$AI$232,MATCH($S53,Scénarios!$AI$2:$AI$232,0),MATCH(AX$4,Scénarios!$B$4:$AI$4,0)),"-")</f>
        <v>-</v>
      </c>
      <c r="AY53" s="443" t="str">
        <f>IFERROR(INDEX(Scénarios!$B$2:$AI$232,MATCH($S53,Scénarios!$AI$2:$AI$232,0),MATCH(AY$4,Scénarios!$B$4:$AI$4,0)),"-")</f>
        <v>-</v>
      </c>
      <c r="AZ53" s="588" t="str">
        <f>IFERROR(INDEX(Param!$A$31:$C$35,MATCH($AY53,Param!$C$31:$C$35,0),1),"-")</f>
        <v>-</v>
      </c>
      <c r="BA53" s="588" t="str">
        <f>IFERROR(IF(INDEX(Scénarios!$B$2:$AI$232,MATCH($S53,Scénarios!$AI$2:$AI$232,0),MATCH(BA$4,Scénarios!$B$4:$AI$4,0))=0,"",INDEX(Scénarios!$B$2:$AI$232,MATCH($S53,Scénarios!$AI$2:$AI$232,0),MATCH(BA$4,Scénarios!$B$4:$AI$4,0))),"-")</f>
        <v>-</v>
      </c>
      <c r="BB53" s="443" t="str">
        <f>IFERROR(IF(INDEX(Scénarios!$B$2:$AK$237,MATCH($S53,Scénarios!$AI$2:$AI$237,0),MATCH(BB$4,Scénarios!$B$4:$AK$4,0))=0,"",INDEX(Scénarios!$B$2:$AK$237,MATCH($S53,Scénarios!$AI$2:$AI$237,0),MATCH(BB$4,Scénarios!$B$4:$AK$4,0))),"-")</f>
        <v>-</v>
      </c>
      <c r="BC53" s="443" t="str">
        <f>IFERROR(INDEX(Scénarios!$B$2:$AV$232,MATCH($S53,Scénarios!$AI$2:$AI$232,0),MATCH(BC$4,Scénarios!$B$4:$AV$4,0)),"-")</f>
        <v>-</v>
      </c>
    </row>
    <row r="54" spans="15:55" ht="25.5" customHeight="1" x14ac:dyDescent="0.25">
      <c r="O54" s="604" t="str">
        <f t="shared" si="0"/>
        <v>Fiche R50 sans décision :
Veuillez ajouter une décision</v>
      </c>
      <c r="P54" s="609" t="s">
        <v>2188</v>
      </c>
      <c r="Q54" s="605" t="s">
        <v>2067</v>
      </c>
      <c r="R54" s="585" t="s">
        <v>2068</v>
      </c>
      <c r="S54" s="587" t="s">
        <v>2088</v>
      </c>
      <c r="T54" s="588" t="str">
        <f>IFERROR(INDEX(Tab_sel!$B$7:$C$18,MATCH($AB54,Tab_sel!$C$7:$C$18,0),1),"-")</f>
        <v>-</v>
      </c>
      <c r="U54" s="589" t="str">
        <f>IFERROR(INDEX(Scénarios!$B$2:$AI$232,MATCH($S54,Scénarios!$AI$2:$AI$232,0),MATCH(U$4,Scénarios!$B$4:$AI$4,0)),"-")</f>
        <v>-</v>
      </c>
      <c r="V54" s="588" t="str">
        <f>IFERROR(INDEX(Scénarios!$B$2:$AI$232,MATCH($S54,Scénarios!$AI$2:$AI$232,0),MATCH(V$4,Scénarios!$B$4:$AI$4,0)),"-")</f>
        <v>-</v>
      </c>
      <c r="W54" s="588" t="str">
        <f>IFERROR(INDEX(Scénarios!$B$2:$AI$232,MATCH($S54,Scénarios!$AI$2:$AI$232,0),MATCH(W$4,Scénarios!$B$4:$AI$4,0)),"-")</f>
        <v>-</v>
      </c>
      <c r="X54" s="588" t="str">
        <f>IFERROR(VLOOKUP(AD54,Expo!$D$4:$E$35,2,FALSE),"-")</f>
        <v>-</v>
      </c>
      <c r="Y54" s="859" t="str">
        <f>IFERROR(IF(INDEX(Scénarios!$B$2:$AI$232,MATCH($S54,Scénarios!$AI$2:$AI$232,0),MATCH(Y$4,Scénarios!$B$4:$AI$4,0))=0,"",INDEX(Scénarios!$B$2:$AI$232,MATCH($S54,Scénarios!$AI$2:$AI$232,0),MATCH(Y$4,Scénarios!$B$4:$AI$4,0))),"-")</f>
        <v>-</v>
      </c>
      <c r="Z54" s="589" t="str">
        <f>IFERROR(INDEX(Scénarios!$B$2:$AI$232,MATCH($S54,Scénarios!$AI$2:$AI$232,0),MATCH(Z$4,Scénarios!$B$4:$AI$4,0)),"-")</f>
        <v>-</v>
      </c>
      <c r="AA54" s="589" t="str">
        <f>IFERROR(INDEX(Scénarios!$B$2:$AI$232,MATCH($S54,Scénarios!$AI$2:$AI$232,0),MATCH(AA$4,Scénarios!$B$4:$AI$4,0)),"-")</f>
        <v>-</v>
      </c>
      <c r="AB54" s="586" t="str">
        <f>IFERROR(INDEX(Scénarios!$B$2:$AI$232,MATCH($S54,Scénarios!$AI$2:$AI$232,0),MATCH(AB$4,Scénarios!$B$4:$AI$4,0)),"-")</f>
        <v>-</v>
      </c>
      <c r="AC54" s="442" t="str">
        <f>IFERROR(INDEX(Tab_sel!$B$24:$C$27,MATCH($U54,Tab_sel!$C$24:$C$27,0),1),"-")</f>
        <v>-</v>
      </c>
      <c r="AD54" s="443" t="str">
        <f>IFERROR(INDEX(Scénarios!$B$2:$AI$232,MATCH($S54,Scénarios!$AI$2:$AI$232,0),MATCH(AD$4,Scénarios!$B$4:$AI$4,0)),"-")</f>
        <v>-</v>
      </c>
      <c r="AE54" s="460" t="str">
        <f>IFERROR(INDEX(Scénarios!$B$2:$AI$232,MATCH($S54,Scénarios!$AI$2:$AI$232,0),MATCH(AE$4,Scénarios!$B$4:$AI$4,0)),"-")</f>
        <v>-</v>
      </c>
      <c r="AF54" s="460" t="str">
        <f>IFERROR(INDEX(Scénarios!$B$2:$AI$232,MATCH($S54,Scénarios!$AI$2:$AI$232,0),MATCH(AF$4,Scénarios!$B$4:$AI$4,0)),"-")</f>
        <v>-</v>
      </c>
      <c r="AG54" s="460" t="str">
        <f>IFERROR(INDEX(Scénarios!$B$2:$AI$232,MATCH($S54,Scénarios!$AI$2:$AI$232,0),MATCH(AG$4,Scénarios!$B$4:$AI$4,0)),"-")</f>
        <v>-</v>
      </c>
      <c r="AH54" s="460" t="str">
        <f>IFERROR(INDEX(Scénarios!$B$2:$AI$232,MATCH($S54,Scénarios!$AI$2:$AI$232,0),MATCH(AH$4,Scénarios!$B$4:$AI$4,0)),"-")</f>
        <v>-</v>
      </c>
      <c r="AI54" s="443" t="str">
        <f>IFERROR(INDEX(Scénarios!$B$2:$AI$232,MATCH($S54,Scénarios!$AI$2:$AI$232,0),MATCH(AI$4,Scénarios!$B$4:$AI$4,0)),"-")</f>
        <v>-</v>
      </c>
      <c r="AJ54" s="443" t="str">
        <f>IFERROR(INDEX(Param!$A$3:$C$7,MATCH($AI54,Param!$C$3:$C$7,0),1),"-")</f>
        <v>-</v>
      </c>
      <c r="AK54" s="443" t="str">
        <f>IFERROR(INDEX(Scénarios!$B$2:$AI$232,MATCH($S54,Scénarios!$AI$2:$AI$232,0),MATCH(AK$4,Scénarios!$B$4:$AI$4,0)),"-")</f>
        <v>-</v>
      </c>
      <c r="AL54" s="443" t="str">
        <f>IFERROR(INDEX(Scénarios!$B$2:$AI$232,MATCH($S54,Scénarios!$AI$2:$AI$232,0),MATCH(AL$4,Scénarios!$B$4:$AI$4,0)),"-")</f>
        <v>-</v>
      </c>
      <c r="AM54" s="443" t="str">
        <f>IFERROR(INDEX(Param!$A$10:$C$14,MATCH($AL54,Param!$C$10:$C$14,0),1),"-")</f>
        <v>-</v>
      </c>
      <c r="AN54" s="443" t="str">
        <f>IFERROR(IF(INDEX(Scénarios!$B$2:$AI$232,MATCH($S54,Scénarios!$AI$2:$AI$232,0),MATCH(AN$4,Scénarios!$B$4:$AI$4,0))=0,"",INDEX(Scénarios!$B$2:$AI$232,MATCH($S54,Scénarios!$AI$2:$AI$232,0),MATCH(AN$4,Scénarios!$B$4:$AI$4,0))),"-")</f>
        <v>-</v>
      </c>
      <c r="AO54" s="443" t="str">
        <f>IFERROR(INDEX(Scénarios!$B$2:$AI$232,MATCH($S54,Scénarios!$AI$2:$AI$232,0),MATCH(AO$4,Scénarios!$B$4:$AI$4,0)),"-")</f>
        <v>-</v>
      </c>
      <c r="AP54" s="443" t="str">
        <f>IFERROR(INDEX(Param!$A$17:$C$21,MATCH($AO54,Param!$C$17:$C$21,0),1),"-")</f>
        <v>-</v>
      </c>
      <c r="AQ54" s="443" t="str">
        <f>IFERROR(IF(INDEX(Scénarios!$B$2:$AI$232,MATCH($S54,Scénarios!$AI$2:$AI$232,0),MATCH(AQ$4,Scénarios!$B$4:$AI$4,0))=0,"",INDEX(Scénarios!$B$2:$AI$232,MATCH($S54,Scénarios!$AI$2:$AI$232,0),MATCH(AQ$4,Scénarios!$B$4:$AI$4,0))),"-")</f>
        <v>-</v>
      </c>
      <c r="AR54" s="443" t="str">
        <f>IFERROR(INDEX(Scénarios!$B$2:$AI$232,MATCH($S54,Scénarios!$AI$2:$AI$232,0),MATCH(AR$4,Scénarios!$B$4:$AI$4,0)),"-")</f>
        <v>-</v>
      </c>
      <c r="AS54" s="443" t="str">
        <f>IFERROR(INDEX(Param!$A$24:$C$28,MATCH($AR54,Param!$C$24:$C$28,0),1),"-")</f>
        <v>-</v>
      </c>
      <c r="AT54" s="443" t="str">
        <f>IFERROR(IF(INDEX(Scénarios!$B$2:$AI$232,MATCH($S54,Scénarios!$AI$2:$AI$232,0),MATCH(AT$4,Scénarios!$B$4:$AI$4,0))=0,"",INDEX(Scénarios!$B$2:$AI$232,MATCH($S54,Scénarios!$AI$2:$AI$232,0),MATCH(AT$4,Scénarios!$B$4:$AI$4,0))),"-")</f>
        <v>-</v>
      </c>
      <c r="AU54" s="462" t="str">
        <f>IFERROR(INDEX(Scénarios!$B$2:$AI$232,MATCH($S54,Scénarios!$AI$2:$AI$232,0),MATCH(AU$4,Scénarios!$B$4:$AI$4,0)),"-")</f>
        <v>-</v>
      </c>
      <c r="AV54" s="462" t="str">
        <f>IFERROR(INDEX(Scénarios!$B$2:$AI$232,MATCH($S54,Scénarios!$AI$2:$AI$232,0),MATCH(AV$4,Scénarios!$B$4:$AI$4,0)),"-")</f>
        <v>-</v>
      </c>
      <c r="AW54" s="462" t="str">
        <f>IFERROR(INDEX(Scénarios!$B$2:$AI$232,MATCH($S54,Scénarios!$AI$2:$AI$232,0),MATCH(AW$4,Scénarios!$B$4:$AI$4,0)),"-")</f>
        <v>-</v>
      </c>
      <c r="AX54" s="462" t="str">
        <f>IFERROR(INDEX(Scénarios!$B$2:$AI$232,MATCH($S54,Scénarios!$AI$2:$AI$232,0),MATCH(AX$4,Scénarios!$B$4:$AI$4,0)),"-")</f>
        <v>-</v>
      </c>
      <c r="AY54" s="443" t="str">
        <f>IFERROR(INDEX(Scénarios!$B$2:$AI$232,MATCH($S54,Scénarios!$AI$2:$AI$232,0),MATCH(AY$4,Scénarios!$B$4:$AI$4,0)),"-")</f>
        <v>-</v>
      </c>
      <c r="AZ54" s="588" t="str">
        <f>IFERROR(INDEX(Param!$A$31:$C$35,MATCH($AY54,Param!$C$31:$C$35,0),1),"-")</f>
        <v>-</v>
      </c>
      <c r="BA54" s="588" t="str">
        <f>IFERROR(IF(INDEX(Scénarios!$B$2:$AI$232,MATCH($S54,Scénarios!$AI$2:$AI$232,0),MATCH(BA$4,Scénarios!$B$4:$AI$4,0))=0,"",INDEX(Scénarios!$B$2:$AI$232,MATCH($S54,Scénarios!$AI$2:$AI$232,0),MATCH(BA$4,Scénarios!$B$4:$AI$4,0))),"-")</f>
        <v>-</v>
      </c>
      <c r="BB54" s="443" t="str">
        <f>IFERROR(IF(INDEX(Scénarios!$B$2:$AK$237,MATCH($S54,Scénarios!$AI$2:$AI$237,0),MATCH(BB$4,Scénarios!$B$4:$AK$4,0))=0,"",INDEX(Scénarios!$B$2:$AK$237,MATCH($S54,Scénarios!$AI$2:$AI$237,0),MATCH(BB$4,Scénarios!$B$4:$AK$4,0))),"-")</f>
        <v>-</v>
      </c>
      <c r="BC54" s="443" t="str">
        <f>IFERROR(INDEX(Scénarios!$B$2:$AV$232,MATCH($S54,Scénarios!$AI$2:$AI$232,0),MATCH(BC$4,Scénarios!$B$4:$AV$4,0)),"-")</f>
        <v>-</v>
      </c>
    </row>
    <row r="55" spans="15:55" ht="25.5" customHeight="1" x14ac:dyDescent="0.25">
      <c r="O55" s="604" t="str">
        <f t="shared" si="0"/>
        <v>Fiche R51 sans décision :
Veuillez ajouter une décision</v>
      </c>
      <c r="P55" s="609" t="s">
        <v>2188</v>
      </c>
      <c r="Q55" s="605" t="s">
        <v>2067</v>
      </c>
      <c r="R55" s="585" t="s">
        <v>2068</v>
      </c>
      <c r="S55" s="587" t="s">
        <v>2089</v>
      </c>
      <c r="T55" s="588" t="str">
        <f>IFERROR(INDEX(Tab_sel!$B$7:$C$18,MATCH($AB55,Tab_sel!$C$7:$C$18,0),1),"-")</f>
        <v>-</v>
      </c>
      <c r="U55" s="589" t="str">
        <f>IFERROR(INDEX(Scénarios!$B$2:$AI$232,MATCH($S55,Scénarios!$AI$2:$AI$232,0),MATCH(U$4,Scénarios!$B$4:$AI$4,0)),"-")</f>
        <v>-</v>
      </c>
      <c r="V55" s="588" t="str">
        <f>IFERROR(INDEX(Scénarios!$B$2:$AI$232,MATCH($S55,Scénarios!$AI$2:$AI$232,0),MATCH(V$4,Scénarios!$B$4:$AI$4,0)),"-")</f>
        <v>-</v>
      </c>
      <c r="W55" s="588" t="str">
        <f>IFERROR(INDEX(Scénarios!$B$2:$AI$232,MATCH($S55,Scénarios!$AI$2:$AI$232,0),MATCH(W$4,Scénarios!$B$4:$AI$4,0)),"-")</f>
        <v>-</v>
      </c>
      <c r="X55" s="588" t="str">
        <f>IFERROR(VLOOKUP(AD55,Expo!$D$4:$E$35,2,FALSE),"-")</f>
        <v>-</v>
      </c>
      <c r="Y55" s="859" t="str">
        <f>IFERROR(IF(INDEX(Scénarios!$B$2:$AI$232,MATCH($S55,Scénarios!$AI$2:$AI$232,0),MATCH(Y$4,Scénarios!$B$4:$AI$4,0))=0,"",INDEX(Scénarios!$B$2:$AI$232,MATCH($S55,Scénarios!$AI$2:$AI$232,0),MATCH(Y$4,Scénarios!$B$4:$AI$4,0))),"-")</f>
        <v>-</v>
      </c>
      <c r="Z55" s="589" t="str">
        <f>IFERROR(INDEX(Scénarios!$B$2:$AI$232,MATCH($S55,Scénarios!$AI$2:$AI$232,0),MATCH(Z$4,Scénarios!$B$4:$AI$4,0)),"-")</f>
        <v>-</v>
      </c>
      <c r="AA55" s="589" t="str">
        <f>IFERROR(INDEX(Scénarios!$B$2:$AI$232,MATCH($S55,Scénarios!$AI$2:$AI$232,0),MATCH(AA$4,Scénarios!$B$4:$AI$4,0)),"-")</f>
        <v>-</v>
      </c>
      <c r="AB55" s="586" t="str">
        <f>IFERROR(INDEX(Scénarios!$B$2:$AI$232,MATCH($S55,Scénarios!$AI$2:$AI$232,0),MATCH(AB$4,Scénarios!$B$4:$AI$4,0)),"-")</f>
        <v>-</v>
      </c>
      <c r="AC55" s="442" t="str">
        <f>IFERROR(INDEX(Tab_sel!$B$24:$C$27,MATCH($U55,Tab_sel!$C$24:$C$27,0),1),"-")</f>
        <v>-</v>
      </c>
      <c r="AD55" s="443" t="str">
        <f>IFERROR(INDEX(Scénarios!$B$2:$AI$232,MATCH($S55,Scénarios!$AI$2:$AI$232,0),MATCH(AD$4,Scénarios!$B$4:$AI$4,0)),"-")</f>
        <v>-</v>
      </c>
      <c r="AE55" s="460" t="str">
        <f>IFERROR(INDEX(Scénarios!$B$2:$AI$232,MATCH($S55,Scénarios!$AI$2:$AI$232,0),MATCH(AE$4,Scénarios!$B$4:$AI$4,0)),"-")</f>
        <v>-</v>
      </c>
      <c r="AF55" s="460" t="str">
        <f>IFERROR(INDEX(Scénarios!$B$2:$AI$232,MATCH($S55,Scénarios!$AI$2:$AI$232,0),MATCH(AF$4,Scénarios!$B$4:$AI$4,0)),"-")</f>
        <v>-</v>
      </c>
      <c r="AG55" s="460" t="str">
        <f>IFERROR(INDEX(Scénarios!$B$2:$AI$232,MATCH($S55,Scénarios!$AI$2:$AI$232,0),MATCH(AG$4,Scénarios!$B$4:$AI$4,0)),"-")</f>
        <v>-</v>
      </c>
      <c r="AH55" s="460" t="str">
        <f>IFERROR(INDEX(Scénarios!$B$2:$AI$232,MATCH($S55,Scénarios!$AI$2:$AI$232,0),MATCH(AH$4,Scénarios!$B$4:$AI$4,0)),"-")</f>
        <v>-</v>
      </c>
      <c r="AI55" s="443" t="str">
        <f>IFERROR(INDEX(Scénarios!$B$2:$AI$232,MATCH($S55,Scénarios!$AI$2:$AI$232,0),MATCH(AI$4,Scénarios!$B$4:$AI$4,0)),"-")</f>
        <v>-</v>
      </c>
      <c r="AJ55" s="443" t="str">
        <f>IFERROR(INDEX(Param!$A$3:$C$7,MATCH($AI55,Param!$C$3:$C$7,0),1),"-")</f>
        <v>-</v>
      </c>
      <c r="AK55" s="443" t="str">
        <f>IFERROR(INDEX(Scénarios!$B$2:$AI$232,MATCH($S55,Scénarios!$AI$2:$AI$232,0),MATCH(AK$4,Scénarios!$B$4:$AI$4,0)),"-")</f>
        <v>-</v>
      </c>
      <c r="AL55" s="443" t="str">
        <f>IFERROR(INDEX(Scénarios!$B$2:$AI$232,MATCH($S55,Scénarios!$AI$2:$AI$232,0),MATCH(AL$4,Scénarios!$B$4:$AI$4,0)),"-")</f>
        <v>-</v>
      </c>
      <c r="AM55" s="443" t="str">
        <f>IFERROR(INDEX(Param!$A$10:$C$14,MATCH($AL55,Param!$C$10:$C$14,0),1),"-")</f>
        <v>-</v>
      </c>
      <c r="AN55" s="443" t="str">
        <f>IFERROR(IF(INDEX(Scénarios!$B$2:$AI$232,MATCH($S55,Scénarios!$AI$2:$AI$232,0),MATCH(AN$4,Scénarios!$B$4:$AI$4,0))=0,"",INDEX(Scénarios!$B$2:$AI$232,MATCH($S55,Scénarios!$AI$2:$AI$232,0),MATCH(AN$4,Scénarios!$B$4:$AI$4,0))),"-")</f>
        <v>-</v>
      </c>
      <c r="AO55" s="443" t="str">
        <f>IFERROR(INDEX(Scénarios!$B$2:$AI$232,MATCH($S55,Scénarios!$AI$2:$AI$232,0),MATCH(AO$4,Scénarios!$B$4:$AI$4,0)),"-")</f>
        <v>-</v>
      </c>
      <c r="AP55" s="443" t="str">
        <f>IFERROR(INDEX(Param!$A$17:$C$21,MATCH($AO55,Param!$C$17:$C$21,0),1),"-")</f>
        <v>-</v>
      </c>
      <c r="AQ55" s="443" t="str">
        <f>IFERROR(IF(INDEX(Scénarios!$B$2:$AI$232,MATCH($S55,Scénarios!$AI$2:$AI$232,0),MATCH(AQ$4,Scénarios!$B$4:$AI$4,0))=0,"",INDEX(Scénarios!$B$2:$AI$232,MATCH($S55,Scénarios!$AI$2:$AI$232,0),MATCH(AQ$4,Scénarios!$B$4:$AI$4,0))),"-")</f>
        <v>-</v>
      </c>
      <c r="AR55" s="443" t="str">
        <f>IFERROR(INDEX(Scénarios!$B$2:$AI$232,MATCH($S55,Scénarios!$AI$2:$AI$232,0),MATCH(AR$4,Scénarios!$B$4:$AI$4,0)),"-")</f>
        <v>-</v>
      </c>
      <c r="AS55" s="443" t="str">
        <f>IFERROR(INDEX(Param!$A$24:$C$28,MATCH($AR55,Param!$C$24:$C$28,0),1),"-")</f>
        <v>-</v>
      </c>
      <c r="AT55" s="443" t="str">
        <f>IFERROR(IF(INDEX(Scénarios!$B$2:$AI$232,MATCH($S55,Scénarios!$AI$2:$AI$232,0),MATCH(AT$4,Scénarios!$B$4:$AI$4,0))=0,"",INDEX(Scénarios!$B$2:$AI$232,MATCH($S55,Scénarios!$AI$2:$AI$232,0),MATCH(AT$4,Scénarios!$B$4:$AI$4,0))),"-")</f>
        <v>-</v>
      </c>
      <c r="AU55" s="462" t="str">
        <f>IFERROR(INDEX(Scénarios!$B$2:$AI$232,MATCH($S55,Scénarios!$AI$2:$AI$232,0),MATCH(AU$4,Scénarios!$B$4:$AI$4,0)),"-")</f>
        <v>-</v>
      </c>
      <c r="AV55" s="462" t="str">
        <f>IFERROR(INDEX(Scénarios!$B$2:$AI$232,MATCH($S55,Scénarios!$AI$2:$AI$232,0),MATCH(AV$4,Scénarios!$B$4:$AI$4,0)),"-")</f>
        <v>-</v>
      </c>
      <c r="AW55" s="462" t="str">
        <f>IFERROR(INDEX(Scénarios!$B$2:$AI$232,MATCH($S55,Scénarios!$AI$2:$AI$232,0),MATCH(AW$4,Scénarios!$B$4:$AI$4,0)),"-")</f>
        <v>-</v>
      </c>
      <c r="AX55" s="462" t="str">
        <f>IFERROR(INDEX(Scénarios!$B$2:$AI$232,MATCH($S55,Scénarios!$AI$2:$AI$232,0),MATCH(AX$4,Scénarios!$B$4:$AI$4,0)),"-")</f>
        <v>-</v>
      </c>
      <c r="AY55" s="443" t="str">
        <f>IFERROR(INDEX(Scénarios!$B$2:$AI$232,MATCH($S55,Scénarios!$AI$2:$AI$232,0),MATCH(AY$4,Scénarios!$B$4:$AI$4,0)),"-")</f>
        <v>-</v>
      </c>
      <c r="AZ55" s="588" t="str">
        <f>IFERROR(INDEX(Param!$A$31:$C$35,MATCH($AY55,Param!$C$31:$C$35,0),1),"-")</f>
        <v>-</v>
      </c>
      <c r="BA55" s="588" t="str">
        <f>IFERROR(IF(INDEX(Scénarios!$B$2:$AI$232,MATCH($S55,Scénarios!$AI$2:$AI$232,0),MATCH(BA$4,Scénarios!$B$4:$AI$4,0))=0,"",INDEX(Scénarios!$B$2:$AI$232,MATCH($S55,Scénarios!$AI$2:$AI$232,0),MATCH(BA$4,Scénarios!$B$4:$AI$4,0))),"-")</f>
        <v>-</v>
      </c>
      <c r="BB55" s="443" t="str">
        <f>IFERROR(IF(INDEX(Scénarios!$B$2:$AK$237,MATCH($S55,Scénarios!$AI$2:$AI$237,0),MATCH(BB$4,Scénarios!$B$4:$AK$4,0))=0,"",INDEX(Scénarios!$B$2:$AK$237,MATCH($S55,Scénarios!$AI$2:$AI$237,0),MATCH(BB$4,Scénarios!$B$4:$AK$4,0))),"-")</f>
        <v>-</v>
      </c>
      <c r="BC55" s="443" t="str">
        <f>IFERROR(INDEX(Scénarios!$B$2:$AV$232,MATCH($S55,Scénarios!$AI$2:$AI$232,0),MATCH(BC$4,Scénarios!$B$4:$AV$4,0)),"-")</f>
        <v>-</v>
      </c>
    </row>
    <row r="56" spans="15:55" ht="25.5" customHeight="1" x14ac:dyDescent="0.25">
      <c r="O56" s="604" t="str">
        <f t="shared" si="0"/>
        <v>Fiche R52 sans décision :
Veuillez ajouter une décision</v>
      </c>
      <c r="P56" s="609" t="s">
        <v>2188</v>
      </c>
      <c r="Q56" s="605" t="s">
        <v>2067</v>
      </c>
      <c r="R56" s="585" t="s">
        <v>2068</v>
      </c>
      <c r="S56" s="587" t="s">
        <v>2090</v>
      </c>
      <c r="T56" s="588" t="str">
        <f>IFERROR(INDEX(Tab_sel!$B$7:$C$18,MATCH($AB56,Tab_sel!$C$7:$C$18,0),1),"-")</f>
        <v>-</v>
      </c>
      <c r="U56" s="589" t="str">
        <f>IFERROR(INDEX(Scénarios!$B$2:$AI$232,MATCH($S56,Scénarios!$AI$2:$AI$232,0),MATCH(U$4,Scénarios!$B$4:$AI$4,0)),"-")</f>
        <v>-</v>
      </c>
      <c r="V56" s="588" t="str">
        <f>IFERROR(INDEX(Scénarios!$B$2:$AI$232,MATCH($S56,Scénarios!$AI$2:$AI$232,0),MATCH(V$4,Scénarios!$B$4:$AI$4,0)),"-")</f>
        <v>-</v>
      </c>
      <c r="W56" s="588" t="str">
        <f>IFERROR(INDEX(Scénarios!$B$2:$AI$232,MATCH($S56,Scénarios!$AI$2:$AI$232,0),MATCH(W$4,Scénarios!$B$4:$AI$4,0)),"-")</f>
        <v>-</v>
      </c>
      <c r="X56" s="588" t="str">
        <f>IFERROR(VLOOKUP(AD56,Expo!$D$4:$E$35,2,FALSE),"-")</f>
        <v>-</v>
      </c>
      <c r="Y56" s="859" t="str">
        <f>IFERROR(IF(INDEX(Scénarios!$B$2:$AI$232,MATCH($S56,Scénarios!$AI$2:$AI$232,0),MATCH(Y$4,Scénarios!$B$4:$AI$4,0))=0,"",INDEX(Scénarios!$B$2:$AI$232,MATCH($S56,Scénarios!$AI$2:$AI$232,0),MATCH(Y$4,Scénarios!$B$4:$AI$4,0))),"-")</f>
        <v>-</v>
      </c>
      <c r="Z56" s="589" t="str">
        <f>IFERROR(INDEX(Scénarios!$B$2:$AI$232,MATCH($S56,Scénarios!$AI$2:$AI$232,0),MATCH(Z$4,Scénarios!$B$4:$AI$4,0)),"-")</f>
        <v>-</v>
      </c>
      <c r="AA56" s="589" t="str">
        <f>IFERROR(INDEX(Scénarios!$B$2:$AI$232,MATCH($S56,Scénarios!$AI$2:$AI$232,0),MATCH(AA$4,Scénarios!$B$4:$AI$4,0)),"-")</f>
        <v>-</v>
      </c>
      <c r="AB56" s="586" t="str">
        <f>IFERROR(INDEX(Scénarios!$B$2:$AI$232,MATCH($S56,Scénarios!$AI$2:$AI$232,0),MATCH(AB$4,Scénarios!$B$4:$AI$4,0)),"-")</f>
        <v>-</v>
      </c>
      <c r="AC56" s="442" t="str">
        <f>IFERROR(INDEX(Tab_sel!$B$24:$C$27,MATCH($U56,Tab_sel!$C$24:$C$27,0),1),"-")</f>
        <v>-</v>
      </c>
      <c r="AD56" s="443" t="str">
        <f>IFERROR(INDEX(Scénarios!$B$2:$AI$232,MATCH($S56,Scénarios!$AI$2:$AI$232,0),MATCH(AD$4,Scénarios!$B$4:$AI$4,0)),"-")</f>
        <v>-</v>
      </c>
      <c r="AE56" s="460" t="str">
        <f>IFERROR(INDEX(Scénarios!$B$2:$AI$232,MATCH($S56,Scénarios!$AI$2:$AI$232,0),MATCH(AE$4,Scénarios!$B$4:$AI$4,0)),"-")</f>
        <v>-</v>
      </c>
      <c r="AF56" s="460" t="str">
        <f>IFERROR(INDEX(Scénarios!$B$2:$AI$232,MATCH($S56,Scénarios!$AI$2:$AI$232,0),MATCH(AF$4,Scénarios!$B$4:$AI$4,0)),"-")</f>
        <v>-</v>
      </c>
      <c r="AG56" s="460" t="str">
        <f>IFERROR(INDEX(Scénarios!$B$2:$AI$232,MATCH($S56,Scénarios!$AI$2:$AI$232,0),MATCH(AG$4,Scénarios!$B$4:$AI$4,0)),"-")</f>
        <v>-</v>
      </c>
      <c r="AH56" s="460" t="str">
        <f>IFERROR(INDEX(Scénarios!$B$2:$AI$232,MATCH($S56,Scénarios!$AI$2:$AI$232,0),MATCH(AH$4,Scénarios!$B$4:$AI$4,0)),"-")</f>
        <v>-</v>
      </c>
      <c r="AI56" s="443" t="str">
        <f>IFERROR(INDEX(Scénarios!$B$2:$AI$232,MATCH($S56,Scénarios!$AI$2:$AI$232,0),MATCH(AI$4,Scénarios!$B$4:$AI$4,0)),"-")</f>
        <v>-</v>
      </c>
      <c r="AJ56" s="443" t="str">
        <f>IFERROR(INDEX(Param!$A$3:$C$7,MATCH($AI56,Param!$C$3:$C$7,0),1),"-")</f>
        <v>-</v>
      </c>
      <c r="AK56" s="443" t="str">
        <f>IFERROR(INDEX(Scénarios!$B$2:$AI$232,MATCH($S56,Scénarios!$AI$2:$AI$232,0),MATCH(AK$4,Scénarios!$B$4:$AI$4,0)),"-")</f>
        <v>-</v>
      </c>
      <c r="AL56" s="443" t="str">
        <f>IFERROR(INDEX(Scénarios!$B$2:$AI$232,MATCH($S56,Scénarios!$AI$2:$AI$232,0),MATCH(AL$4,Scénarios!$B$4:$AI$4,0)),"-")</f>
        <v>-</v>
      </c>
      <c r="AM56" s="443" t="str">
        <f>IFERROR(INDEX(Param!$A$10:$C$14,MATCH($AL56,Param!$C$10:$C$14,0),1),"-")</f>
        <v>-</v>
      </c>
      <c r="AN56" s="443" t="str">
        <f>IFERROR(IF(INDEX(Scénarios!$B$2:$AI$232,MATCH($S56,Scénarios!$AI$2:$AI$232,0),MATCH(AN$4,Scénarios!$B$4:$AI$4,0))=0,"",INDEX(Scénarios!$B$2:$AI$232,MATCH($S56,Scénarios!$AI$2:$AI$232,0),MATCH(AN$4,Scénarios!$B$4:$AI$4,0))),"-")</f>
        <v>-</v>
      </c>
      <c r="AO56" s="443" t="str">
        <f>IFERROR(INDEX(Scénarios!$B$2:$AI$232,MATCH($S56,Scénarios!$AI$2:$AI$232,0),MATCH(AO$4,Scénarios!$B$4:$AI$4,0)),"-")</f>
        <v>-</v>
      </c>
      <c r="AP56" s="443" t="str">
        <f>IFERROR(INDEX(Param!$A$17:$C$21,MATCH($AO56,Param!$C$17:$C$21,0),1),"-")</f>
        <v>-</v>
      </c>
      <c r="AQ56" s="443" t="str">
        <f>IFERROR(IF(INDEX(Scénarios!$B$2:$AI$232,MATCH($S56,Scénarios!$AI$2:$AI$232,0),MATCH(AQ$4,Scénarios!$B$4:$AI$4,0))=0,"",INDEX(Scénarios!$B$2:$AI$232,MATCH($S56,Scénarios!$AI$2:$AI$232,0),MATCH(AQ$4,Scénarios!$B$4:$AI$4,0))),"-")</f>
        <v>-</v>
      </c>
      <c r="AR56" s="443" t="str">
        <f>IFERROR(INDEX(Scénarios!$B$2:$AI$232,MATCH($S56,Scénarios!$AI$2:$AI$232,0),MATCH(AR$4,Scénarios!$B$4:$AI$4,0)),"-")</f>
        <v>-</v>
      </c>
      <c r="AS56" s="443" t="str">
        <f>IFERROR(INDEX(Param!$A$24:$C$28,MATCH($AR56,Param!$C$24:$C$28,0),1),"-")</f>
        <v>-</v>
      </c>
      <c r="AT56" s="443" t="str">
        <f>IFERROR(IF(INDEX(Scénarios!$B$2:$AI$232,MATCH($S56,Scénarios!$AI$2:$AI$232,0),MATCH(AT$4,Scénarios!$B$4:$AI$4,0))=0,"",INDEX(Scénarios!$B$2:$AI$232,MATCH($S56,Scénarios!$AI$2:$AI$232,0),MATCH(AT$4,Scénarios!$B$4:$AI$4,0))),"-")</f>
        <v>-</v>
      </c>
      <c r="AU56" s="462" t="str">
        <f>IFERROR(INDEX(Scénarios!$B$2:$AI$232,MATCH($S56,Scénarios!$AI$2:$AI$232,0),MATCH(AU$4,Scénarios!$B$4:$AI$4,0)),"-")</f>
        <v>-</v>
      </c>
      <c r="AV56" s="462" t="str">
        <f>IFERROR(INDEX(Scénarios!$B$2:$AI$232,MATCH($S56,Scénarios!$AI$2:$AI$232,0),MATCH(AV$4,Scénarios!$B$4:$AI$4,0)),"-")</f>
        <v>-</v>
      </c>
      <c r="AW56" s="462" t="str">
        <f>IFERROR(INDEX(Scénarios!$B$2:$AI$232,MATCH($S56,Scénarios!$AI$2:$AI$232,0),MATCH(AW$4,Scénarios!$B$4:$AI$4,0)),"-")</f>
        <v>-</v>
      </c>
      <c r="AX56" s="462" t="str">
        <f>IFERROR(INDEX(Scénarios!$B$2:$AI$232,MATCH($S56,Scénarios!$AI$2:$AI$232,0),MATCH(AX$4,Scénarios!$B$4:$AI$4,0)),"-")</f>
        <v>-</v>
      </c>
      <c r="AY56" s="443" t="str">
        <f>IFERROR(INDEX(Scénarios!$B$2:$AI$232,MATCH($S56,Scénarios!$AI$2:$AI$232,0),MATCH(AY$4,Scénarios!$B$4:$AI$4,0)),"-")</f>
        <v>-</v>
      </c>
      <c r="AZ56" s="588" t="str">
        <f>IFERROR(INDEX(Param!$A$31:$C$35,MATCH($AY56,Param!$C$31:$C$35,0),1),"-")</f>
        <v>-</v>
      </c>
      <c r="BA56" s="588" t="str">
        <f>IFERROR(IF(INDEX(Scénarios!$B$2:$AI$232,MATCH($S56,Scénarios!$AI$2:$AI$232,0),MATCH(BA$4,Scénarios!$B$4:$AI$4,0))=0,"",INDEX(Scénarios!$B$2:$AI$232,MATCH($S56,Scénarios!$AI$2:$AI$232,0),MATCH(BA$4,Scénarios!$B$4:$AI$4,0))),"-")</f>
        <v>-</v>
      </c>
      <c r="BB56" s="443" t="str">
        <f>IFERROR(IF(INDEX(Scénarios!$B$2:$AK$237,MATCH($S56,Scénarios!$AI$2:$AI$237,0),MATCH(BB$4,Scénarios!$B$4:$AK$4,0))=0,"",INDEX(Scénarios!$B$2:$AK$237,MATCH($S56,Scénarios!$AI$2:$AI$237,0),MATCH(BB$4,Scénarios!$B$4:$AK$4,0))),"-")</f>
        <v>-</v>
      </c>
      <c r="BC56" s="443" t="str">
        <f>IFERROR(INDEX(Scénarios!$B$2:$AV$232,MATCH($S56,Scénarios!$AI$2:$AI$232,0),MATCH(BC$4,Scénarios!$B$4:$AV$4,0)),"-")</f>
        <v>-</v>
      </c>
    </row>
    <row r="57" spans="15:55" ht="25.5" customHeight="1" x14ac:dyDescent="0.25">
      <c r="O57" s="604" t="str">
        <f t="shared" si="0"/>
        <v>Fiche R53 sans décision :
Veuillez ajouter une décision</v>
      </c>
      <c r="P57" s="609" t="s">
        <v>2188</v>
      </c>
      <c r="Q57" s="605" t="s">
        <v>2067</v>
      </c>
      <c r="R57" s="585" t="s">
        <v>2068</v>
      </c>
      <c r="S57" s="587" t="s">
        <v>2091</v>
      </c>
      <c r="T57" s="588" t="str">
        <f>IFERROR(INDEX(Tab_sel!$B$7:$C$18,MATCH($AB57,Tab_sel!$C$7:$C$18,0),1),"-")</f>
        <v>-</v>
      </c>
      <c r="U57" s="589" t="str">
        <f>IFERROR(INDEX(Scénarios!$B$2:$AI$232,MATCH($S57,Scénarios!$AI$2:$AI$232,0),MATCH(U$4,Scénarios!$B$4:$AI$4,0)),"-")</f>
        <v>-</v>
      </c>
      <c r="V57" s="588" t="str">
        <f>IFERROR(INDEX(Scénarios!$B$2:$AI$232,MATCH($S57,Scénarios!$AI$2:$AI$232,0),MATCH(V$4,Scénarios!$B$4:$AI$4,0)),"-")</f>
        <v>-</v>
      </c>
      <c r="W57" s="588" t="str">
        <f>IFERROR(INDEX(Scénarios!$B$2:$AI$232,MATCH($S57,Scénarios!$AI$2:$AI$232,0),MATCH(W$4,Scénarios!$B$4:$AI$4,0)),"-")</f>
        <v>-</v>
      </c>
      <c r="X57" s="588" t="str">
        <f>IFERROR(VLOOKUP(AD57,Expo!$D$4:$E$35,2,FALSE),"-")</f>
        <v>-</v>
      </c>
      <c r="Y57" s="859" t="str">
        <f>IFERROR(IF(INDEX(Scénarios!$B$2:$AI$232,MATCH($S57,Scénarios!$AI$2:$AI$232,0),MATCH(Y$4,Scénarios!$B$4:$AI$4,0))=0,"",INDEX(Scénarios!$B$2:$AI$232,MATCH($S57,Scénarios!$AI$2:$AI$232,0),MATCH(Y$4,Scénarios!$B$4:$AI$4,0))),"-")</f>
        <v>-</v>
      </c>
      <c r="Z57" s="589" t="str">
        <f>IFERROR(INDEX(Scénarios!$B$2:$AI$232,MATCH($S57,Scénarios!$AI$2:$AI$232,0),MATCH(Z$4,Scénarios!$B$4:$AI$4,0)),"-")</f>
        <v>-</v>
      </c>
      <c r="AA57" s="589" t="str">
        <f>IFERROR(INDEX(Scénarios!$B$2:$AI$232,MATCH($S57,Scénarios!$AI$2:$AI$232,0),MATCH(AA$4,Scénarios!$B$4:$AI$4,0)),"-")</f>
        <v>-</v>
      </c>
      <c r="AB57" s="586" t="str">
        <f>IFERROR(INDEX(Scénarios!$B$2:$AI$232,MATCH($S57,Scénarios!$AI$2:$AI$232,0),MATCH(AB$4,Scénarios!$B$4:$AI$4,0)),"-")</f>
        <v>-</v>
      </c>
      <c r="AC57" s="442" t="str">
        <f>IFERROR(INDEX(Tab_sel!$B$24:$C$27,MATCH($U57,Tab_sel!$C$24:$C$27,0),1),"-")</f>
        <v>-</v>
      </c>
      <c r="AD57" s="443" t="str">
        <f>IFERROR(INDEX(Scénarios!$B$2:$AI$232,MATCH($S57,Scénarios!$AI$2:$AI$232,0),MATCH(AD$4,Scénarios!$B$4:$AI$4,0)),"-")</f>
        <v>-</v>
      </c>
      <c r="AE57" s="460" t="str">
        <f>IFERROR(INDEX(Scénarios!$B$2:$AI$232,MATCH($S57,Scénarios!$AI$2:$AI$232,0),MATCH(AE$4,Scénarios!$B$4:$AI$4,0)),"-")</f>
        <v>-</v>
      </c>
      <c r="AF57" s="460" t="str">
        <f>IFERROR(INDEX(Scénarios!$B$2:$AI$232,MATCH($S57,Scénarios!$AI$2:$AI$232,0),MATCH(AF$4,Scénarios!$B$4:$AI$4,0)),"-")</f>
        <v>-</v>
      </c>
      <c r="AG57" s="460" t="str">
        <f>IFERROR(INDEX(Scénarios!$B$2:$AI$232,MATCH($S57,Scénarios!$AI$2:$AI$232,0),MATCH(AG$4,Scénarios!$B$4:$AI$4,0)),"-")</f>
        <v>-</v>
      </c>
      <c r="AH57" s="460" t="str">
        <f>IFERROR(INDEX(Scénarios!$B$2:$AI$232,MATCH($S57,Scénarios!$AI$2:$AI$232,0),MATCH(AH$4,Scénarios!$B$4:$AI$4,0)),"-")</f>
        <v>-</v>
      </c>
      <c r="AI57" s="443" t="str">
        <f>IFERROR(INDEX(Scénarios!$B$2:$AI$232,MATCH($S57,Scénarios!$AI$2:$AI$232,0),MATCH(AI$4,Scénarios!$B$4:$AI$4,0)),"-")</f>
        <v>-</v>
      </c>
      <c r="AJ57" s="443" t="str">
        <f>IFERROR(INDEX(Param!$A$3:$C$7,MATCH($AI57,Param!$C$3:$C$7,0),1),"-")</f>
        <v>-</v>
      </c>
      <c r="AK57" s="443" t="str">
        <f>IFERROR(INDEX(Scénarios!$B$2:$AI$232,MATCH($S57,Scénarios!$AI$2:$AI$232,0),MATCH(AK$4,Scénarios!$B$4:$AI$4,0)),"-")</f>
        <v>-</v>
      </c>
      <c r="AL57" s="443" t="str">
        <f>IFERROR(INDEX(Scénarios!$B$2:$AI$232,MATCH($S57,Scénarios!$AI$2:$AI$232,0),MATCH(AL$4,Scénarios!$B$4:$AI$4,0)),"-")</f>
        <v>-</v>
      </c>
      <c r="AM57" s="443" t="str">
        <f>IFERROR(INDEX(Param!$A$10:$C$14,MATCH($AL57,Param!$C$10:$C$14,0),1),"-")</f>
        <v>-</v>
      </c>
      <c r="AN57" s="443" t="str">
        <f>IFERROR(IF(INDEX(Scénarios!$B$2:$AI$232,MATCH($S57,Scénarios!$AI$2:$AI$232,0),MATCH(AN$4,Scénarios!$B$4:$AI$4,0))=0,"",INDEX(Scénarios!$B$2:$AI$232,MATCH($S57,Scénarios!$AI$2:$AI$232,0),MATCH(AN$4,Scénarios!$B$4:$AI$4,0))),"-")</f>
        <v>-</v>
      </c>
      <c r="AO57" s="443" t="str">
        <f>IFERROR(INDEX(Scénarios!$B$2:$AI$232,MATCH($S57,Scénarios!$AI$2:$AI$232,0),MATCH(AO$4,Scénarios!$B$4:$AI$4,0)),"-")</f>
        <v>-</v>
      </c>
      <c r="AP57" s="443" t="str">
        <f>IFERROR(INDEX(Param!$A$17:$C$21,MATCH($AO57,Param!$C$17:$C$21,0),1),"-")</f>
        <v>-</v>
      </c>
      <c r="AQ57" s="443" t="str">
        <f>IFERROR(IF(INDEX(Scénarios!$B$2:$AI$232,MATCH($S57,Scénarios!$AI$2:$AI$232,0),MATCH(AQ$4,Scénarios!$B$4:$AI$4,0))=0,"",INDEX(Scénarios!$B$2:$AI$232,MATCH($S57,Scénarios!$AI$2:$AI$232,0),MATCH(AQ$4,Scénarios!$B$4:$AI$4,0))),"-")</f>
        <v>-</v>
      </c>
      <c r="AR57" s="443" t="str">
        <f>IFERROR(INDEX(Scénarios!$B$2:$AI$232,MATCH($S57,Scénarios!$AI$2:$AI$232,0),MATCH(AR$4,Scénarios!$B$4:$AI$4,0)),"-")</f>
        <v>-</v>
      </c>
      <c r="AS57" s="443" t="str">
        <f>IFERROR(INDEX(Param!$A$24:$C$28,MATCH($AR57,Param!$C$24:$C$28,0),1),"-")</f>
        <v>-</v>
      </c>
      <c r="AT57" s="443" t="str">
        <f>IFERROR(IF(INDEX(Scénarios!$B$2:$AI$232,MATCH($S57,Scénarios!$AI$2:$AI$232,0),MATCH(AT$4,Scénarios!$B$4:$AI$4,0))=0,"",INDEX(Scénarios!$B$2:$AI$232,MATCH($S57,Scénarios!$AI$2:$AI$232,0),MATCH(AT$4,Scénarios!$B$4:$AI$4,0))),"-")</f>
        <v>-</v>
      </c>
      <c r="AU57" s="462" t="str">
        <f>IFERROR(INDEX(Scénarios!$B$2:$AI$232,MATCH($S57,Scénarios!$AI$2:$AI$232,0),MATCH(AU$4,Scénarios!$B$4:$AI$4,0)),"-")</f>
        <v>-</v>
      </c>
      <c r="AV57" s="462" t="str">
        <f>IFERROR(INDEX(Scénarios!$B$2:$AI$232,MATCH($S57,Scénarios!$AI$2:$AI$232,0),MATCH(AV$4,Scénarios!$B$4:$AI$4,0)),"-")</f>
        <v>-</v>
      </c>
      <c r="AW57" s="462" t="str">
        <f>IFERROR(INDEX(Scénarios!$B$2:$AI$232,MATCH($S57,Scénarios!$AI$2:$AI$232,0),MATCH(AW$4,Scénarios!$B$4:$AI$4,0)),"-")</f>
        <v>-</v>
      </c>
      <c r="AX57" s="462" t="str">
        <f>IFERROR(INDEX(Scénarios!$B$2:$AI$232,MATCH($S57,Scénarios!$AI$2:$AI$232,0),MATCH(AX$4,Scénarios!$B$4:$AI$4,0)),"-")</f>
        <v>-</v>
      </c>
      <c r="AY57" s="443" t="str">
        <f>IFERROR(INDEX(Scénarios!$B$2:$AI$232,MATCH($S57,Scénarios!$AI$2:$AI$232,0),MATCH(AY$4,Scénarios!$B$4:$AI$4,0)),"-")</f>
        <v>-</v>
      </c>
      <c r="AZ57" s="588" t="str">
        <f>IFERROR(INDEX(Param!$A$31:$C$35,MATCH($AY57,Param!$C$31:$C$35,0),1),"-")</f>
        <v>-</v>
      </c>
      <c r="BA57" s="588" t="str">
        <f>IFERROR(IF(INDEX(Scénarios!$B$2:$AI$232,MATCH($S57,Scénarios!$AI$2:$AI$232,0),MATCH(BA$4,Scénarios!$B$4:$AI$4,0))=0,"",INDEX(Scénarios!$B$2:$AI$232,MATCH($S57,Scénarios!$AI$2:$AI$232,0),MATCH(BA$4,Scénarios!$B$4:$AI$4,0))),"-")</f>
        <v>-</v>
      </c>
      <c r="BB57" s="443" t="str">
        <f>IFERROR(IF(INDEX(Scénarios!$B$2:$AK$237,MATCH($S57,Scénarios!$AI$2:$AI$237,0),MATCH(BB$4,Scénarios!$B$4:$AK$4,0))=0,"",INDEX(Scénarios!$B$2:$AK$237,MATCH($S57,Scénarios!$AI$2:$AI$237,0),MATCH(BB$4,Scénarios!$B$4:$AK$4,0))),"-")</f>
        <v>-</v>
      </c>
      <c r="BC57" s="443" t="str">
        <f>IFERROR(INDEX(Scénarios!$B$2:$AV$232,MATCH($S57,Scénarios!$AI$2:$AI$232,0),MATCH(BC$4,Scénarios!$B$4:$AV$4,0)),"-")</f>
        <v>-</v>
      </c>
    </row>
    <row r="58" spans="15:55" ht="25.5" customHeight="1" x14ac:dyDescent="0.25">
      <c r="O58" s="604" t="str">
        <f t="shared" si="0"/>
        <v>Fiche R54 sans décision :
Veuillez ajouter une décision</v>
      </c>
      <c r="P58" s="609" t="s">
        <v>2188</v>
      </c>
      <c r="Q58" s="605" t="s">
        <v>2067</v>
      </c>
      <c r="R58" s="585" t="s">
        <v>2068</v>
      </c>
      <c r="S58" s="587" t="s">
        <v>2092</v>
      </c>
      <c r="T58" s="588" t="str">
        <f>IFERROR(INDEX(Tab_sel!$B$7:$C$18,MATCH($AB58,Tab_sel!$C$7:$C$18,0),1),"-")</f>
        <v>-</v>
      </c>
      <c r="U58" s="589" t="str">
        <f>IFERROR(INDEX(Scénarios!$B$2:$AI$232,MATCH($S58,Scénarios!$AI$2:$AI$232,0),MATCH(U$4,Scénarios!$B$4:$AI$4,0)),"-")</f>
        <v>-</v>
      </c>
      <c r="V58" s="588" t="str">
        <f>IFERROR(INDEX(Scénarios!$B$2:$AI$232,MATCH($S58,Scénarios!$AI$2:$AI$232,0),MATCH(V$4,Scénarios!$B$4:$AI$4,0)),"-")</f>
        <v>-</v>
      </c>
      <c r="W58" s="588" t="str">
        <f>IFERROR(INDEX(Scénarios!$B$2:$AI$232,MATCH($S58,Scénarios!$AI$2:$AI$232,0),MATCH(W$4,Scénarios!$B$4:$AI$4,0)),"-")</f>
        <v>-</v>
      </c>
      <c r="X58" s="588" t="str">
        <f>IFERROR(VLOOKUP(AD58,Expo!$D$4:$E$35,2,FALSE),"-")</f>
        <v>-</v>
      </c>
      <c r="Y58" s="859" t="str">
        <f>IFERROR(IF(INDEX(Scénarios!$B$2:$AI$232,MATCH($S58,Scénarios!$AI$2:$AI$232,0),MATCH(Y$4,Scénarios!$B$4:$AI$4,0))=0,"",INDEX(Scénarios!$B$2:$AI$232,MATCH($S58,Scénarios!$AI$2:$AI$232,0),MATCH(Y$4,Scénarios!$B$4:$AI$4,0))),"-")</f>
        <v>-</v>
      </c>
      <c r="Z58" s="589" t="str">
        <f>IFERROR(INDEX(Scénarios!$B$2:$AI$232,MATCH($S58,Scénarios!$AI$2:$AI$232,0),MATCH(Z$4,Scénarios!$B$4:$AI$4,0)),"-")</f>
        <v>-</v>
      </c>
      <c r="AA58" s="589" t="str">
        <f>IFERROR(INDEX(Scénarios!$B$2:$AI$232,MATCH($S58,Scénarios!$AI$2:$AI$232,0),MATCH(AA$4,Scénarios!$B$4:$AI$4,0)),"-")</f>
        <v>-</v>
      </c>
      <c r="AB58" s="586" t="str">
        <f>IFERROR(INDEX(Scénarios!$B$2:$AI$232,MATCH($S58,Scénarios!$AI$2:$AI$232,0),MATCH(AB$4,Scénarios!$B$4:$AI$4,0)),"-")</f>
        <v>-</v>
      </c>
      <c r="AC58" s="442" t="str">
        <f>IFERROR(INDEX(Tab_sel!$B$24:$C$27,MATCH($U58,Tab_sel!$C$24:$C$27,0),1),"-")</f>
        <v>-</v>
      </c>
      <c r="AD58" s="443" t="str">
        <f>IFERROR(INDEX(Scénarios!$B$2:$AI$232,MATCH($S58,Scénarios!$AI$2:$AI$232,0),MATCH(AD$4,Scénarios!$B$4:$AI$4,0)),"-")</f>
        <v>-</v>
      </c>
      <c r="AE58" s="460" t="str">
        <f>IFERROR(INDEX(Scénarios!$B$2:$AI$232,MATCH($S58,Scénarios!$AI$2:$AI$232,0),MATCH(AE$4,Scénarios!$B$4:$AI$4,0)),"-")</f>
        <v>-</v>
      </c>
      <c r="AF58" s="460" t="str">
        <f>IFERROR(INDEX(Scénarios!$B$2:$AI$232,MATCH($S58,Scénarios!$AI$2:$AI$232,0),MATCH(AF$4,Scénarios!$B$4:$AI$4,0)),"-")</f>
        <v>-</v>
      </c>
      <c r="AG58" s="460" t="str">
        <f>IFERROR(INDEX(Scénarios!$B$2:$AI$232,MATCH($S58,Scénarios!$AI$2:$AI$232,0),MATCH(AG$4,Scénarios!$B$4:$AI$4,0)),"-")</f>
        <v>-</v>
      </c>
      <c r="AH58" s="460" t="str">
        <f>IFERROR(INDEX(Scénarios!$B$2:$AI$232,MATCH($S58,Scénarios!$AI$2:$AI$232,0),MATCH(AH$4,Scénarios!$B$4:$AI$4,0)),"-")</f>
        <v>-</v>
      </c>
      <c r="AI58" s="443" t="str">
        <f>IFERROR(INDEX(Scénarios!$B$2:$AI$232,MATCH($S58,Scénarios!$AI$2:$AI$232,0),MATCH(AI$4,Scénarios!$B$4:$AI$4,0)),"-")</f>
        <v>-</v>
      </c>
      <c r="AJ58" s="443" t="str">
        <f>IFERROR(INDEX(Param!$A$3:$C$7,MATCH($AI58,Param!$C$3:$C$7,0),1),"-")</f>
        <v>-</v>
      </c>
      <c r="AK58" s="443" t="str">
        <f>IFERROR(INDEX(Scénarios!$B$2:$AI$232,MATCH($S58,Scénarios!$AI$2:$AI$232,0),MATCH(AK$4,Scénarios!$B$4:$AI$4,0)),"-")</f>
        <v>-</v>
      </c>
      <c r="AL58" s="443" t="str">
        <f>IFERROR(INDEX(Scénarios!$B$2:$AI$232,MATCH($S58,Scénarios!$AI$2:$AI$232,0),MATCH(AL$4,Scénarios!$B$4:$AI$4,0)),"-")</f>
        <v>-</v>
      </c>
      <c r="AM58" s="443" t="str">
        <f>IFERROR(INDEX(Param!$A$10:$C$14,MATCH($AL58,Param!$C$10:$C$14,0),1),"-")</f>
        <v>-</v>
      </c>
      <c r="AN58" s="443" t="str">
        <f>IFERROR(IF(INDEX(Scénarios!$B$2:$AI$232,MATCH($S58,Scénarios!$AI$2:$AI$232,0),MATCH(AN$4,Scénarios!$B$4:$AI$4,0))=0,"",INDEX(Scénarios!$B$2:$AI$232,MATCH($S58,Scénarios!$AI$2:$AI$232,0),MATCH(AN$4,Scénarios!$B$4:$AI$4,0))),"-")</f>
        <v>-</v>
      </c>
      <c r="AO58" s="443" t="str">
        <f>IFERROR(INDEX(Scénarios!$B$2:$AI$232,MATCH($S58,Scénarios!$AI$2:$AI$232,0),MATCH(AO$4,Scénarios!$B$4:$AI$4,0)),"-")</f>
        <v>-</v>
      </c>
      <c r="AP58" s="443" t="str">
        <f>IFERROR(INDEX(Param!$A$17:$C$21,MATCH($AO58,Param!$C$17:$C$21,0),1),"-")</f>
        <v>-</v>
      </c>
      <c r="AQ58" s="443" t="str">
        <f>IFERROR(IF(INDEX(Scénarios!$B$2:$AI$232,MATCH($S58,Scénarios!$AI$2:$AI$232,0),MATCH(AQ$4,Scénarios!$B$4:$AI$4,0))=0,"",INDEX(Scénarios!$B$2:$AI$232,MATCH($S58,Scénarios!$AI$2:$AI$232,0),MATCH(AQ$4,Scénarios!$B$4:$AI$4,0))),"-")</f>
        <v>-</v>
      </c>
      <c r="AR58" s="443" t="str">
        <f>IFERROR(INDEX(Scénarios!$B$2:$AI$232,MATCH($S58,Scénarios!$AI$2:$AI$232,0),MATCH(AR$4,Scénarios!$B$4:$AI$4,0)),"-")</f>
        <v>-</v>
      </c>
      <c r="AS58" s="443" t="str">
        <f>IFERROR(INDEX(Param!$A$24:$C$28,MATCH($AR58,Param!$C$24:$C$28,0),1),"-")</f>
        <v>-</v>
      </c>
      <c r="AT58" s="443" t="str">
        <f>IFERROR(IF(INDEX(Scénarios!$B$2:$AI$232,MATCH($S58,Scénarios!$AI$2:$AI$232,0),MATCH(AT$4,Scénarios!$B$4:$AI$4,0))=0,"",INDEX(Scénarios!$B$2:$AI$232,MATCH($S58,Scénarios!$AI$2:$AI$232,0),MATCH(AT$4,Scénarios!$B$4:$AI$4,0))),"-")</f>
        <v>-</v>
      </c>
      <c r="AU58" s="462" t="str">
        <f>IFERROR(INDEX(Scénarios!$B$2:$AI$232,MATCH($S58,Scénarios!$AI$2:$AI$232,0),MATCH(AU$4,Scénarios!$B$4:$AI$4,0)),"-")</f>
        <v>-</v>
      </c>
      <c r="AV58" s="462" t="str">
        <f>IFERROR(INDEX(Scénarios!$B$2:$AI$232,MATCH($S58,Scénarios!$AI$2:$AI$232,0),MATCH(AV$4,Scénarios!$B$4:$AI$4,0)),"-")</f>
        <v>-</v>
      </c>
      <c r="AW58" s="462" t="str">
        <f>IFERROR(INDEX(Scénarios!$B$2:$AI$232,MATCH($S58,Scénarios!$AI$2:$AI$232,0),MATCH(AW$4,Scénarios!$B$4:$AI$4,0)),"-")</f>
        <v>-</v>
      </c>
      <c r="AX58" s="462" t="str">
        <f>IFERROR(INDEX(Scénarios!$B$2:$AI$232,MATCH($S58,Scénarios!$AI$2:$AI$232,0),MATCH(AX$4,Scénarios!$B$4:$AI$4,0)),"-")</f>
        <v>-</v>
      </c>
      <c r="AY58" s="443" t="str">
        <f>IFERROR(INDEX(Scénarios!$B$2:$AI$232,MATCH($S58,Scénarios!$AI$2:$AI$232,0),MATCH(AY$4,Scénarios!$B$4:$AI$4,0)),"-")</f>
        <v>-</v>
      </c>
      <c r="AZ58" s="588" t="str">
        <f>IFERROR(INDEX(Param!$A$31:$C$35,MATCH($AY58,Param!$C$31:$C$35,0),1),"-")</f>
        <v>-</v>
      </c>
      <c r="BA58" s="588" t="str">
        <f>IFERROR(IF(INDEX(Scénarios!$B$2:$AI$232,MATCH($S58,Scénarios!$AI$2:$AI$232,0),MATCH(BA$4,Scénarios!$B$4:$AI$4,0))=0,"",INDEX(Scénarios!$B$2:$AI$232,MATCH($S58,Scénarios!$AI$2:$AI$232,0),MATCH(BA$4,Scénarios!$B$4:$AI$4,0))),"-")</f>
        <v>-</v>
      </c>
      <c r="BB58" s="443" t="str">
        <f>IFERROR(IF(INDEX(Scénarios!$B$2:$AK$237,MATCH($S58,Scénarios!$AI$2:$AI$237,0),MATCH(BB$4,Scénarios!$B$4:$AK$4,0))=0,"",INDEX(Scénarios!$B$2:$AK$237,MATCH($S58,Scénarios!$AI$2:$AI$237,0),MATCH(BB$4,Scénarios!$B$4:$AK$4,0))),"-")</f>
        <v>-</v>
      </c>
      <c r="BC58" s="443" t="str">
        <f>IFERROR(INDEX(Scénarios!$B$2:$AV$232,MATCH($S58,Scénarios!$AI$2:$AI$232,0),MATCH(BC$4,Scénarios!$B$4:$AV$4,0)),"-")</f>
        <v>-</v>
      </c>
    </row>
    <row r="59" spans="15:55" ht="25.5" customHeight="1" x14ac:dyDescent="0.25">
      <c r="O59" s="604" t="str">
        <f t="shared" si="0"/>
        <v>Fiche R55 sans décision :
Veuillez ajouter une décision</v>
      </c>
      <c r="P59" s="609" t="s">
        <v>2188</v>
      </c>
      <c r="Q59" s="605" t="s">
        <v>2067</v>
      </c>
      <c r="R59" s="585" t="s">
        <v>2068</v>
      </c>
      <c r="S59" s="587" t="s">
        <v>2093</v>
      </c>
      <c r="T59" s="588" t="str">
        <f>IFERROR(INDEX(Tab_sel!$B$7:$C$18,MATCH($AB59,Tab_sel!$C$7:$C$18,0),1),"-")</f>
        <v>-</v>
      </c>
      <c r="U59" s="589" t="str">
        <f>IFERROR(INDEX(Scénarios!$B$2:$AI$232,MATCH($S59,Scénarios!$AI$2:$AI$232,0),MATCH(U$4,Scénarios!$B$4:$AI$4,0)),"-")</f>
        <v>-</v>
      </c>
      <c r="V59" s="588" t="str">
        <f>IFERROR(INDEX(Scénarios!$B$2:$AI$232,MATCH($S59,Scénarios!$AI$2:$AI$232,0),MATCH(V$4,Scénarios!$B$4:$AI$4,0)),"-")</f>
        <v>-</v>
      </c>
      <c r="W59" s="588" t="str">
        <f>IFERROR(INDEX(Scénarios!$B$2:$AI$232,MATCH($S59,Scénarios!$AI$2:$AI$232,0),MATCH(W$4,Scénarios!$B$4:$AI$4,0)),"-")</f>
        <v>-</v>
      </c>
      <c r="X59" s="588" t="str">
        <f>IFERROR(VLOOKUP(AD59,Expo!$D$4:$E$35,2,FALSE),"-")</f>
        <v>-</v>
      </c>
      <c r="Y59" s="859" t="str">
        <f>IFERROR(IF(INDEX(Scénarios!$B$2:$AI$232,MATCH($S59,Scénarios!$AI$2:$AI$232,0),MATCH(Y$4,Scénarios!$B$4:$AI$4,0))=0,"",INDEX(Scénarios!$B$2:$AI$232,MATCH($S59,Scénarios!$AI$2:$AI$232,0),MATCH(Y$4,Scénarios!$B$4:$AI$4,0))),"-")</f>
        <v>-</v>
      </c>
      <c r="Z59" s="589" t="str">
        <f>IFERROR(INDEX(Scénarios!$B$2:$AI$232,MATCH($S59,Scénarios!$AI$2:$AI$232,0),MATCH(Z$4,Scénarios!$B$4:$AI$4,0)),"-")</f>
        <v>-</v>
      </c>
      <c r="AA59" s="589" t="str">
        <f>IFERROR(INDEX(Scénarios!$B$2:$AI$232,MATCH($S59,Scénarios!$AI$2:$AI$232,0),MATCH(AA$4,Scénarios!$B$4:$AI$4,0)),"-")</f>
        <v>-</v>
      </c>
      <c r="AB59" s="586" t="str">
        <f>IFERROR(INDEX(Scénarios!$B$2:$AI$232,MATCH($S59,Scénarios!$AI$2:$AI$232,0),MATCH(AB$4,Scénarios!$B$4:$AI$4,0)),"-")</f>
        <v>-</v>
      </c>
      <c r="AC59" s="442" t="str">
        <f>IFERROR(INDEX(Tab_sel!$B$24:$C$27,MATCH($U59,Tab_sel!$C$24:$C$27,0),1),"-")</f>
        <v>-</v>
      </c>
      <c r="AD59" s="443" t="str">
        <f>IFERROR(INDEX(Scénarios!$B$2:$AI$232,MATCH($S59,Scénarios!$AI$2:$AI$232,0),MATCH(AD$4,Scénarios!$B$4:$AI$4,0)),"-")</f>
        <v>-</v>
      </c>
      <c r="AE59" s="460" t="str">
        <f>IFERROR(INDEX(Scénarios!$B$2:$AI$232,MATCH($S59,Scénarios!$AI$2:$AI$232,0),MATCH(AE$4,Scénarios!$B$4:$AI$4,0)),"-")</f>
        <v>-</v>
      </c>
      <c r="AF59" s="460" t="str">
        <f>IFERROR(INDEX(Scénarios!$B$2:$AI$232,MATCH($S59,Scénarios!$AI$2:$AI$232,0),MATCH(AF$4,Scénarios!$B$4:$AI$4,0)),"-")</f>
        <v>-</v>
      </c>
      <c r="AG59" s="460" t="str">
        <f>IFERROR(INDEX(Scénarios!$B$2:$AI$232,MATCH($S59,Scénarios!$AI$2:$AI$232,0),MATCH(AG$4,Scénarios!$B$4:$AI$4,0)),"-")</f>
        <v>-</v>
      </c>
      <c r="AH59" s="460" t="str">
        <f>IFERROR(INDEX(Scénarios!$B$2:$AI$232,MATCH($S59,Scénarios!$AI$2:$AI$232,0),MATCH(AH$4,Scénarios!$B$4:$AI$4,0)),"-")</f>
        <v>-</v>
      </c>
      <c r="AI59" s="443" t="str">
        <f>IFERROR(INDEX(Scénarios!$B$2:$AI$232,MATCH($S59,Scénarios!$AI$2:$AI$232,0),MATCH(AI$4,Scénarios!$B$4:$AI$4,0)),"-")</f>
        <v>-</v>
      </c>
      <c r="AJ59" s="443" t="str">
        <f>IFERROR(INDEX(Param!$A$3:$C$7,MATCH($AI59,Param!$C$3:$C$7,0),1),"-")</f>
        <v>-</v>
      </c>
      <c r="AK59" s="443" t="str">
        <f>IFERROR(INDEX(Scénarios!$B$2:$AI$232,MATCH($S59,Scénarios!$AI$2:$AI$232,0),MATCH(AK$4,Scénarios!$B$4:$AI$4,0)),"-")</f>
        <v>-</v>
      </c>
      <c r="AL59" s="443" t="str">
        <f>IFERROR(INDEX(Scénarios!$B$2:$AI$232,MATCH($S59,Scénarios!$AI$2:$AI$232,0),MATCH(AL$4,Scénarios!$B$4:$AI$4,0)),"-")</f>
        <v>-</v>
      </c>
      <c r="AM59" s="443" t="str">
        <f>IFERROR(INDEX(Param!$A$10:$C$14,MATCH($AL59,Param!$C$10:$C$14,0),1),"-")</f>
        <v>-</v>
      </c>
      <c r="AN59" s="443" t="str">
        <f>IFERROR(IF(INDEX(Scénarios!$B$2:$AI$232,MATCH($S59,Scénarios!$AI$2:$AI$232,0),MATCH(AN$4,Scénarios!$B$4:$AI$4,0))=0,"",INDEX(Scénarios!$B$2:$AI$232,MATCH($S59,Scénarios!$AI$2:$AI$232,0),MATCH(AN$4,Scénarios!$B$4:$AI$4,0))),"-")</f>
        <v>-</v>
      </c>
      <c r="AO59" s="443" t="str">
        <f>IFERROR(INDEX(Scénarios!$B$2:$AI$232,MATCH($S59,Scénarios!$AI$2:$AI$232,0),MATCH(AO$4,Scénarios!$B$4:$AI$4,0)),"-")</f>
        <v>-</v>
      </c>
      <c r="AP59" s="443" t="str">
        <f>IFERROR(INDEX(Param!$A$17:$C$21,MATCH($AO59,Param!$C$17:$C$21,0),1),"-")</f>
        <v>-</v>
      </c>
      <c r="AQ59" s="443" t="str">
        <f>IFERROR(IF(INDEX(Scénarios!$B$2:$AI$232,MATCH($S59,Scénarios!$AI$2:$AI$232,0),MATCH(AQ$4,Scénarios!$B$4:$AI$4,0))=0,"",INDEX(Scénarios!$B$2:$AI$232,MATCH($S59,Scénarios!$AI$2:$AI$232,0),MATCH(AQ$4,Scénarios!$B$4:$AI$4,0))),"-")</f>
        <v>-</v>
      </c>
      <c r="AR59" s="443" t="str">
        <f>IFERROR(INDEX(Scénarios!$B$2:$AI$232,MATCH($S59,Scénarios!$AI$2:$AI$232,0),MATCH(AR$4,Scénarios!$B$4:$AI$4,0)),"-")</f>
        <v>-</v>
      </c>
      <c r="AS59" s="443" t="str">
        <f>IFERROR(INDEX(Param!$A$24:$C$28,MATCH($AR59,Param!$C$24:$C$28,0),1),"-")</f>
        <v>-</v>
      </c>
      <c r="AT59" s="443" t="str">
        <f>IFERROR(IF(INDEX(Scénarios!$B$2:$AI$232,MATCH($S59,Scénarios!$AI$2:$AI$232,0),MATCH(AT$4,Scénarios!$B$4:$AI$4,0))=0,"",INDEX(Scénarios!$B$2:$AI$232,MATCH($S59,Scénarios!$AI$2:$AI$232,0),MATCH(AT$4,Scénarios!$B$4:$AI$4,0))),"-")</f>
        <v>-</v>
      </c>
      <c r="AU59" s="462" t="str">
        <f>IFERROR(INDEX(Scénarios!$B$2:$AI$232,MATCH($S59,Scénarios!$AI$2:$AI$232,0),MATCH(AU$4,Scénarios!$B$4:$AI$4,0)),"-")</f>
        <v>-</v>
      </c>
      <c r="AV59" s="462" t="str">
        <f>IFERROR(INDEX(Scénarios!$B$2:$AI$232,MATCH($S59,Scénarios!$AI$2:$AI$232,0),MATCH(AV$4,Scénarios!$B$4:$AI$4,0)),"-")</f>
        <v>-</v>
      </c>
      <c r="AW59" s="462" t="str">
        <f>IFERROR(INDEX(Scénarios!$B$2:$AI$232,MATCH($S59,Scénarios!$AI$2:$AI$232,0),MATCH(AW$4,Scénarios!$B$4:$AI$4,0)),"-")</f>
        <v>-</v>
      </c>
      <c r="AX59" s="462" t="str">
        <f>IFERROR(INDEX(Scénarios!$B$2:$AI$232,MATCH($S59,Scénarios!$AI$2:$AI$232,0),MATCH(AX$4,Scénarios!$B$4:$AI$4,0)),"-")</f>
        <v>-</v>
      </c>
      <c r="AY59" s="443" t="str">
        <f>IFERROR(INDEX(Scénarios!$B$2:$AI$232,MATCH($S59,Scénarios!$AI$2:$AI$232,0),MATCH(AY$4,Scénarios!$B$4:$AI$4,0)),"-")</f>
        <v>-</v>
      </c>
      <c r="AZ59" s="588" t="str">
        <f>IFERROR(INDEX(Param!$A$31:$C$35,MATCH($AY59,Param!$C$31:$C$35,0),1),"-")</f>
        <v>-</v>
      </c>
      <c r="BA59" s="588" t="str">
        <f>IFERROR(IF(INDEX(Scénarios!$B$2:$AI$232,MATCH($S59,Scénarios!$AI$2:$AI$232,0),MATCH(BA$4,Scénarios!$B$4:$AI$4,0))=0,"",INDEX(Scénarios!$B$2:$AI$232,MATCH($S59,Scénarios!$AI$2:$AI$232,0),MATCH(BA$4,Scénarios!$B$4:$AI$4,0))),"-")</f>
        <v>-</v>
      </c>
      <c r="BB59" s="443" t="str">
        <f>IFERROR(IF(INDEX(Scénarios!$B$2:$AK$237,MATCH($S59,Scénarios!$AI$2:$AI$237,0),MATCH(BB$4,Scénarios!$B$4:$AK$4,0))=0,"",INDEX(Scénarios!$B$2:$AK$237,MATCH($S59,Scénarios!$AI$2:$AI$237,0),MATCH(BB$4,Scénarios!$B$4:$AK$4,0))),"-")</f>
        <v>-</v>
      </c>
      <c r="BC59" s="443" t="str">
        <f>IFERROR(INDEX(Scénarios!$B$2:$AV$232,MATCH($S59,Scénarios!$AI$2:$AI$232,0),MATCH(BC$4,Scénarios!$B$4:$AV$4,0)),"-")</f>
        <v>-</v>
      </c>
    </row>
    <row r="60" spans="15:55" ht="25.5" customHeight="1" x14ac:dyDescent="0.25">
      <c r="O60" s="604" t="str">
        <f t="shared" si="0"/>
        <v>Fiche R56 sans décision :
Veuillez ajouter une décision</v>
      </c>
      <c r="P60" s="609" t="s">
        <v>2188</v>
      </c>
      <c r="Q60" s="605" t="s">
        <v>2067</v>
      </c>
      <c r="R60" s="585" t="s">
        <v>2068</v>
      </c>
      <c r="S60" s="587" t="s">
        <v>2094</v>
      </c>
      <c r="T60" s="588" t="str">
        <f>IFERROR(INDEX(Tab_sel!$B$7:$C$18,MATCH($AB60,Tab_sel!$C$7:$C$18,0),1),"-")</f>
        <v>-</v>
      </c>
      <c r="U60" s="589" t="str">
        <f>IFERROR(INDEX(Scénarios!$B$2:$AI$232,MATCH($S60,Scénarios!$AI$2:$AI$232,0),MATCH(U$4,Scénarios!$B$4:$AI$4,0)),"-")</f>
        <v>-</v>
      </c>
      <c r="V60" s="588" t="str">
        <f>IFERROR(INDEX(Scénarios!$B$2:$AI$232,MATCH($S60,Scénarios!$AI$2:$AI$232,0),MATCH(V$4,Scénarios!$B$4:$AI$4,0)),"-")</f>
        <v>-</v>
      </c>
      <c r="W60" s="588" t="str">
        <f>IFERROR(INDEX(Scénarios!$B$2:$AI$232,MATCH($S60,Scénarios!$AI$2:$AI$232,0),MATCH(W$4,Scénarios!$B$4:$AI$4,0)),"-")</f>
        <v>-</v>
      </c>
      <c r="X60" s="588" t="str">
        <f>IFERROR(VLOOKUP(AD60,Expo!$D$4:$E$35,2,FALSE),"-")</f>
        <v>-</v>
      </c>
      <c r="Y60" s="859" t="str">
        <f>IFERROR(IF(INDEX(Scénarios!$B$2:$AI$232,MATCH($S60,Scénarios!$AI$2:$AI$232,0),MATCH(Y$4,Scénarios!$B$4:$AI$4,0))=0,"",INDEX(Scénarios!$B$2:$AI$232,MATCH($S60,Scénarios!$AI$2:$AI$232,0),MATCH(Y$4,Scénarios!$B$4:$AI$4,0))),"-")</f>
        <v>-</v>
      </c>
      <c r="Z60" s="589" t="str">
        <f>IFERROR(INDEX(Scénarios!$B$2:$AI$232,MATCH($S60,Scénarios!$AI$2:$AI$232,0),MATCH(Z$4,Scénarios!$B$4:$AI$4,0)),"-")</f>
        <v>-</v>
      </c>
      <c r="AA60" s="589" t="str">
        <f>IFERROR(INDEX(Scénarios!$B$2:$AI$232,MATCH($S60,Scénarios!$AI$2:$AI$232,0),MATCH(AA$4,Scénarios!$B$4:$AI$4,0)),"-")</f>
        <v>-</v>
      </c>
      <c r="AB60" s="586" t="str">
        <f>IFERROR(INDEX(Scénarios!$B$2:$AI$232,MATCH($S60,Scénarios!$AI$2:$AI$232,0),MATCH(AB$4,Scénarios!$B$4:$AI$4,0)),"-")</f>
        <v>-</v>
      </c>
      <c r="AC60" s="442" t="str">
        <f>IFERROR(INDEX(Tab_sel!$B$24:$C$27,MATCH($U60,Tab_sel!$C$24:$C$27,0),1),"-")</f>
        <v>-</v>
      </c>
      <c r="AD60" s="443" t="str">
        <f>IFERROR(INDEX(Scénarios!$B$2:$AI$232,MATCH($S60,Scénarios!$AI$2:$AI$232,0),MATCH(AD$4,Scénarios!$B$4:$AI$4,0)),"-")</f>
        <v>-</v>
      </c>
      <c r="AE60" s="460" t="str">
        <f>IFERROR(INDEX(Scénarios!$B$2:$AI$232,MATCH($S60,Scénarios!$AI$2:$AI$232,0),MATCH(AE$4,Scénarios!$B$4:$AI$4,0)),"-")</f>
        <v>-</v>
      </c>
      <c r="AF60" s="460" t="str">
        <f>IFERROR(INDEX(Scénarios!$B$2:$AI$232,MATCH($S60,Scénarios!$AI$2:$AI$232,0),MATCH(AF$4,Scénarios!$B$4:$AI$4,0)),"-")</f>
        <v>-</v>
      </c>
      <c r="AG60" s="460" t="str">
        <f>IFERROR(INDEX(Scénarios!$B$2:$AI$232,MATCH($S60,Scénarios!$AI$2:$AI$232,0),MATCH(AG$4,Scénarios!$B$4:$AI$4,0)),"-")</f>
        <v>-</v>
      </c>
      <c r="AH60" s="460" t="str">
        <f>IFERROR(INDEX(Scénarios!$B$2:$AI$232,MATCH($S60,Scénarios!$AI$2:$AI$232,0),MATCH(AH$4,Scénarios!$B$4:$AI$4,0)),"-")</f>
        <v>-</v>
      </c>
      <c r="AI60" s="443" t="str">
        <f>IFERROR(INDEX(Scénarios!$B$2:$AI$232,MATCH($S60,Scénarios!$AI$2:$AI$232,0),MATCH(AI$4,Scénarios!$B$4:$AI$4,0)),"-")</f>
        <v>-</v>
      </c>
      <c r="AJ60" s="443" t="str">
        <f>IFERROR(INDEX(Param!$A$3:$C$7,MATCH($AI60,Param!$C$3:$C$7,0),1),"-")</f>
        <v>-</v>
      </c>
      <c r="AK60" s="443" t="str">
        <f>IFERROR(INDEX(Scénarios!$B$2:$AI$232,MATCH($S60,Scénarios!$AI$2:$AI$232,0),MATCH(AK$4,Scénarios!$B$4:$AI$4,0)),"-")</f>
        <v>-</v>
      </c>
      <c r="AL60" s="443" t="str">
        <f>IFERROR(INDEX(Scénarios!$B$2:$AI$232,MATCH($S60,Scénarios!$AI$2:$AI$232,0),MATCH(AL$4,Scénarios!$B$4:$AI$4,0)),"-")</f>
        <v>-</v>
      </c>
      <c r="AM60" s="443" t="str">
        <f>IFERROR(INDEX(Param!$A$10:$C$14,MATCH($AL60,Param!$C$10:$C$14,0),1),"-")</f>
        <v>-</v>
      </c>
      <c r="AN60" s="443" t="str">
        <f>IFERROR(IF(INDEX(Scénarios!$B$2:$AI$232,MATCH($S60,Scénarios!$AI$2:$AI$232,0),MATCH(AN$4,Scénarios!$B$4:$AI$4,0))=0,"",INDEX(Scénarios!$B$2:$AI$232,MATCH($S60,Scénarios!$AI$2:$AI$232,0),MATCH(AN$4,Scénarios!$B$4:$AI$4,0))),"-")</f>
        <v>-</v>
      </c>
      <c r="AO60" s="443" t="str">
        <f>IFERROR(INDEX(Scénarios!$B$2:$AI$232,MATCH($S60,Scénarios!$AI$2:$AI$232,0),MATCH(AO$4,Scénarios!$B$4:$AI$4,0)),"-")</f>
        <v>-</v>
      </c>
      <c r="AP60" s="443" t="str">
        <f>IFERROR(INDEX(Param!$A$17:$C$21,MATCH($AO60,Param!$C$17:$C$21,0),1),"-")</f>
        <v>-</v>
      </c>
      <c r="AQ60" s="443" t="str">
        <f>IFERROR(IF(INDEX(Scénarios!$B$2:$AI$232,MATCH($S60,Scénarios!$AI$2:$AI$232,0),MATCH(AQ$4,Scénarios!$B$4:$AI$4,0))=0,"",INDEX(Scénarios!$B$2:$AI$232,MATCH($S60,Scénarios!$AI$2:$AI$232,0),MATCH(AQ$4,Scénarios!$B$4:$AI$4,0))),"-")</f>
        <v>-</v>
      </c>
      <c r="AR60" s="443" t="str">
        <f>IFERROR(INDEX(Scénarios!$B$2:$AI$232,MATCH($S60,Scénarios!$AI$2:$AI$232,0),MATCH(AR$4,Scénarios!$B$4:$AI$4,0)),"-")</f>
        <v>-</v>
      </c>
      <c r="AS60" s="443" t="str">
        <f>IFERROR(INDEX(Param!$A$24:$C$28,MATCH($AR60,Param!$C$24:$C$28,0),1),"-")</f>
        <v>-</v>
      </c>
      <c r="AT60" s="443" t="str">
        <f>IFERROR(IF(INDEX(Scénarios!$B$2:$AI$232,MATCH($S60,Scénarios!$AI$2:$AI$232,0),MATCH(AT$4,Scénarios!$B$4:$AI$4,0))=0,"",INDEX(Scénarios!$B$2:$AI$232,MATCH($S60,Scénarios!$AI$2:$AI$232,0),MATCH(AT$4,Scénarios!$B$4:$AI$4,0))),"-")</f>
        <v>-</v>
      </c>
      <c r="AU60" s="462" t="str">
        <f>IFERROR(INDEX(Scénarios!$B$2:$AI$232,MATCH($S60,Scénarios!$AI$2:$AI$232,0),MATCH(AU$4,Scénarios!$B$4:$AI$4,0)),"-")</f>
        <v>-</v>
      </c>
      <c r="AV60" s="462" t="str">
        <f>IFERROR(INDEX(Scénarios!$B$2:$AI$232,MATCH($S60,Scénarios!$AI$2:$AI$232,0),MATCH(AV$4,Scénarios!$B$4:$AI$4,0)),"-")</f>
        <v>-</v>
      </c>
      <c r="AW60" s="462" t="str">
        <f>IFERROR(INDEX(Scénarios!$B$2:$AI$232,MATCH($S60,Scénarios!$AI$2:$AI$232,0),MATCH(AW$4,Scénarios!$B$4:$AI$4,0)),"-")</f>
        <v>-</v>
      </c>
      <c r="AX60" s="462" t="str">
        <f>IFERROR(INDEX(Scénarios!$B$2:$AI$232,MATCH($S60,Scénarios!$AI$2:$AI$232,0),MATCH(AX$4,Scénarios!$B$4:$AI$4,0)),"-")</f>
        <v>-</v>
      </c>
      <c r="AY60" s="443" t="str">
        <f>IFERROR(INDEX(Scénarios!$B$2:$AI$232,MATCH($S60,Scénarios!$AI$2:$AI$232,0),MATCH(AY$4,Scénarios!$B$4:$AI$4,0)),"-")</f>
        <v>-</v>
      </c>
      <c r="AZ60" s="588" t="str">
        <f>IFERROR(INDEX(Param!$A$31:$C$35,MATCH($AY60,Param!$C$31:$C$35,0),1),"-")</f>
        <v>-</v>
      </c>
      <c r="BA60" s="588" t="str">
        <f>IFERROR(IF(INDEX(Scénarios!$B$2:$AI$232,MATCH($S60,Scénarios!$AI$2:$AI$232,0),MATCH(BA$4,Scénarios!$B$4:$AI$4,0))=0,"",INDEX(Scénarios!$B$2:$AI$232,MATCH($S60,Scénarios!$AI$2:$AI$232,0),MATCH(BA$4,Scénarios!$B$4:$AI$4,0))),"-")</f>
        <v>-</v>
      </c>
      <c r="BB60" s="443" t="str">
        <f>IFERROR(IF(INDEX(Scénarios!$B$2:$AK$237,MATCH($S60,Scénarios!$AI$2:$AI$237,0),MATCH(BB$4,Scénarios!$B$4:$AK$4,0))=0,"",INDEX(Scénarios!$B$2:$AK$237,MATCH($S60,Scénarios!$AI$2:$AI$237,0),MATCH(BB$4,Scénarios!$B$4:$AK$4,0))),"-")</f>
        <v>-</v>
      </c>
      <c r="BC60" s="443" t="str">
        <f>IFERROR(INDEX(Scénarios!$B$2:$AV$232,MATCH($S60,Scénarios!$AI$2:$AI$232,0),MATCH(BC$4,Scénarios!$B$4:$AV$4,0)),"-")</f>
        <v>-</v>
      </c>
    </row>
    <row r="61" spans="15:55" ht="25.5" customHeight="1" x14ac:dyDescent="0.25">
      <c r="O61" s="604" t="str">
        <f t="shared" si="0"/>
        <v>Fiche R57 sans décision :
Veuillez ajouter une décision</v>
      </c>
      <c r="P61" s="609" t="s">
        <v>2188</v>
      </c>
      <c r="Q61" s="605" t="s">
        <v>2067</v>
      </c>
      <c r="R61" s="585" t="s">
        <v>2068</v>
      </c>
      <c r="S61" s="587" t="s">
        <v>2095</v>
      </c>
      <c r="T61" s="588" t="str">
        <f>IFERROR(INDEX(Tab_sel!$B$7:$C$18,MATCH($AB61,Tab_sel!$C$7:$C$18,0),1),"-")</f>
        <v>-</v>
      </c>
      <c r="U61" s="589" t="str">
        <f>IFERROR(INDEX(Scénarios!$B$2:$AI$232,MATCH($S61,Scénarios!$AI$2:$AI$232,0),MATCH(U$4,Scénarios!$B$4:$AI$4,0)),"-")</f>
        <v>-</v>
      </c>
      <c r="V61" s="588" t="str">
        <f>IFERROR(INDEX(Scénarios!$B$2:$AI$232,MATCH($S61,Scénarios!$AI$2:$AI$232,0),MATCH(V$4,Scénarios!$B$4:$AI$4,0)),"-")</f>
        <v>-</v>
      </c>
      <c r="W61" s="588" t="str">
        <f>IFERROR(INDEX(Scénarios!$B$2:$AI$232,MATCH($S61,Scénarios!$AI$2:$AI$232,0),MATCH(W$4,Scénarios!$B$4:$AI$4,0)),"-")</f>
        <v>-</v>
      </c>
      <c r="X61" s="588" t="str">
        <f>IFERROR(VLOOKUP(AD61,Expo!$D$4:$E$35,2,FALSE),"-")</f>
        <v>-</v>
      </c>
      <c r="Y61" s="859" t="str">
        <f>IFERROR(IF(INDEX(Scénarios!$B$2:$AI$232,MATCH($S61,Scénarios!$AI$2:$AI$232,0),MATCH(Y$4,Scénarios!$B$4:$AI$4,0))=0,"",INDEX(Scénarios!$B$2:$AI$232,MATCH($S61,Scénarios!$AI$2:$AI$232,0),MATCH(Y$4,Scénarios!$B$4:$AI$4,0))),"-")</f>
        <v>-</v>
      </c>
      <c r="Z61" s="589" t="str">
        <f>IFERROR(INDEX(Scénarios!$B$2:$AI$232,MATCH($S61,Scénarios!$AI$2:$AI$232,0),MATCH(Z$4,Scénarios!$B$4:$AI$4,0)),"-")</f>
        <v>-</v>
      </c>
      <c r="AA61" s="589" t="str">
        <f>IFERROR(INDEX(Scénarios!$B$2:$AI$232,MATCH($S61,Scénarios!$AI$2:$AI$232,0),MATCH(AA$4,Scénarios!$B$4:$AI$4,0)),"-")</f>
        <v>-</v>
      </c>
      <c r="AB61" s="586" t="str">
        <f>IFERROR(INDEX(Scénarios!$B$2:$AI$232,MATCH($S61,Scénarios!$AI$2:$AI$232,0),MATCH(AB$4,Scénarios!$B$4:$AI$4,0)),"-")</f>
        <v>-</v>
      </c>
      <c r="AC61" s="442" t="str">
        <f>IFERROR(INDEX(Tab_sel!$B$24:$C$27,MATCH($U61,Tab_sel!$C$24:$C$27,0),1),"-")</f>
        <v>-</v>
      </c>
      <c r="AD61" s="443" t="str">
        <f>IFERROR(INDEX(Scénarios!$B$2:$AI$232,MATCH($S61,Scénarios!$AI$2:$AI$232,0),MATCH(AD$4,Scénarios!$B$4:$AI$4,0)),"-")</f>
        <v>-</v>
      </c>
      <c r="AE61" s="460" t="str">
        <f>IFERROR(INDEX(Scénarios!$B$2:$AI$232,MATCH($S61,Scénarios!$AI$2:$AI$232,0),MATCH(AE$4,Scénarios!$B$4:$AI$4,0)),"-")</f>
        <v>-</v>
      </c>
      <c r="AF61" s="460" t="str">
        <f>IFERROR(INDEX(Scénarios!$B$2:$AI$232,MATCH($S61,Scénarios!$AI$2:$AI$232,0),MATCH(AF$4,Scénarios!$B$4:$AI$4,0)),"-")</f>
        <v>-</v>
      </c>
      <c r="AG61" s="460" t="str">
        <f>IFERROR(INDEX(Scénarios!$B$2:$AI$232,MATCH($S61,Scénarios!$AI$2:$AI$232,0),MATCH(AG$4,Scénarios!$B$4:$AI$4,0)),"-")</f>
        <v>-</v>
      </c>
      <c r="AH61" s="460" t="str">
        <f>IFERROR(INDEX(Scénarios!$B$2:$AI$232,MATCH($S61,Scénarios!$AI$2:$AI$232,0),MATCH(AH$4,Scénarios!$B$4:$AI$4,0)),"-")</f>
        <v>-</v>
      </c>
      <c r="AI61" s="443" t="str">
        <f>IFERROR(INDEX(Scénarios!$B$2:$AI$232,MATCH($S61,Scénarios!$AI$2:$AI$232,0),MATCH(AI$4,Scénarios!$B$4:$AI$4,0)),"-")</f>
        <v>-</v>
      </c>
      <c r="AJ61" s="443" t="str">
        <f>IFERROR(INDEX(Param!$A$3:$C$7,MATCH($AI61,Param!$C$3:$C$7,0),1),"-")</f>
        <v>-</v>
      </c>
      <c r="AK61" s="443" t="str">
        <f>IFERROR(INDEX(Scénarios!$B$2:$AI$232,MATCH($S61,Scénarios!$AI$2:$AI$232,0),MATCH(AK$4,Scénarios!$B$4:$AI$4,0)),"-")</f>
        <v>-</v>
      </c>
      <c r="AL61" s="443" t="str">
        <f>IFERROR(INDEX(Scénarios!$B$2:$AI$232,MATCH($S61,Scénarios!$AI$2:$AI$232,0),MATCH(AL$4,Scénarios!$B$4:$AI$4,0)),"-")</f>
        <v>-</v>
      </c>
      <c r="AM61" s="443" t="str">
        <f>IFERROR(INDEX(Param!$A$10:$C$14,MATCH($AL61,Param!$C$10:$C$14,0),1),"-")</f>
        <v>-</v>
      </c>
      <c r="AN61" s="443" t="str">
        <f>IFERROR(IF(INDEX(Scénarios!$B$2:$AI$232,MATCH($S61,Scénarios!$AI$2:$AI$232,0),MATCH(AN$4,Scénarios!$B$4:$AI$4,0))=0,"",INDEX(Scénarios!$B$2:$AI$232,MATCH($S61,Scénarios!$AI$2:$AI$232,0),MATCH(AN$4,Scénarios!$B$4:$AI$4,0))),"-")</f>
        <v>-</v>
      </c>
      <c r="AO61" s="443" t="str">
        <f>IFERROR(INDEX(Scénarios!$B$2:$AI$232,MATCH($S61,Scénarios!$AI$2:$AI$232,0),MATCH(AO$4,Scénarios!$B$4:$AI$4,0)),"-")</f>
        <v>-</v>
      </c>
      <c r="AP61" s="443" t="str">
        <f>IFERROR(INDEX(Param!$A$17:$C$21,MATCH($AO61,Param!$C$17:$C$21,0),1),"-")</f>
        <v>-</v>
      </c>
      <c r="AQ61" s="443" t="str">
        <f>IFERROR(IF(INDEX(Scénarios!$B$2:$AI$232,MATCH($S61,Scénarios!$AI$2:$AI$232,0),MATCH(AQ$4,Scénarios!$B$4:$AI$4,0))=0,"",INDEX(Scénarios!$B$2:$AI$232,MATCH($S61,Scénarios!$AI$2:$AI$232,0),MATCH(AQ$4,Scénarios!$B$4:$AI$4,0))),"-")</f>
        <v>-</v>
      </c>
      <c r="AR61" s="443" t="str">
        <f>IFERROR(INDEX(Scénarios!$B$2:$AI$232,MATCH($S61,Scénarios!$AI$2:$AI$232,0),MATCH(AR$4,Scénarios!$B$4:$AI$4,0)),"-")</f>
        <v>-</v>
      </c>
      <c r="AS61" s="443" t="str">
        <f>IFERROR(INDEX(Param!$A$24:$C$28,MATCH($AR61,Param!$C$24:$C$28,0),1),"-")</f>
        <v>-</v>
      </c>
      <c r="AT61" s="443" t="str">
        <f>IFERROR(IF(INDEX(Scénarios!$B$2:$AI$232,MATCH($S61,Scénarios!$AI$2:$AI$232,0),MATCH(AT$4,Scénarios!$B$4:$AI$4,0))=0,"",INDEX(Scénarios!$B$2:$AI$232,MATCH($S61,Scénarios!$AI$2:$AI$232,0),MATCH(AT$4,Scénarios!$B$4:$AI$4,0))),"-")</f>
        <v>-</v>
      </c>
      <c r="AU61" s="462" t="str">
        <f>IFERROR(INDEX(Scénarios!$B$2:$AI$232,MATCH($S61,Scénarios!$AI$2:$AI$232,0),MATCH(AU$4,Scénarios!$B$4:$AI$4,0)),"-")</f>
        <v>-</v>
      </c>
      <c r="AV61" s="462" t="str">
        <f>IFERROR(INDEX(Scénarios!$B$2:$AI$232,MATCH($S61,Scénarios!$AI$2:$AI$232,0),MATCH(AV$4,Scénarios!$B$4:$AI$4,0)),"-")</f>
        <v>-</v>
      </c>
      <c r="AW61" s="462" t="str">
        <f>IFERROR(INDEX(Scénarios!$B$2:$AI$232,MATCH($S61,Scénarios!$AI$2:$AI$232,0),MATCH(AW$4,Scénarios!$B$4:$AI$4,0)),"-")</f>
        <v>-</v>
      </c>
      <c r="AX61" s="462" t="str">
        <f>IFERROR(INDEX(Scénarios!$B$2:$AI$232,MATCH($S61,Scénarios!$AI$2:$AI$232,0),MATCH(AX$4,Scénarios!$B$4:$AI$4,0)),"-")</f>
        <v>-</v>
      </c>
      <c r="AY61" s="443" t="str">
        <f>IFERROR(INDEX(Scénarios!$B$2:$AI$232,MATCH($S61,Scénarios!$AI$2:$AI$232,0),MATCH(AY$4,Scénarios!$B$4:$AI$4,0)),"-")</f>
        <v>-</v>
      </c>
      <c r="AZ61" s="588" t="str">
        <f>IFERROR(INDEX(Param!$A$31:$C$35,MATCH($AY61,Param!$C$31:$C$35,0),1),"-")</f>
        <v>-</v>
      </c>
      <c r="BA61" s="588" t="str">
        <f>IFERROR(IF(INDEX(Scénarios!$B$2:$AI$232,MATCH($S61,Scénarios!$AI$2:$AI$232,0),MATCH(BA$4,Scénarios!$B$4:$AI$4,0))=0,"",INDEX(Scénarios!$B$2:$AI$232,MATCH($S61,Scénarios!$AI$2:$AI$232,0),MATCH(BA$4,Scénarios!$B$4:$AI$4,0))),"-")</f>
        <v>-</v>
      </c>
      <c r="BB61" s="443" t="str">
        <f>IFERROR(IF(INDEX(Scénarios!$B$2:$AK$237,MATCH($S61,Scénarios!$AI$2:$AI$237,0),MATCH(BB$4,Scénarios!$B$4:$AK$4,0))=0,"",INDEX(Scénarios!$B$2:$AK$237,MATCH($S61,Scénarios!$AI$2:$AI$237,0),MATCH(BB$4,Scénarios!$B$4:$AK$4,0))),"-")</f>
        <v>-</v>
      </c>
      <c r="BC61" s="443" t="str">
        <f>IFERROR(INDEX(Scénarios!$B$2:$AV$232,MATCH($S61,Scénarios!$AI$2:$AI$232,0),MATCH(BC$4,Scénarios!$B$4:$AV$4,0)),"-")</f>
        <v>-</v>
      </c>
    </row>
    <row r="62" spans="15:55" ht="25.5" customHeight="1" x14ac:dyDescent="0.25">
      <c r="O62" s="604" t="str">
        <f t="shared" si="0"/>
        <v>Fiche R58 sans décision :
Veuillez ajouter une décision</v>
      </c>
      <c r="P62" s="609" t="s">
        <v>2188</v>
      </c>
      <c r="Q62" s="605" t="s">
        <v>2067</v>
      </c>
      <c r="R62" s="585" t="s">
        <v>2068</v>
      </c>
      <c r="S62" s="587" t="s">
        <v>2096</v>
      </c>
      <c r="T62" s="588" t="str">
        <f>IFERROR(INDEX(Tab_sel!$B$7:$C$18,MATCH($AB62,Tab_sel!$C$7:$C$18,0),1),"-")</f>
        <v>-</v>
      </c>
      <c r="U62" s="589" t="str">
        <f>IFERROR(INDEX(Scénarios!$B$2:$AI$232,MATCH($S62,Scénarios!$AI$2:$AI$232,0),MATCH(U$4,Scénarios!$B$4:$AI$4,0)),"-")</f>
        <v>-</v>
      </c>
      <c r="V62" s="588" t="str">
        <f>IFERROR(INDEX(Scénarios!$B$2:$AI$232,MATCH($S62,Scénarios!$AI$2:$AI$232,0),MATCH(V$4,Scénarios!$B$4:$AI$4,0)),"-")</f>
        <v>-</v>
      </c>
      <c r="W62" s="588" t="str">
        <f>IFERROR(INDEX(Scénarios!$B$2:$AI$232,MATCH($S62,Scénarios!$AI$2:$AI$232,0),MATCH(W$4,Scénarios!$B$4:$AI$4,0)),"-")</f>
        <v>-</v>
      </c>
      <c r="X62" s="588" t="str">
        <f>IFERROR(VLOOKUP(AD62,Expo!$D$4:$E$35,2,FALSE),"-")</f>
        <v>-</v>
      </c>
      <c r="Y62" s="859" t="str">
        <f>IFERROR(IF(INDEX(Scénarios!$B$2:$AI$232,MATCH($S62,Scénarios!$AI$2:$AI$232,0),MATCH(Y$4,Scénarios!$B$4:$AI$4,0))=0,"",INDEX(Scénarios!$B$2:$AI$232,MATCH($S62,Scénarios!$AI$2:$AI$232,0),MATCH(Y$4,Scénarios!$B$4:$AI$4,0))),"-")</f>
        <v>-</v>
      </c>
      <c r="Z62" s="589" t="str">
        <f>IFERROR(INDEX(Scénarios!$B$2:$AI$232,MATCH($S62,Scénarios!$AI$2:$AI$232,0),MATCH(Z$4,Scénarios!$B$4:$AI$4,0)),"-")</f>
        <v>-</v>
      </c>
      <c r="AA62" s="589" t="str">
        <f>IFERROR(INDEX(Scénarios!$B$2:$AI$232,MATCH($S62,Scénarios!$AI$2:$AI$232,0),MATCH(AA$4,Scénarios!$B$4:$AI$4,0)),"-")</f>
        <v>-</v>
      </c>
      <c r="AB62" s="586" t="str">
        <f>IFERROR(INDEX(Scénarios!$B$2:$AI$232,MATCH($S62,Scénarios!$AI$2:$AI$232,0),MATCH(AB$4,Scénarios!$B$4:$AI$4,0)),"-")</f>
        <v>-</v>
      </c>
      <c r="AC62" s="442" t="str">
        <f>IFERROR(INDEX(Tab_sel!$B$24:$C$27,MATCH($U62,Tab_sel!$C$24:$C$27,0),1),"-")</f>
        <v>-</v>
      </c>
      <c r="AD62" s="443" t="str">
        <f>IFERROR(INDEX(Scénarios!$B$2:$AI$232,MATCH($S62,Scénarios!$AI$2:$AI$232,0),MATCH(AD$4,Scénarios!$B$4:$AI$4,0)),"-")</f>
        <v>-</v>
      </c>
      <c r="AE62" s="460" t="str">
        <f>IFERROR(INDEX(Scénarios!$B$2:$AI$232,MATCH($S62,Scénarios!$AI$2:$AI$232,0),MATCH(AE$4,Scénarios!$B$4:$AI$4,0)),"-")</f>
        <v>-</v>
      </c>
      <c r="AF62" s="460" t="str">
        <f>IFERROR(INDEX(Scénarios!$B$2:$AI$232,MATCH($S62,Scénarios!$AI$2:$AI$232,0),MATCH(AF$4,Scénarios!$B$4:$AI$4,0)),"-")</f>
        <v>-</v>
      </c>
      <c r="AG62" s="460" t="str">
        <f>IFERROR(INDEX(Scénarios!$B$2:$AI$232,MATCH($S62,Scénarios!$AI$2:$AI$232,0),MATCH(AG$4,Scénarios!$B$4:$AI$4,0)),"-")</f>
        <v>-</v>
      </c>
      <c r="AH62" s="460" t="str">
        <f>IFERROR(INDEX(Scénarios!$B$2:$AI$232,MATCH($S62,Scénarios!$AI$2:$AI$232,0),MATCH(AH$4,Scénarios!$B$4:$AI$4,0)),"-")</f>
        <v>-</v>
      </c>
      <c r="AI62" s="443" t="str">
        <f>IFERROR(INDEX(Scénarios!$B$2:$AI$232,MATCH($S62,Scénarios!$AI$2:$AI$232,0),MATCH(AI$4,Scénarios!$B$4:$AI$4,0)),"-")</f>
        <v>-</v>
      </c>
      <c r="AJ62" s="443" t="str">
        <f>IFERROR(INDEX(Param!$A$3:$C$7,MATCH($AI62,Param!$C$3:$C$7,0),1),"-")</f>
        <v>-</v>
      </c>
      <c r="AK62" s="443" t="str">
        <f>IFERROR(INDEX(Scénarios!$B$2:$AI$232,MATCH($S62,Scénarios!$AI$2:$AI$232,0),MATCH(AK$4,Scénarios!$B$4:$AI$4,0)),"-")</f>
        <v>-</v>
      </c>
      <c r="AL62" s="443" t="str">
        <f>IFERROR(INDEX(Scénarios!$B$2:$AI$232,MATCH($S62,Scénarios!$AI$2:$AI$232,0),MATCH(AL$4,Scénarios!$B$4:$AI$4,0)),"-")</f>
        <v>-</v>
      </c>
      <c r="AM62" s="443" t="str">
        <f>IFERROR(INDEX(Param!$A$10:$C$14,MATCH($AL62,Param!$C$10:$C$14,0),1),"-")</f>
        <v>-</v>
      </c>
      <c r="AN62" s="443" t="str">
        <f>IFERROR(IF(INDEX(Scénarios!$B$2:$AI$232,MATCH($S62,Scénarios!$AI$2:$AI$232,0),MATCH(AN$4,Scénarios!$B$4:$AI$4,0))=0,"",INDEX(Scénarios!$B$2:$AI$232,MATCH($S62,Scénarios!$AI$2:$AI$232,0),MATCH(AN$4,Scénarios!$B$4:$AI$4,0))),"-")</f>
        <v>-</v>
      </c>
      <c r="AO62" s="443" t="str">
        <f>IFERROR(INDEX(Scénarios!$B$2:$AI$232,MATCH($S62,Scénarios!$AI$2:$AI$232,0),MATCH(AO$4,Scénarios!$B$4:$AI$4,0)),"-")</f>
        <v>-</v>
      </c>
      <c r="AP62" s="443" t="str">
        <f>IFERROR(INDEX(Param!$A$17:$C$21,MATCH($AO62,Param!$C$17:$C$21,0),1),"-")</f>
        <v>-</v>
      </c>
      <c r="AQ62" s="443" t="str">
        <f>IFERROR(IF(INDEX(Scénarios!$B$2:$AI$232,MATCH($S62,Scénarios!$AI$2:$AI$232,0),MATCH(AQ$4,Scénarios!$B$4:$AI$4,0))=0,"",INDEX(Scénarios!$B$2:$AI$232,MATCH($S62,Scénarios!$AI$2:$AI$232,0),MATCH(AQ$4,Scénarios!$B$4:$AI$4,0))),"-")</f>
        <v>-</v>
      </c>
      <c r="AR62" s="443" t="str">
        <f>IFERROR(INDEX(Scénarios!$B$2:$AI$232,MATCH($S62,Scénarios!$AI$2:$AI$232,0),MATCH(AR$4,Scénarios!$B$4:$AI$4,0)),"-")</f>
        <v>-</v>
      </c>
      <c r="AS62" s="443" t="str">
        <f>IFERROR(INDEX(Param!$A$24:$C$28,MATCH($AR62,Param!$C$24:$C$28,0),1),"-")</f>
        <v>-</v>
      </c>
      <c r="AT62" s="443" t="str">
        <f>IFERROR(IF(INDEX(Scénarios!$B$2:$AI$232,MATCH($S62,Scénarios!$AI$2:$AI$232,0),MATCH(AT$4,Scénarios!$B$4:$AI$4,0))=0,"",INDEX(Scénarios!$B$2:$AI$232,MATCH($S62,Scénarios!$AI$2:$AI$232,0),MATCH(AT$4,Scénarios!$B$4:$AI$4,0))),"-")</f>
        <v>-</v>
      </c>
      <c r="AU62" s="462" t="str">
        <f>IFERROR(INDEX(Scénarios!$B$2:$AI$232,MATCH($S62,Scénarios!$AI$2:$AI$232,0),MATCH(AU$4,Scénarios!$B$4:$AI$4,0)),"-")</f>
        <v>-</v>
      </c>
      <c r="AV62" s="462" t="str">
        <f>IFERROR(INDEX(Scénarios!$B$2:$AI$232,MATCH($S62,Scénarios!$AI$2:$AI$232,0),MATCH(AV$4,Scénarios!$B$4:$AI$4,0)),"-")</f>
        <v>-</v>
      </c>
      <c r="AW62" s="462" t="str">
        <f>IFERROR(INDEX(Scénarios!$B$2:$AI$232,MATCH($S62,Scénarios!$AI$2:$AI$232,0),MATCH(AW$4,Scénarios!$B$4:$AI$4,0)),"-")</f>
        <v>-</v>
      </c>
      <c r="AX62" s="462" t="str">
        <f>IFERROR(INDEX(Scénarios!$B$2:$AI$232,MATCH($S62,Scénarios!$AI$2:$AI$232,0),MATCH(AX$4,Scénarios!$B$4:$AI$4,0)),"-")</f>
        <v>-</v>
      </c>
      <c r="AY62" s="443" t="str">
        <f>IFERROR(INDEX(Scénarios!$B$2:$AI$232,MATCH($S62,Scénarios!$AI$2:$AI$232,0),MATCH(AY$4,Scénarios!$B$4:$AI$4,0)),"-")</f>
        <v>-</v>
      </c>
      <c r="AZ62" s="588" t="str">
        <f>IFERROR(INDEX(Param!$A$31:$C$35,MATCH($AY62,Param!$C$31:$C$35,0),1),"-")</f>
        <v>-</v>
      </c>
      <c r="BA62" s="588" t="str">
        <f>IFERROR(IF(INDEX(Scénarios!$B$2:$AI$232,MATCH($S62,Scénarios!$AI$2:$AI$232,0),MATCH(BA$4,Scénarios!$B$4:$AI$4,0))=0,"",INDEX(Scénarios!$B$2:$AI$232,MATCH($S62,Scénarios!$AI$2:$AI$232,0),MATCH(BA$4,Scénarios!$B$4:$AI$4,0))),"-")</f>
        <v>-</v>
      </c>
      <c r="BB62" s="443" t="str">
        <f>IFERROR(IF(INDEX(Scénarios!$B$2:$AK$237,MATCH($S62,Scénarios!$AI$2:$AI$237,0),MATCH(BB$4,Scénarios!$B$4:$AK$4,0))=0,"",INDEX(Scénarios!$B$2:$AK$237,MATCH($S62,Scénarios!$AI$2:$AI$237,0),MATCH(BB$4,Scénarios!$B$4:$AK$4,0))),"-")</f>
        <v>-</v>
      </c>
      <c r="BC62" s="443" t="str">
        <f>IFERROR(INDEX(Scénarios!$B$2:$AV$232,MATCH($S62,Scénarios!$AI$2:$AI$232,0),MATCH(BC$4,Scénarios!$B$4:$AV$4,0)),"-")</f>
        <v>-</v>
      </c>
    </row>
    <row r="63" spans="15:55" ht="25.5" customHeight="1" x14ac:dyDescent="0.25">
      <c r="O63" s="604" t="str">
        <f t="shared" si="0"/>
        <v>Fiche R59 sans décision :
Veuillez ajouter une décision</v>
      </c>
      <c r="P63" s="609" t="s">
        <v>2188</v>
      </c>
      <c r="Q63" s="605" t="s">
        <v>2067</v>
      </c>
      <c r="R63" s="585" t="s">
        <v>2068</v>
      </c>
      <c r="S63" s="587" t="s">
        <v>2097</v>
      </c>
      <c r="T63" s="588" t="str">
        <f>IFERROR(INDEX(Tab_sel!$B$7:$C$18,MATCH($AB63,Tab_sel!$C$7:$C$18,0),1),"-")</f>
        <v>-</v>
      </c>
      <c r="U63" s="589" t="str">
        <f>IFERROR(INDEX(Scénarios!$B$2:$AI$232,MATCH($S63,Scénarios!$AI$2:$AI$232,0),MATCH(U$4,Scénarios!$B$4:$AI$4,0)),"-")</f>
        <v>-</v>
      </c>
      <c r="V63" s="588" t="str">
        <f>IFERROR(INDEX(Scénarios!$B$2:$AI$232,MATCH($S63,Scénarios!$AI$2:$AI$232,0),MATCH(V$4,Scénarios!$B$4:$AI$4,0)),"-")</f>
        <v>-</v>
      </c>
      <c r="W63" s="588" t="str">
        <f>IFERROR(INDEX(Scénarios!$B$2:$AI$232,MATCH($S63,Scénarios!$AI$2:$AI$232,0),MATCH(W$4,Scénarios!$B$4:$AI$4,0)),"-")</f>
        <v>-</v>
      </c>
      <c r="X63" s="588" t="str">
        <f>IFERROR(VLOOKUP(AD63,Expo!$D$4:$E$35,2,FALSE),"-")</f>
        <v>-</v>
      </c>
      <c r="Y63" s="859" t="str">
        <f>IFERROR(IF(INDEX(Scénarios!$B$2:$AI$232,MATCH($S63,Scénarios!$AI$2:$AI$232,0),MATCH(Y$4,Scénarios!$B$4:$AI$4,0))=0,"",INDEX(Scénarios!$B$2:$AI$232,MATCH($S63,Scénarios!$AI$2:$AI$232,0),MATCH(Y$4,Scénarios!$B$4:$AI$4,0))),"-")</f>
        <v>-</v>
      </c>
      <c r="Z63" s="589" t="str">
        <f>IFERROR(INDEX(Scénarios!$B$2:$AI$232,MATCH($S63,Scénarios!$AI$2:$AI$232,0),MATCH(Z$4,Scénarios!$B$4:$AI$4,0)),"-")</f>
        <v>-</v>
      </c>
      <c r="AA63" s="589" t="str">
        <f>IFERROR(INDEX(Scénarios!$B$2:$AI$232,MATCH($S63,Scénarios!$AI$2:$AI$232,0),MATCH(AA$4,Scénarios!$B$4:$AI$4,0)),"-")</f>
        <v>-</v>
      </c>
      <c r="AB63" s="586" t="str">
        <f>IFERROR(INDEX(Scénarios!$B$2:$AI$232,MATCH($S63,Scénarios!$AI$2:$AI$232,0),MATCH(AB$4,Scénarios!$B$4:$AI$4,0)),"-")</f>
        <v>-</v>
      </c>
      <c r="AC63" s="442" t="str">
        <f>IFERROR(INDEX(Tab_sel!$B$24:$C$27,MATCH($U63,Tab_sel!$C$24:$C$27,0),1),"-")</f>
        <v>-</v>
      </c>
      <c r="AD63" s="443" t="str">
        <f>IFERROR(INDEX(Scénarios!$B$2:$AI$232,MATCH($S63,Scénarios!$AI$2:$AI$232,0),MATCH(AD$4,Scénarios!$B$4:$AI$4,0)),"-")</f>
        <v>-</v>
      </c>
      <c r="AE63" s="460" t="str">
        <f>IFERROR(INDEX(Scénarios!$B$2:$AI$232,MATCH($S63,Scénarios!$AI$2:$AI$232,0),MATCH(AE$4,Scénarios!$B$4:$AI$4,0)),"-")</f>
        <v>-</v>
      </c>
      <c r="AF63" s="460" t="str">
        <f>IFERROR(INDEX(Scénarios!$B$2:$AI$232,MATCH($S63,Scénarios!$AI$2:$AI$232,0),MATCH(AF$4,Scénarios!$B$4:$AI$4,0)),"-")</f>
        <v>-</v>
      </c>
      <c r="AG63" s="460" t="str">
        <f>IFERROR(INDEX(Scénarios!$B$2:$AI$232,MATCH($S63,Scénarios!$AI$2:$AI$232,0),MATCH(AG$4,Scénarios!$B$4:$AI$4,0)),"-")</f>
        <v>-</v>
      </c>
      <c r="AH63" s="460" t="str">
        <f>IFERROR(INDEX(Scénarios!$B$2:$AI$232,MATCH($S63,Scénarios!$AI$2:$AI$232,0),MATCH(AH$4,Scénarios!$B$4:$AI$4,0)),"-")</f>
        <v>-</v>
      </c>
      <c r="AI63" s="443" t="str">
        <f>IFERROR(INDEX(Scénarios!$B$2:$AI$232,MATCH($S63,Scénarios!$AI$2:$AI$232,0),MATCH(AI$4,Scénarios!$B$4:$AI$4,0)),"-")</f>
        <v>-</v>
      </c>
      <c r="AJ63" s="443" t="str">
        <f>IFERROR(INDEX(Param!$A$3:$C$7,MATCH($AI63,Param!$C$3:$C$7,0),1),"-")</f>
        <v>-</v>
      </c>
      <c r="AK63" s="443" t="str">
        <f>IFERROR(INDEX(Scénarios!$B$2:$AI$232,MATCH($S63,Scénarios!$AI$2:$AI$232,0),MATCH(AK$4,Scénarios!$B$4:$AI$4,0)),"-")</f>
        <v>-</v>
      </c>
      <c r="AL63" s="443" t="str">
        <f>IFERROR(INDEX(Scénarios!$B$2:$AI$232,MATCH($S63,Scénarios!$AI$2:$AI$232,0),MATCH(AL$4,Scénarios!$B$4:$AI$4,0)),"-")</f>
        <v>-</v>
      </c>
      <c r="AM63" s="443" t="str">
        <f>IFERROR(INDEX(Param!$A$10:$C$14,MATCH($AL63,Param!$C$10:$C$14,0),1),"-")</f>
        <v>-</v>
      </c>
      <c r="AN63" s="443" t="str">
        <f>IFERROR(IF(INDEX(Scénarios!$B$2:$AI$232,MATCH($S63,Scénarios!$AI$2:$AI$232,0),MATCH(AN$4,Scénarios!$B$4:$AI$4,0))=0,"",INDEX(Scénarios!$B$2:$AI$232,MATCH($S63,Scénarios!$AI$2:$AI$232,0),MATCH(AN$4,Scénarios!$B$4:$AI$4,0))),"-")</f>
        <v>-</v>
      </c>
      <c r="AO63" s="443" t="str">
        <f>IFERROR(INDEX(Scénarios!$B$2:$AI$232,MATCH($S63,Scénarios!$AI$2:$AI$232,0),MATCH(AO$4,Scénarios!$B$4:$AI$4,0)),"-")</f>
        <v>-</v>
      </c>
      <c r="AP63" s="443" t="str">
        <f>IFERROR(INDEX(Param!$A$17:$C$21,MATCH($AO63,Param!$C$17:$C$21,0),1),"-")</f>
        <v>-</v>
      </c>
      <c r="AQ63" s="443" t="str">
        <f>IFERROR(IF(INDEX(Scénarios!$B$2:$AI$232,MATCH($S63,Scénarios!$AI$2:$AI$232,0),MATCH(AQ$4,Scénarios!$B$4:$AI$4,0))=0,"",INDEX(Scénarios!$B$2:$AI$232,MATCH($S63,Scénarios!$AI$2:$AI$232,0),MATCH(AQ$4,Scénarios!$B$4:$AI$4,0))),"-")</f>
        <v>-</v>
      </c>
      <c r="AR63" s="443" t="str">
        <f>IFERROR(INDEX(Scénarios!$B$2:$AI$232,MATCH($S63,Scénarios!$AI$2:$AI$232,0),MATCH(AR$4,Scénarios!$B$4:$AI$4,0)),"-")</f>
        <v>-</v>
      </c>
      <c r="AS63" s="443" t="str">
        <f>IFERROR(INDEX(Param!$A$24:$C$28,MATCH($AR63,Param!$C$24:$C$28,0),1),"-")</f>
        <v>-</v>
      </c>
      <c r="AT63" s="443" t="str">
        <f>IFERROR(IF(INDEX(Scénarios!$B$2:$AI$232,MATCH($S63,Scénarios!$AI$2:$AI$232,0),MATCH(AT$4,Scénarios!$B$4:$AI$4,0))=0,"",INDEX(Scénarios!$B$2:$AI$232,MATCH($S63,Scénarios!$AI$2:$AI$232,0),MATCH(AT$4,Scénarios!$B$4:$AI$4,0))),"-")</f>
        <v>-</v>
      </c>
      <c r="AU63" s="462" t="str">
        <f>IFERROR(INDEX(Scénarios!$B$2:$AI$232,MATCH($S63,Scénarios!$AI$2:$AI$232,0),MATCH(AU$4,Scénarios!$B$4:$AI$4,0)),"-")</f>
        <v>-</v>
      </c>
      <c r="AV63" s="462" t="str">
        <f>IFERROR(INDEX(Scénarios!$B$2:$AI$232,MATCH($S63,Scénarios!$AI$2:$AI$232,0),MATCH(AV$4,Scénarios!$B$4:$AI$4,0)),"-")</f>
        <v>-</v>
      </c>
      <c r="AW63" s="462" t="str">
        <f>IFERROR(INDEX(Scénarios!$B$2:$AI$232,MATCH($S63,Scénarios!$AI$2:$AI$232,0),MATCH(AW$4,Scénarios!$B$4:$AI$4,0)),"-")</f>
        <v>-</v>
      </c>
      <c r="AX63" s="462" t="str">
        <f>IFERROR(INDEX(Scénarios!$B$2:$AI$232,MATCH($S63,Scénarios!$AI$2:$AI$232,0),MATCH(AX$4,Scénarios!$B$4:$AI$4,0)),"-")</f>
        <v>-</v>
      </c>
      <c r="AY63" s="443" t="str">
        <f>IFERROR(INDEX(Scénarios!$B$2:$AI$232,MATCH($S63,Scénarios!$AI$2:$AI$232,0),MATCH(AY$4,Scénarios!$B$4:$AI$4,0)),"-")</f>
        <v>-</v>
      </c>
      <c r="AZ63" s="588" t="str">
        <f>IFERROR(INDEX(Param!$A$31:$C$35,MATCH($AY63,Param!$C$31:$C$35,0),1),"-")</f>
        <v>-</v>
      </c>
      <c r="BA63" s="588" t="str">
        <f>IFERROR(IF(INDEX(Scénarios!$B$2:$AI$232,MATCH($S63,Scénarios!$AI$2:$AI$232,0),MATCH(BA$4,Scénarios!$B$4:$AI$4,0))=0,"",INDEX(Scénarios!$B$2:$AI$232,MATCH($S63,Scénarios!$AI$2:$AI$232,0),MATCH(BA$4,Scénarios!$B$4:$AI$4,0))),"-")</f>
        <v>-</v>
      </c>
      <c r="BB63" s="443" t="str">
        <f>IFERROR(IF(INDEX(Scénarios!$B$2:$AK$237,MATCH($S63,Scénarios!$AI$2:$AI$237,0),MATCH(BB$4,Scénarios!$B$4:$AK$4,0))=0,"",INDEX(Scénarios!$B$2:$AK$237,MATCH($S63,Scénarios!$AI$2:$AI$237,0),MATCH(BB$4,Scénarios!$B$4:$AK$4,0))),"-")</f>
        <v>-</v>
      </c>
      <c r="BC63" s="443" t="str">
        <f>IFERROR(INDEX(Scénarios!$B$2:$AV$232,MATCH($S63,Scénarios!$AI$2:$AI$232,0),MATCH(BC$4,Scénarios!$B$4:$AV$4,0)),"-")</f>
        <v>-</v>
      </c>
    </row>
    <row r="64" spans="15:55" ht="25.5" customHeight="1" x14ac:dyDescent="0.25">
      <c r="O64" s="604" t="str">
        <f t="shared" si="0"/>
        <v>Fiche R60 sans décision :
Veuillez ajouter une décision</v>
      </c>
      <c r="P64" s="609" t="s">
        <v>2188</v>
      </c>
      <c r="Q64" s="605" t="s">
        <v>2067</v>
      </c>
      <c r="R64" s="585" t="s">
        <v>2068</v>
      </c>
      <c r="S64" s="587" t="s">
        <v>2098</v>
      </c>
      <c r="T64" s="588" t="str">
        <f>IFERROR(INDEX(Tab_sel!$B$7:$C$18,MATCH($AB64,Tab_sel!$C$7:$C$18,0),1),"-")</f>
        <v>-</v>
      </c>
      <c r="U64" s="589" t="str">
        <f>IFERROR(INDEX(Scénarios!$B$2:$AI$232,MATCH($S64,Scénarios!$AI$2:$AI$232,0),MATCH(U$4,Scénarios!$B$4:$AI$4,0)),"-")</f>
        <v>-</v>
      </c>
      <c r="V64" s="588" t="str">
        <f>IFERROR(INDEX(Scénarios!$B$2:$AI$232,MATCH($S64,Scénarios!$AI$2:$AI$232,0),MATCH(V$4,Scénarios!$B$4:$AI$4,0)),"-")</f>
        <v>-</v>
      </c>
      <c r="W64" s="588" t="str">
        <f>IFERROR(INDEX(Scénarios!$B$2:$AI$232,MATCH($S64,Scénarios!$AI$2:$AI$232,0),MATCH(W$4,Scénarios!$B$4:$AI$4,0)),"-")</f>
        <v>-</v>
      </c>
      <c r="X64" s="588" t="str">
        <f>IFERROR(VLOOKUP(AD64,Expo!$D$4:$E$35,2,FALSE),"-")</f>
        <v>-</v>
      </c>
      <c r="Y64" s="859" t="str">
        <f>IFERROR(IF(INDEX(Scénarios!$B$2:$AI$232,MATCH($S64,Scénarios!$AI$2:$AI$232,0),MATCH(Y$4,Scénarios!$B$4:$AI$4,0))=0,"",INDEX(Scénarios!$B$2:$AI$232,MATCH($S64,Scénarios!$AI$2:$AI$232,0),MATCH(Y$4,Scénarios!$B$4:$AI$4,0))),"-")</f>
        <v>-</v>
      </c>
      <c r="Z64" s="589" t="str">
        <f>IFERROR(INDEX(Scénarios!$B$2:$AI$232,MATCH($S64,Scénarios!$AI$2:$AI$232,0),MATCH(Z$4,Scénarios!$B$4:$AI$4,0)),"-")</f>
        <v>-</v>
      </c>
      <c r="AA64" s="589" t="str">
        <f>IFERROR(INDEX(Scénarios!$B$2:$AI$232,MATCH($S64,Scénarios!$AI$2:$AI$232,0),MATCH(AA$4,Scénarios!$B$4:$AI$4,0)),"-")</f>
        <v>-</v>
      </c>
      <c r="AB64" s="586" t="str">
        <f>IFERROR(INDEX(Scénarios!$B$2:$AI$232,MATCH($S64,Scénarios!$AI$2:$AI$232,0),MATCH(AB$4,Scénarios!$B$4:$AI$4,0)),"-")</f>
        <v>-</v>
      </c>
      <c r="AC64" s="442" t="str">
        <f>IFERROR(INDEX(Tab_sel!$B$24:$C$27,MATCH($U64,Tab_sel!$C$24:$C$27,0),1),"-")</f>
        <v>-</v>
      </c>
      <c r="AD64" s="443" t="str">
        <f>IFERROR(INDEX(Scénarios!$B$2:$AI$232,MATCH($S64,Scénarios!$AI$2:$AI$232,0),MATCH(AD$4,Scénarios!$B$4:$AI$4,0)),"-")</f>
        <v>-</v>
      </c>
      <c r="AE64" s="460" t="str">
        <f>IFERROR(INDEX(Scénarios!$B$2:$AI$232,MATCH($S64,Scénarios!$AI$2:$AI$232,0),MATCH(AE$4,Scénarios!$B$4:$AI$4,0)),"-")</f>
        <v>-</v>
      </c>
      <c r="AF64" s="460" t="str">
        <f>IFERROR(INDEX(Scénarios!$B$2:$AI$232,MATCH($S64,Scénarios!$AI$2:$AI$232,0),MATCH(AF$4,Scénarios!$B$4:$AI$4,0)),"-")</f>
        <v>-</v>
      </c>
      <c r="AG64" s="460" t="str">
        <f>IFERROR(INDEX(Scénarios!$B$2:$AI$232,MATCH($S64,Scénarios!$AI$2:$AI$232,0),MATCH(AG$4,Scénarios!$B$4:$AI$4,0)),"-")</f>
        <v>-</v>
      </c>
      <c r="AH64" s="460" t="str">
        <f>IFERROR(INDEX(Scénarios!$B$2:$AI$232,MATCH($S64,Scénarios!$AI$2:$AI$232,0),MATCH(AH$4,Scénarios!$B$4:$AI$4,0)),"-")</f>
        <v>-</v>
      </c>
      <c r="AI64" s="443" t="str">
        <f>IFERROR(INDEX(Scénarios!$B$2:$AI$232,MATCH($S64,Scénarios!$AI$2:$AI$232,0),MATCH(AI$4,Scénarios!$B$4:$AI$4,0)),"-")</f>
        <v>-</v>
      </c>
      <c r="AJ64" s="443" t="str">
        <f>IFERROR(INDEX(Param!$A$3:$C$7,MATCH($AI64,Param!$C$3:$C$7,0),1),"-")</f>
        <v>-</v>
      </c>
      <c r="AK64" s="443" t="str">
        <f>IFERROR(INDEX(Scénarios!$B$2:$AI$232,MATCH($S64,Scénarios!$AI$2:$AI$232,0),MATCH(AK$4,Scénarios!$B$4:$AI$4,0)),"-")</f>
        <v>-</v>
      </c>
      <c r="AL64" s="443" t="str">
        <f>IFERROR(INDEX(Scénarios!$B$2:$AI$232,MATCH($S64,Scénarios!$AI$2:$AI$232,0),MATCH(AL$4,Scénarios!$B$4:$AI$4,0)),"-")</f>
        <v>-</v>
      </c>
      <c r="AM64" s="443" t="str">
        <f>IFERROR(INDEX(Param!$A$10:$C$14,MATCH($AL64,Param!$C$10:$C$14,0),1),"-")</f>
        <v>-</v>
      </c>
      <c r="AN64" s="443" t="str">
        <f>IFERROR(IF(INDEX(Scénarios!$B$2:$AI$232,MATCH($S64,Scénarios!$AI$2:$AI$232,0),MATCH(AN$4,Scénarios!$B$4:$AI$4,0))=0,"",INDEX(Scénarios!$B$2:$AI$232,MATCH($S64,Scénarios!$AI$2:$AI$232,0),MATCH(AN$4,Scénarios!$B$4:$AI$4,0))),"-")</f>
        <v>-</v>
      </c>
      <c r="AO64" s="443" t="str">
        <f>IFERROR(INDEX(Scénarios!$B$2:$AI$232,MATCH($S64,Scénarios!$AI$2:$AI$232,0),MATCH(AO$4,Scénarios!$B$4:$AI$4,0)),"-")</f>
        <v>-</v>
      </c>
      <c r="AP64" s="443" t="str">
        <f>IFERROR(INDEX(Param!$A$17:$C$21,MATCH($AO64,Param!$C$17:$C$21,0),1),"-")</f>
        <v>-</v>
      </c>
      <c r="AQ64" s="443" t="str">
        <f>IFERROR(IF(INDEX(Scénarios!$B$2:$AI$232,MATCH($S64,Scénarios!$AI$2:$AI$232,0),MATCH(AQ$4,Scénarios!$B$4:$AI$4,0))=0,"",INDEX(Scénarios!$B$2:$AI$232,MATCH($S64,Scénarios!$AI$2:$AI$232,0),MATCH(AQ$4,Scénarios!$B$4:$AI$4,0))),"-")</f>
        <v>-</v>
      </c>
      <c r="AR64" s="443" t="str">
        <f>IFERROR(INDEX(Scénarios!$B$2:$AI$232,MATCH($S64,Scénarios!$AI$2:$AI$232,0),MATCH(AR$4,Scénarios!$B$4:$AI$4,0)),"-")</f>
        <v>-</v>
      </c>
      <c r="AS64" s="443" t="str">
        <f>IFERROR(INDEX(Param!$A$24:$C$28,MATCH($AR64,Param!$C$24:$C$28,0),1),"-")</f>
        <v>-</v>
      </c>
      <c r="AT64" s="443" t="str">
        <f>IFERROR(IF(INDEX(Scénarios!$B$2:$AI$232,MATCH($S64,Scénarios!$AI$2:$AI$232,0),MATCH(AT$4,Scénarios!$B$4:$AI$4,0))=0,"",INDEX(Scénarios!$B$2:$AI$232,MATCH($S64,Scénarios!$AI$2:$AI$232,0),MATCH(AT$4,Scénarios!$B$4:$AI$4,0))),"-")</f>
        <v>-</v>
      </c>
      <c r="AU64" s="462" t="str">
        <f>IFERROR(INDEX(Scénarios!$B$2:$AI$232,MATCH($S64,Scénarios!$AI$2:$AI$232,0),MATCH(AU$4,Scénarios!$B$4:$AI$4,0)),"-")</f>
        <v>-</v>
      </c>
      <c r="AV64" s="462" t="str">
        <f>IFERROR(INDEX(Scénarios!$B$2:$AI$232,MATCH($S64,Scénarios!$AI$2:$AI$232,0),MATCH(AV$4,Scénarios!$B$4:$AI$4,0)),"-")</f>
        <v>-</v>
      </c>
      <c r="AW64" s="462" t="str">
        <f>IFERROR(INDEX(Scénarios!$B$2:$AI$232,MATCH($S64,Scénarios!$AI$2:$AI$232,0),MATCH(AW$4,Scénarios!$B$4:$AI$4,0)),"-")</f>
        <v>-</v>
      </c>
      <c r="AX64" s="462" t="str">
        <f>IFERROR(INDEX(Scénarios!$B$2:$AI$232,MATCH($S64,Scénarios!$AI$2:$AI$232,0),MATCH(AX$4,Scénarios!$B$4:$AI$4,0)),"-")</f>
        <v>-</v>
      </c>
      <c r="AY64" s="443" t="str">
        <f>IFERROR(INDEX(Scénarios!$B$2:$AI$232,MATCH($S64,Scénarios!$AI$2:$AI$232,0),MATCH(AY$4,Scénarios!$B$4:$AI$4,0)),"-")</f>
        <v>-</v>
      </c>
      <c r="AZ64" s="588" t="str">
        <f>IFERROR(INDEX(Param!$A$31:$C$35,MATCH($AY64,Param!$C$31:$C$35,0),1),"-")</f>
        <v>-</v>
      </c>
      <c r="BA64" s="588" t="str">
        <f>IFERROR(IF(INDEX(Scénarios!$B$2:$AI$232,MATCH($S64,Scénarios!$AI$2:$AI$232,0),MATCH(BA$4,Scénarios!$B$4:$AI$4,0))=0,"",INDEX(Scénarios!$B$2:$AI$232,MATCH($S64,Scénarios!$AI$2:$AI$232,0),MATCH(BA$4,Scénarios!$B$4:$AI$4,0))),"-")</f>
        <v>-</v>
      </c>
      <c r="BB64" s="443" t="str">
        <f>IFERROR(IF(INDEX(Scénarios!$B$2:$AK$237,MATCH($S64,Scénarios!$AI$2:$AI$237,0),MATCH(BB$4,Scénarios!$B$4:$AK$4,0))=0,"",INDEX(Scénarios!$B$2:$AK$237,MATCH($S64,Scénarios!$AI$2:$AI$237,0),MATCH(BB$4,Scénarios!$B$4:$AK$4,0))),"-")</f>
        <v>-</v>
      </c>
      <c r="BC64" s="443" t="str">
        <f>IFERROR(INDEX(Scénarios!$B$2:$AV$232,MATCH($S64,Scénarios!$AI$2:$AI$232,0),MATCH(BC$4,Scénarios!$B$4:$AV$4,0)),"-")</f>
        <v>-</v>
      </c>
    </row>
    <row r="65" spans="15:55" ht="25.5" customHeight="1" x14ac:dyDescent="0.25">
      <c r="O65" s="604" t="str">
        <f t="shared" si="0"/>
        <v>Fiche R61 sans décision :
Veuillez ajouter une décision</v>
      </c>
      <c r="P65" s="609" t="s">
        <v>2188</v>
      </c>
      <c r="Q65" s="605" t="s">
        <v>2067</v>
      </c>
      <c r="R65" s="585" t="s">
        <v>2068</v>
      </c>
      <c r="S65" s="587" t="s">
        <v>2099</v>
      </c>
      <c r="T65" s="588" t="str">
        <f>IFERROR(INDEX(Tab_sel!$B$7:$C$18,MATCH($AB65,Tab_sel!$C$7:$C$18,0),1),"-")</f>
        <v>-</v>
      </c>
      <c r="U65" s="589" t="str">
        <f>IFERROR(INDEX(Scénarios!$B$2:$AI$232,MATCH($S65,Scénarios!$AI$2:$AI$232,0),MATCH(U$4,Scénarios!$B$4:$AI$4,0)),"-")</f>
        <v>-</v>
      </c>
      <c r="V65" s="588" t="str">
        <f>IFERROR(INDEX(Scénarios!$B$2:$AI$232,MATCH($S65,Scénarios!$AI$2:$AI$232,0),MATCH(V$4,Scénarios!$B$4:$AI$4,0)),"-")</f>
        <v>-</v>
      </c>
      <c r="W65" s="588" t="str">
        <f>IFERROR(INDEX(Scénarios!$B$2:$AI$232,MATCH($S65,Scénarios!$AI$2:$AI$232,0),MATCH(W$4,Scénarios!$B$4:$AI$4,0)),"-")</f>
        <v>-</v>
      </c>
      <c r="X65" s="588" t="str">
        <f>IFERROR(VLOOKUP(AD65,Expo!$D$4:$E$35,2,FALSE),"-")</f>
        <v>-</v>
      </c>
      <c r="Y65" s="859" t="str">
        <f>IFERROR(IF(INDEX(Scénarios!$B$2:$AI$232,MATCH($S65,Scénarios!$AI$2:$AI$232,0),MATCH(Y$4,Scénarios!$B$4:$AI$4,0))=0,"",INDEX(Scénarios!$B$2:$AI$232,MATCH($S65,Scénarios!$AI$2:$AI$232,0),MATCH(Y$4,Scénarios!$B$4:$AI$4,0))),"-")</f>
        <v>-</v>
      </c>
      <c r="Z65" s="589" t="str">
        <f>IFERROR(INDEX(Scénarios!$B$2:$AI$232,MATCH($S65,Scénarios!$AI$2:$AI$232,0),MATCH(Z$4,Scénarios!$B$4:$AI$4,0)),"-")</f>
        <v>-</v>
      </c>
      <c r="AA65" s="589" t="str">
        <f>IFERROR(INDEX(Scénarios!$B$2:$AI$232,MATCH($S65,Scénarios!$AI$2:$AI$232,0),MATCH(AA$4,Scénarios!$B$4:$AI$4,0)),"-")</f>
        <v>-</v>
      </c>
      <c r="AB65" s="586" t="str">
        <f>IFERROR(INDEX(Scénarios!$B$2:$AI$232,MATCH($S65,Scénarios!$AI$2:$AI$232,0),MATCH(AB$4,Scénarios!$B$4:$AI$4,0)),"-")</f>
        <v>-</v>
      </c>
      <c r="AC65" s="442" t="str">
        <f>IFERROR(INDEX(Tab_sel!$B$24:$C$27,MATCH($U65,Tab_sel!$C$24:$C$27,0),1),"-")</f>
        <v>-</v>
      </c>
      <c r="AD65" s="443" t="str">
        <f>IFERROR(INDEX(Scénarios!$B$2:$AI$232,MATCH($S65,Scénarios!$AI$2:$AI$232,0),MATCH(AD$4,Scénarios!$B$4:$AI$4,0)),"-")</f>
        <v>-</v>
      </c>
      <c r="AE65" s="460" t="str">
        <f>IFERROR(INDEX(Scénarios!$B$2:$AI$232,MATCH($S65,Scénarios!$AI$2:$AI$232,0),MATCH(AE$4,Scénarios!$B$4:$AI$4,0)),"-")</f>
        <v>-</v>
      </c>
      <c r="AF65" s="460" t="str">
        <f>IFERROR(INDEX(Scénarios!$B$2:$AI$232,MATCH($S65,Scénarios!$AI$2:$AI$232,0),MATCH(AF$4,Scénarios!$B$4:$AI$4,0)),"-")</f>
        <v>-</v>
      </c>
      <c r="AG65" s="460" t="str">
        <f>IFERROR(INDEX(Scénarios!$B$2:$AI$232,MATCH($S65,Scénarios!$AI$2:$AI$232,0),MATCH(AG$4,Scénarios!$B$4:$AI$4,0)),"-")</f>
        <v>-</v>
      </c>
      <c r="AH65" s="460" t="str">
        <f>IFERROR(INDEX(Scénarios!$B$2:$AI$232,MATCH($S65,Scénarios!$AI$2:$AI$232,0),MATCH(AH$4,Scénarios!$B$4:$AI$4,0)),"-")</f>
        <v>-</v>
      </c>
      <c r="AI65" s="443" t="str">
        <f>IFERROR(INDEX(Scénarios!$B$2:$AI$232,MATCH($S65,Scénarios!$AI$2:$AI$232,0),MATCH(AI$4,Scénarios!$B$4:$AI$4,0)),"-")</f>
        <v>-</v>
      </c>
      <c r="AJ65" s="443" t="str">
        <f>IFERROR(INDEX(Param!$A$3:$C$7,MATCH($AI65,Param!$C$3:$C$7,0),1),"-")</f>
        <v>-</v>
      </c>
      <c r="AK65" s="443" t="str">
        <f>IFERROR(INDEX(Scénarios!$B$2:$AI$232,MATCH($S65,Scénarios!$AI$2:$AI$232,0),MATCH(AK$4,Scénarios!$B$4:$AI$4,0)),"-")</f>
        <v>-</v>
      </c>
      <c r="AL65" s="443" t="str">
        <f>IFERROR(INDEX(Scénarios!$B$2:$AI$232,MATCH($S65,Scénarios!$AI$2:$AI$232,0),MATCH(AL$4,Scénarios!$B$4:$AI$4,0)),"-")</f>
        <v>-</v>
      </c>
      <c r="AM65" s="443" t="str">
        <f>IFERROR(INDEX(Param!$A$10:$C$14,MATCH($AL65,Param!$C$10:$C$14,0),1),"-")</f>
        <v>-</v>
      </c>
      <c r="AN65" s="443" t="str">
        <f>IFERROR(IF(INDEX(Scénarios!$B$2:$AI$232,MATCH($S65,Scénarios!$AI$2:$AI$232,0),MATCH(AN$4,Scénarios!$B$4:$AI$4,0))=0,"",INDEX(Scénarios!$B$2:$AI$232,MATCH($S65,Scénarios!$AI$2:$AI$232,0),MATCH(AN$4,Scénarios!$B$4:$AI$4,0))),"-")</f>
        <v>-</v>
      </c>
      <c r="AO65" s="443" t="str">
        <f>IFERROR(INDEX(Scénarios!$B$2:$AI$232,MATCH($S65,Scénarios!$AI$2:$AI$232,0),MATCH(AO$4,Scénarios!$B$4:$AI$4,0)),"-")</f>
        <v>-</v>
      </c>
      <c r="AP65" s="443" t="str">
        <f>IFERROR(INDEX(Param!$A$17:$C$21,MATCH($AO65,Param!$C$17:$C$21,0),1),"-")</f>
        <v>-</v>
      </c>
      <c r="AQ65" s="443" t="str">
        <f>IFERROR(IF(INDEX(Scénarios!$B$2:$AI$232,MATCH($S65,Scénarios!$AI$2:$AI$232,0),MATCH(AQ$4,Scénarios!$B$4:$AI$4,0))=0,"",INDEX(Scénarios!$B$2:$AI$232,MATCH($S65,Scénarios!$AI$2:$AI$232,0),MATCH(AQ$4,Scénarios!$B$4:$AI$4,0))),"-")</f>
        <v>-</v>
      </c>
      <c r="AR65" s="443" t="str">
        <f>IFERROR(INDEX(Scénarios!$B$2:$AI$232,MATCH($S65,Scénarios!$AI$2:$AI$232,0),MATCH(AR$4,Scénarios!$B$4:$AI$4,0)),"-")</f>
        <v>-</v>
      </c>
      <c r="AS65" s="443" t="str">
        <f>IFERROR(INDEX(Param!$A$24:$C$28,MATCH($AR65,Param!$C$24:$C$28,0),1),"-")</f>
        <v>-</v>
      </c>
      <c r="AT65" s="443" t="str">
        <f>IFERROR(IF(INDEX(Scénarios!$B$2:$AI$232,MATCH($S65,Scénarios!$AI$2:$AI$232,0),MATCH(AT$4,Scénarios!$B$4:$AI$4,0))=0,"",INDEX(Scénarios!$B$2:$AI$232,MATCH($S65,Scénarios!$AI$2:$AI$232,0),MATCH(AT$4,Scénarios!$B$4:$AI$4,0))),"-")</f>
        <v>-</v>
      </c>
      <c r="AU65" s="462" t="str">
        <f>IFERROR(INDEX(Scénarios!$B$2:$AI$232,MATCH($S65,Scénarios!$AI$2:$AI$232,0),MATCH(AU$4,Scénarios!$B$4:$AI$4,0)),"-")</f>
        <v>-</v>
      </c>
      <c r="AV65" s="462" t="str">
        <f>IFERROR(INDEX(Scénarios!$B$2:$AI$232,MATCH($S65,Scénarios!$AI$2:$AI$232,0),MATCH(AV$4,Scénarios!$B$4:$AI$4,0)),"-")</f>
        <v>-</v>
      </c>
      <c r="AW65" s="462" t="str">
        <f>IFERROR(INDEX(Scénarios!$B$2:$AI$232,MATCH($S65,Scénarios!$AI$2:$AI$232,0),MATCH(AW$4,Scénarios!$B$4:$AI$4,0)),"-")</f>
        <v>-</v>
      </c>
      <c r="AX65" s="462" t="str">
        <f>IFERROR(INDEX(Scénarios!$B$2:$AI$232,MATCH($S65,Scénarios!$AI$2:$AI$232,0),MATCH(AX$4,Scénarios!$B$4:$AI$4,0)),"-")</f>
        <v>-</v>
      </c>
      <c r="AY65" s="443" t="str">
        <f>IFERROR(INDEX(Scénarios!$B$2:$AI$232,MATCH($S65,Scénarios!$AI$2:$AI$232,0),MATCH(AY$4,Scénarios!$B$4:$AI$4,0)),"-")</f>
        <v>-</v>
      </c>
      <c r="AZ65" s="588" t="str">
        <f>IFERROR(INDEX(Param!$A$31:$C$35,MATCH($AY65,Param!$C$31:$C$35,0),1),"-")</f>
        <v>-</v>
      </c>
      <c r="BA65" s="588" t="str">
        <f>IFERROR(IF(INDEX(Scénarios!$B$2:$AI$232,MATCH($S65,Scénarios!$AI$2:$AI$232,0),MATCH(BA$4,Scénarios!$B$4:$AI$4,0))=0,"",INDEX(Scénarios!$B$2:$AI$232,MATCH($S65,Scénarios!$AI$2:$AI$232,0),MATCH(BA$4,Scénarios!$B$4:$AI$4,0))),"-")</f>
        <v>-</v>
      </c>
      <c r="BB65" s="443" t="str">
        <f>IFERROR(IF(INDEX(Scénarios!$B$2:$AK$237,MATCH($S65,Scénarios!$AI$2:$AI$237,0),MATCH(BB$4,Scénarios!$B$4:$AK$4,0))=0,"",INDEX(Scénarios!$B$2:$AK$237,MATCH($S65,Scénarios!$AI$2:$AI$237,0),MATCH(BB$4,Scénarios!$B$4:$AK$4,0))),"-")</f>
        <v>-</v>
      </c>
      <c r="BC65" s="443" t="str">
        <f>IFERROR(INDEX(Scénarios!$B$2:$AV$232,MATCH($S65,Scénarios!$AI$2:$AI$232,0),MATCH(BC$4,Scénarios!$B$4:$AV$4,0)),"-")</f>
        <v>-</v>
      </c>
    </row>
    <row r="66" spans="15:55" ht="25.5" customHeight="1" x14ac:dyDescent="0.25">
      <c r="O66" s="604" t="str">
        <f t="shared" si="0"/>
        <v>Fiche R62 sans décision :
Veuillez ajouter une décision</v>
      </c>
      <c r="P66" s="609" t="s">
        <v>2188</v>
      </c>
      <c r="Q66" s="605" t="s">
        <v>2067</v>
      </c>
      <c r="R66" s="585" t="s">
        <v>2068</v>
      </c>
      <c r="S66" s="587" t="s">
        <v>2100</v>
      </c>
      <c r="T66" s="588" t="str">
        <f>IFERROR(INDEX(Tab_sel!$B$7:$C$18,MATCH($AB66,Tab_sel!$C$7:$C$18,0),1),"-")</f>
        <v>-</v>
      </c>
      <c r="U66" s="589" t="str">
        <f>IFERROR(INDEX(Scénarios!$B$2:$AI$232,MATCH($S66,Scénarios!$AI$2:$AI$232,0),MATCH(U$4,Scénarios!$B$4:$AI$4,0)),"-")</f>
        <v>-</v>
      </c>
      <c r="V66" s="588" t="str">
        <f>IFERROR(INDEX(Scénarios!$B$2:$AI$232,MATCH($S66,Scénarios!$AI$2:$AI$232,0),MATCH(V$4,Scénarios!$B$4:$AI$4,0)),"-")</f>
        <v>-</v>
      </c>
      <c r="W66" s="588" t="str">
        <f>IFERROR(INDEX(Scénarios!$B$2:$AI$232,MATCH($S66,Scénarios!$AI$2:$AI$232,0),MATCH(W$4,Scénarios!$B$4:$AI$4,0)),"-")</f>
        <v>-</v>
      </c>
      <c r="X66" s="588" t="str">
        <f>IFERROR(VLOOKUP(AD66,Expo!$D$4:$E$35,2,FALSE),"-")</f>
        <v>-</v>
      </c>
      <c r="Y66" s="859" t="str">
        <f>IFERROR(IF(INDEX(Scénarios!$B$2:$AI$232,MATCH($S66,Scénarios!$AI$2:$AI$232,0),MATCH(Y$4,Scénarios!$B$4:$AI$4,0))=0,"",INDEX(Scénarios!$B$2:$AI$232,MATCH($S66,Scénarios!$AI$2:$AI$232,0),MATCH(Y$4,Scénarios!$B$4:$AI$4,0))),"-")</f>
        <v>-</v>
      </c>
      <c r="Z66" s="589" t="str">
        <f>IFERROR(INDEX(Scénarios!$B$2:$AI$232,MATCH($S66,Scénarios!$AI$2:$AI$232,0),MATCH(Z$4,Scénarios!$B$4:$AI$4,0)),"-")</f>
        <v>-</v>
      </c>
      <c r="AA66" s="589" t="str">
        <f>IFERROR(INDEX(Scénarios!$B$2:$AI$232,MATCH($S66,Scénarios!$AI$2:$AI$232,0),MATCH(AA$4,Scénarios!$B$4:$AI$4,0)),"-")</f>
        <v>-</v>
      </c>
      <c r="AB66" s="586" t="str">
        <f>IFERROR(INDEX(Scénarios!$B$2:$AI$232,MATCH($S66,Scénarios!$AI$2:$AI$232,0),MATCH(AB$4,Scénarios!$B$4:$AI$4,0)),"-")</f>
        <v>-</v>
      </c>
      <c r="AC66" s="442" t="str">
        <f>IFERROR(INDEX(Tab_sel!$B$24:$C$27,MATCH($U66,Tab_sel!$C$24:$C$27,0),1),"-")</f>
        <v>-</v>
      </c>
      <c r="AD66" s="443" t="str">
        <f>IFERROR(INDEX(Scénarios!$B$2:$AI$232,MATCH($S66,Scénarios!$AI$2:$AI$232,0),MATCH(AD$4,Scénarios!$B$4:$AI$4,0)),"-")</f>
        <v>-</v>
      </c>
      <c r="AE66" s="460" t="str">
        <f>IFERROR(INDEX(Scénarios!$B$2:$AI$232,MATCH($S66,Scénarios!$AI$2:$AI$232,0),MATCH(AE$4,Scénarios!$B$4:$AI$4,0)),"-")</f>
        <v>-</v>
      </c>
      <c r="AF66" s="460" t="str">
        <f>IFERROR(INDEX(Scénarios!$B$2:$AI$232,MATCH($S66,Scénarios!$AI$2:$AI$232,0),MATCH(AF$4,Scénarios!$B$4:$AI$4,0)),"-")</f>
        <v>-</v>
      </c>
      <c r="AG66" s="460" t="str">
        <f>IFERROR(INDEX(Scénarios!$B$2:$AI$232,MATCH($S66,Scénarios!$AI$2:$AI$232,0),MATCH(AG$4,Scénarios!$B$4:$AI$4,0)),"-")</f>
        <v>-</v>
      </c>
      <c r="AH66" s="460" t="str">
        <f>IFERROR(INDEX(Scénarios!$B$2:$AI$232,MATCH($S66,Scénarios!$AI$2:$AI$232,0),MATCH(AH$4,Scénarios!$B$4:$AI$4,0)),"-")</f>
        <v>-</v>
      </c>
      <c r="AI66" s="443" t="str">
        <f>IFERROR(INDEX(Scénarios!$B$2:$AI$232,MATCH($S66,Scénarios!$AI$2:$AI$232,0),MATCH(AI$4,Scénarios!$B$4:$AI$4,0)),"-")</f>
        <v>-</v>
      </c>
      <c r="AJ66" s="443" t="str">
        <f>IFERROR(INDEX(Param!$A$3:$C$7,MATCH($AI66,Param!$C$3:$C$7,0),1),"-")</f>
        <v>-</v>
      </c>
      <c r="AK66" s="443" t="str">
        <f>IFERROR(INDEX(Scénarios!$B$2:$AI$232,MATCH($S66,Scénarios!$AI$2:$AI$232,0),MATCH(AK$4,Scénarios!$B$4:$AI$4,0)),"-")</f>
        <v>-</v>
      </c>
      <c r="AL66" s="443" t="str">
        <f>IFERROR(INDEX(Scénarios!$B$2:$AI$232,MATCH($S66,Scénarios!$AI$2:$AI$232,0),MATCH(AL$4,Scénarios!$B$4:$AI$4,0)),"-")</f>
        <v>-</v>
      </c>
      <c r="AM66" s="443" t="str">
        <f>IFERROR(INDEX(Param!$A$10:$C$14,MATCH($AL66,Param!$C$10:$C$14,0),1),"-")</f>
        <v>-</v>
      </c>
      <c r="AN66" s="443" t="str">
        <f>IFERROR(IF(INDEX(Scénarios!$B$2:$AI$232,MATCH($S66,Scénarios!$AI$2:$AI$232,0),MATCH(AN$4,Scénarios!$B$4:$AI$4,0))=0,"",INDEX(Scénarios!$B$2:$AI$232,MATCH($S66,Scénarios!$AI$2:$AI$232,0),MATCH(AN$4,Scénarios!$B$4:$AI$4,0))),"-")</f>
        <v>-</v>
      </c>
      <c r="AO66" s="443" t="str">
        <f>IFERROR(INDEX(Scénarios!$B$2:$AI$232,MATCH($S66,Scénarios!$AI$2:$AI$232,0),MATCH(AO$4,Scénarios!$B$4:$AI$4,0)),"-")</f>
        <v>-</v>
      </c>
      <c r="AP66" s="443" t="str">
        <f>IFERROR(INDEX(Param!$A$17:$C$21,MATCH($AO66,Param!$C$17:$C$21,0),1),"-")</f>
        <v>-</v>
      </c>
      <c r="AQ66" s="443" t="str">
        <f>IFERROR(IF(INDEX(Scénarios!$B$2:$AI$232,MATCH($S66,Scénarios!$AI$2:$AI$232,0),MATCH(AQ$4,Scénarios!$B$4:$AI$4,0))=0,"",INDEX(Scénarios!$B$2:$AI$232,MATCH($S66,Scénarios!$AI$2:$AI$232,0),MATCH(AQ$4,Scénarios!$B$4:$AI$4,0))),"-")</f>
        <v>-</v>
      </c>
      <c r="AR66" s="443" t="str">
        <f>IFERROR(INDEX(Scénarios!$B$2:$AI$232,MATCH($S66,Scénarios!$AI$2:$AI$232,0),MATCH(AR$4,Scénarios!$B$4:$AI$4,0)),"-")</f>
        <v>-</v>
      </c>
      <c r="AS66" s="443" t="str">
        <f>IFERROR(INDEX(Param!$A$24:$C$28,MATCH($AR66,Param!$C$24:$C$28,0),1),"-")</f>
        <v>-</v>
      </c>
      <c r="AT66" s="443" t="str">
        <f>IFERROR(IF(INDEX(Scénarios!$B$2:$AI$232,MATCH($S66,Scénarios!$AI$2:$AI$232,0),MATCH(AT$4,Scénarios!$B$4:$AI$4,0))=0,"",INDEX(Scénarios!$B$2:$AI$232,MATCH($S66,Scénarios!$AI$2:$AI$232,0),MATCH(AT$4,Scénarios!$B$4:$AI$4,0))),"-")</f>
        <v>-</v>
      </c>
      <c r="AU66" s="462" t="str">
        <f>IFERROR(INDEX(Scénarios!$B$2:$AI$232,MATCH($S66,Scénarios!$AI$2:$AI$232,0),MATCH(AU$4,Scénarios!$B$4:$AI$4,0)),"-")</f>
        <v>-</v>
      </c>
      <c r="AV66" s="462" t="str">
        <f>IFERROR(INDEX(Scénarios!$B$2:$AI$232,MATCH($S66,Scénarios!$AI$2:$AI$232,0),MATCH(AV$4,Scénarios!$B$4:$AI$4,0)),"-")</f>
        <v>-</v>
      </c>
      <c r="AW66" s="462" t="str">
        <f>IFERROR(INDEX(Scénarios!$B$2:$AI$232,MATCH($S66,Scénarios!$AI$2:$AI$232,0),MATCH(AW$4,Scénarios!$B$4:$AI$4,0)),"-")</f>
        <v>-</v>
      </c>
      <c r="AX66" s="462" t="str">
        <f>IFERROR(INDEX(Scénarios!$B$2:$AI$232,MATCH($S66,Scénarios!$AI$2:$AI$232,0),MATCH(AX$4,Scénarios!$B$4:$AI$4,0)),"-")</f>
        <v>-</v>
      </c>
      <c r="AY66" s="443" t="str">
        <f>IFERROR(INDEX(Scénarios!$B$2:$AI$232,MATCH($S66,Scénarios!$AI$2:$AI$232,0),MATCH(AY$4,Scénarios!$B$4:$AI$4,0)),"-")</f>
        <v>-</v>
      </c>
      <c r="AZ66" s="588" t="str">
        <f>IFERROR(INDEX(Param!$A$31:$C$35,MATCH($AY66,Param!$C$31:$C$35,0),1),"-")</f>
        <v>-</v>
      </c>
      <c r="BA66" s="588" t="str">
        <f>IFERROR(IF(INDEX(Scénarios!$B$2:$AI$232,MATCH($S66,Scénarios!$AI$2:$AI$232,0),MATCH(BA$4,Scénarios!$B$4:$AI$4,0))=0,"",INDEX(Scénarios!$B$2:$AI$232,MATCH($S66,Scénarios!$AI$2:$AI$232,0),MATCH(BA$4,Scénarios!$B$4:$AI$4,0))),"-")</f>
        <v>-</v>
      </c>
      <c r="BB66" s="443" t="str">
        <f>IFERROR(IF(INDEX(Scénarios!$B$2:$AK$237,MATCH($S66,Scénarios!$AI$2:$AI$237,0),MATCH(BB$4,Scénarios!$B$4:$AK$4,0))=0,"",INDEX(Scénarios!$B$2:$AK$237,MATCH($S66,Scénarios!$AI$2:$AI$237,0),MATCH(BB$4,Scénarios!$B$4:$AK$4,0))),"-")</f>
        <v>-</v>
      </c>
      <c r="BC66" s="443" t="str">
        <f>IFERROR(INDEX(Scénarios!$B$2:$AV$232,MATCH($S66,Scénarios!$AI$2:$AI$232,0),MATCH(BC$4,Scénarios!$B$4:$AV$4,0)),"-")</f>
        <v>-</v>
      </c>
    </row>
    <row r="67" spans="15:55" ht="25.5" customHeight="1" x14ac:dyDescent="0.25">
      <c r="O67" s="604" t="str">
        <f t="shared" si="0"/>
        <v>Fiche R63 sans décision :
Veuillez ajouter une décision</v>
      </c>
      <c r="P67" s="609" t="s">
        <v>2188</v>
      </c>
      <c r="Q67" s="605" t="s">
        <v>2067</v>
      </c>
      <c r="R67" s="585" t="s">
        <v>2068</v>
      </c>
      <c r="S67" s="587" t="s">
        <v>2101</v>
      </c>
      <c r="T67" s="588" t="str">
        <f>IFERROR(INDEX(Tab_sel!$B$7:$C$18,MATCH($AB67,Tab_sel!$C$7:$C$18,0),1),"-")</f>
        <v>-</v>
      </c>
      <c r="U67" s="589" t="str">
        <f>IFERROR(INDEX(Scénarios!$B$2:$AI$232,MATCH($S67,Scénarios!$AI$2:$AI$232,0),MATCH(U$4,Scénarios!$B$4:$AI$4,0)),"-")</f>
        <v>-</v>
      </c>
      <c r="V67" s="588" t="str">
        <f>IFERROR(INDEX(Scénarios!$B$2:$AI$232,MATCH($S67,Scénarios!$AI$2:$AI$232,0),MATCH(V$4,Scénarios!$B$4:$AI$4,0)),"-")</f>
        <v>-</v>
      </c>
      <c r="W67" s="588" t="str">
        <f>IFERROR(INDEX(Scénarios!$B$2:$AI$232,MATCH($S67,Scénarios!$AI$2:$AI$232,0),MATCH(W$4,Scénarios!$B$4:$AI$4,0)),"-")</f>
        <v>-</v>
      </c>
      <c r="X67" s="588" t="str">
        <f>IFERROR(VLOOKUP(AD67,Expo!$D$4:$E$35,2,FALSE),"-")</f>
        <v>-</v>
      </c>
      <c r="Y67" s="859" t="str">
        <f>IFERROR(IF(INDEX(Scénarios!$B$2:$AI$232,MATCH($S67,Scénarios!$AI$2:$AI$232,0),MATCH(Y$4,Scénarios!$B$4:$AI$4,0))=0,"",INDEX(Scénarios!$B$2:$AI$232,MATCH($S67,Scénarios!$AI$2:$AI$232,0),MATCH(Y$4,Scénarios!$B$4:$AI$4,0))),"-")</f>
        <v>-</v>
      </c>
      <c r="Z67" s="589" t="str">
        <f>IFERROR(INDEX(Scénarios!$B$2:$AI$232,MATCH($S67,Scénarios!$AI$2:$AI$232,0),MATCH(Z$4,Scénarios!$B$4:$AI$4,0)),"-")</f>
        <v>-</v>
      </c>
      <c r="AA67" s="589" t="str">
        <f>IFERROR(INDEX(Scénarios!$B$2:$AI$232,MATCH($S67,Scénarios!$AI$2:$AI$232,0),MATCH(AA$4,Scénarios!$B$4:$AI$4,0)),"-")</f>
        <v>-</v>
      </c>
      <c r="AB67" s="586" t="str">
        <f>IFERROR(INDEX(Scénarios!$B$2:$AI$232,MATCH($S67,Scénarios!$AI$2:$AI$232,0),MATCH(AB$4,Scénarios!$B$4:$AI$4,0)),"-")</f>
        <v>-</v>
      </c>
      <c r="AC67" s="442" t="str">
        <f>IFERROR(INDEX(Tab_sel!$B$24:$C$27,MATCH($U67,Tab_sel!$C$24:$C$27,0),1),"-")</f>
        <v>-</v>
      </c>
      <c r="AD67" s="443" t="str">
        <f>IFERROR(INDEX(Scénarios!$B$2:$AI$232,MATCH($S67,Scénarios!$AI$2:$AI$232,0),MATCH(AD$4,Scénarios!$B$4:$AI$4,0)),"-")</f>
        <v>-</v>
      </c>
      <c r="AE67" s="460" t="str">
        <f>IFERROR(INDEX(Scénarios!$B$2:$AI$232,MATCH($S67,Scénarios!$AI$2:$AI$232,0),MATCH(AE$4,Scénarios!$B$4:$AI$4,0)),"-")</f>
        <v>-</v>
      </c>
      <c r="AF67" s="460" t="str">
        <f>IFERROR(INDEX(Scénarios!$B$2:$AI$232,MATCH($S67,Scénarios!$AI$2:$AI$232,0),MATCH(AF$4,Scénarios!$B$4:$AI$4,0)),"-")</f>
        <v>-</v>
      </c>
      <c r="AG67" s="460" t="str">
        <f>IFERROR(INDEX(Scénarios!$B$2:$AI$232,MATCH($S67,Scénarios!$AI$2:$AI$232,0),MATCH(AG$4,Scénarios!$B$4:$AI$4,0)),"-")</f>
        <v>-</v>
      </c>
      <c r="AH67" s="460" t="str">
        <f>IFERROR(INDEX(Scénarios!$B$2:$AI$232,MATCH($S67,Scénarios!$AI$2:$AI$232,0),MATCH(AH$4,Scénarios!$B$4:$AI$4,0)),"-")</f>
        <v>-</v>
      </c>
      <c r="AI67" s="443" t="str">
        <f>IFERROR(INDEX(Scénarios!$B$2:$AI$232,MATCH($S67,Scénarios!$AI$2:$AI$232,0),MATCH(AI$4,Scénarios!$B$4:$AI$4,0)),"-")</f>
        <v>-</v>
      </c>
      <c r="AJ67" s="443" t="str">
        <f>IFERROR(INDEX(Param!$A$3:$C$7,MATCH($AI67,Param!$C$3:$C$7,0),1),"-")</f>
        <v>-</v>
      </c>
      <c r="AK67" s="443" t="str">
        <f>IFERROR(INDEX(Scénarios!$B$2:$AI$232,MATCH($S67,Scénarios!$AI$2:$AI$232,0),MATCH(AK$4,Scénarios!$B$4:$AI$4,0)),"-")</f>
        <v>-</v>
      </c>
      <c r="AL67" s="443" t="str">
        <f>IFERROR(INDEX(Scénarios!$B$2:$AI$232,MATCH($S67,Scénarios!$AI$2:$AI$232,0),MATCH(AL$4,Scénarios!$B$4:$AI$4,0)),"-")</f>
        <v>-</v>
      </c>
      <c r="AM67" s="443" t="str">
        <f>IFERROR(INDEX(Param!$A$10:$C$14,MATCH($AL67,Param!$C$10:$C$14,0),1),"-")</f>
        <v>-</v>
      </c>
      <c r="AN67" s="443" t="str">
        <f>IFERROR(IF(INDEX(Scénarios!$B$2:$AI$232,MATCH($S67,Scénarios!$AI$2:$AI$232,0),MATCH(AN$4,Scénarios!$B$4:$AI$4,0))=0,"",INDEX(Scénarios!$B$2:$AI$232,MATCH($S67,Scénarios!$AI$2:$AI$232,0),MATCH(AN$4,Scénarios!$B$4:$AI$4,0))),"-")</f>
        <v>-</v>
      </c>
      <c r="AO67" s="443" t="str">
        <f>IFERROR(INDEX(Scénarios!$B$2:$AI$232,MATCH($S67,Scénarios!$AI$2:$AI$232,0),MATCH(AO$4,Scénarios!$B$4:$AI$4,0)),"-")</f>
        <v>-</v>
      </c>
      <c r="AP67" s="443" t="str">
        <f>IFERROR(INDEX(Param!$A$17:$C$21,MATCH($AO67,Param!$C$17:$C$21,0),1),"-")</f>
        <v>-</v>
      </c>
      <c r="AQ67" s="443" t="str">
        <f>IFERROR(IF(INDEX(Scénarios!$B$2:$AI$232,MATCH($S67,Scénarios!$AI$2:$AI$232,0),MATCH(AQ$4,Scénarios!$B$4:$AI$4,0))=0,"",INDEX(Scénarios!$B$2:$AI$232,MATCH($S67,Scénarios!$AI$2:$AI$232,0),MATCH(AQ$4,Scénarios!$B$4:$AI$4,0))),"-")</f>
        <v>-</v>
      </c>
      <c r="AR67" s="443" t="str">
        <f>IFERROR(INDEX(Scénarios!$B$2:$AI$232,MATCH($S67,Scénarios!$AI$2:$AI$232,0),MATCH(AR$4,Scénarios!$B$4:$AI$4,0)),"-")</f>
        <v>-</v>
      </c>
      <c r="AS67" s="443" t="str">
        <f>IFERROR(INDEX(Param!$A$24:$C$28,MATCH($AR67,Param!$C$24:$C$28,0),1),"-")</f>
        <v>-</v>
      </c>
      <c r="AT67" s="443" t="str">
        <f>IFERROR(IF(INDEX(Scénarios!$B$2:$AI$232,MATCH($S67,Scénarios!$AI$2:$AI$232,0),MATCH(AT$4,Scénarios!$B$4:$AI$4,0))=0,"",INDEX(Scénarios!$B$2:$AI$232,MATCH($S67,Scénarios!$AI$2:$AI$232,0),MATCH(AT$4,Scénarios!$B$4:$AI$4,0))),"-")</f>
        <v>-</v>
      </c>
      <c r="AU67" s="462" t="str">
        <f>IFERROR(INDEX(Scénarios!$B$2:$AI$232,MATCH($S67,Scénarios!$AI$2:$AI$232,0),MATCH(AU$4,Scénarios!$B$4:$AI$4,0)),"-")</f>
        <v>-</v>
      </c>
      <c r="AV67" s="462" t="str">
        <f>IFERROR(INDEX(Scénarios!$B$2:$AI$232,MATCH($S67,Scénarios!$AI$2:$AI$232,0),MATCH(AV$4,Scénarios!$B$4:$AI$4,0)),"-")</f>
        <v>-</v>
      </c>
      <c r="AW67" s="462" t="str">
        <f>IFERROR(INDEX(Scénarios!$B$2:$AI$232,MATCH($S67,Scénarios!$AI$2:$AI$232,0),MATCH(AW$4,Scénarios!$B$4:$AI$4,0)),"-")</f>
        <v>-</v>
      </c>
      <c r="AX67" s="462" t="str">
        <f>IFERROR(INDEX(Scénarios!$B$2:$AI$232,MATCH($S67,Scénarios!$AI$2:$AI$232,0),MATCH(AX$4,Scénarios!$B$4:$AI$4,0)),"-")</f>
        <v>-</v>
      </c>
      <c r="AY67" s="443" t="str">
        <f>IFERROR(INDEX(Scénarios!$B$2:$AI$232,MATCH($S67,Scénarios!$AI$2:$AI$232,0),MATCH(AY$4,Scénarios!$B$4:$AI$4,0)),"-")</f>
        <v>-</v>
      </c>
      <c r="AZ67" s="588" t="str">
        <f>IFERROR(INDEX(Param!$A$31:$C$35,MATCH($AY67,Param!$C$31:$C$35,0),1),"-")</f>
        <v>-</v>
      </c>
      <c r="BA67" s="588" t="str">
        <f>IFERROR(IF(INDEX(Scénarios!$B$2:$AI$232,MATCH($S67,Scénarios!$AI$2:$AI$232,0),MATCH(BA$4,Scénarios!$B$4:$AI$4,0))=0,"",INDEX(Scénarios!$B$2:$AI$232,MATCH($S67,Scénarios!$AI$2:$AI$232,0),MATCH(BA$4,Scénarios!$B$4:$AI$4,0))),"-")</f>
        <v>-</v>
      </c>
      <c r="BB67" s="443" t="str">
        <f>IFERROR(IF(INDEX(Scénarios!$B$2:$AK$237,MATCH($S67,Scénarios!$AI$2:$AI$237,0),MATCH(BB$4,Scénarios!$B$4:$AK$4,0))=0,"",INDEX(Scénarios!$B$2:$AK$237,MATCH($S67,Scénarios!$AI$2:$AI$237,0),MATCH(BB$4,Scénarios!$B$4:$AK$4,0))),"-")</f>
        <v>-</v>
      </c>
      <c r="BC67" s="443" t="str">
        <f>IFERROR(INDEX(Scénarios!$B$2:$AV$232,MATCH($S67,Scénarios!$AI$2:$AI$232,0),MATCH(BC$4,Scénarios!$B$4:$AV$4,0)),"-")</f>
        <v>-</v>
      </c>
    </row>
    <row r="68" spans="15:55" ht="25.5" customHeight="1" x14ac:dyDescent="0.25">
      <c r="O68" s="604" t="str">
        <f t="shared" si="0"/>
        <v>Fiche R64 sans décision :
Veuillez ajouter une décision</v>
      </c>
      <c r="P68" s="609" t="s">
        <v>2188</v>
      </c>
      <c r="Q68" s="605" t="s">
        <v>2067</v>
      </c>
      <c r="R68" s="585" t="s">
        <v>2068</v>
      </c>
      <c r="S68" s="587" t="s">
        <v>2102</v>
      </c>
      <c r="T68" s="588" t="str">
        <f>IFERROR(INDEX(Tab_sel!$B$7:$C$18,MATCH($AB68,Tab_sel!$C$7:$C$18,0),1),"-")</f>
        <v>-</v>
      </c>
      <c r="U68" s="589" t="str">
        <f>IFERROR(INDEX(Scénarios!$B$2:$AI$232,MATCH($S68,Scénarios!$AI$2:$AI$232,0),MATCH(U$4,Scénarios!$B$4:$AI$4,0)),"-")</f>
        <v>-</v>
      </c>
      <c r="V68" s="588" t="str">
        <f>IFERROR(INDEX(Scénarios!$B$2:$AI$232,MATCH($S68,Scénarios!$AI$2:$AI$232,0),MATCH(V$4,Scénarios!$B$4:$AI$4,0)),"-")</f>
        <v>-</v>
      </c>
      <c r="W68" s="588" t="str">
        <f>IFERROR(INDEX(Scénarios!$B$2:$AI$232,MATCH($S68,Scénarios!$AI$2:$AI$232,0),MATCH(W$4,Scénarios!$B$4:$AI$4,0)),"-")</f>
        <v>-</v>
      </c>
      <c r="X68" s="588" t="str">
        <f>IFERROR(VLOOKUP(AD68,Expo!$D$4:$E$35,2,FALSE),"-")</f>
        <v>-</v>
      </c>
      <c r="Y68" s="859" t="str">
        <f>IFERROR(IF(INDEX(Scénarios!$B$2:$AI$232,MATCH($S68,Scénarios!$AI$2:$AI$232,0),MATCH(Y$4,Scénarios!$B$4:$AI$4,0))=0,"",INDEX(Scénarios!$B$2:$AI$232,MATCH($S68,Scénarios!$AI$2:$AI$232,0),MATCH(Y$4,Scénarios!$B$4:$AI$4,0))),"-")</f>
        <v>-</v>
      </c>
      <c r="Z68" s="589" t="str">
        <f>IFERROR(INDEX(Scénarios!$B$2:$AI$232,MATCH($S68,Scénarios!$AI$2:$AI$232,0),MATCH(Z$4,Scénarios!$B$4:$AI$4,0)),"-")</f>
        <v>-</v>
      </c>
      <c r="AA68" s="589" t="str">
        <f>IFERROR(INDEX(Scénarios!$B$2:$AI$232,MATCH($S68,Scénarios!$AI$2:$AI$232,0),MATCH(AA$4,Scénarios!$B$4:$AI$4,0)),"-")</f>
        <v>-</v>
      </c>
      <c r="AB68" s="586" t="str">
        <f>IFERROR(INDEX(Scénarios!$B$2:$AI$232,MATCH($S68,Scénarios!$AI$2:$AI$232,0),MATCH(AB$4,Scénarios!$B$4:$AI$4,0)),"-")</f>
        <v>-</v>
      </c>
      <c r="AC68" s="442" t="str">
        <f>IFERROR(INDEX(Tab_sel!$B$24:$C$27,MATCH($U68,Tab_sel!$C$24:$C$27,0),1),"-")</f>
        <v>-</v>
      </c>
      <c r="AD68" s="443" t="str">
        <f>IFERROR(INDEX(Scénarios!$B$2:$AI$232,MATCH($S68,Scénarios!$AI$2:$AI$232,0),MATCH(AD$4,Scénarios!$B$4:$AI$4,0)),"-")</f>
        <v>-</v>
      </c>
      <c r="AE68" s="460" t="str">
        <f>IFERROR(INDEX(Scénarios!$B$2:$AI$232,MATCH($S68,Scénarios!$AI$2:$AI$232,0),MATCH(AE$4,Scénarios!$B$4:$AI$4,0)),"-")</f>
        <v>-</v>
      </c>
      <c r="AF68" s="460" t="str">
        <f>IFERROR(INDEX(Scénarios!$B$2:$AI$232,MATCH($S68,Scénarios!$AI$2:$AI$232,0),MATCH(AF$4,Scénarios!$B$4:$AI$4,0)),"-")</f>
        <v>-</v>
      </c>
      <c r="AG68" s="460" t="str">
        <f>IFERROR(INDEX(Scénarios!$B$2:$AI$232,MATCH($S68,Scénarios!$AI$2:$AI$232,0),MATCH(AG$4,Scénarios!$B$4:$AI$4,0)),"-")</f>
        <v>-</v>
      </c>
      <c r="AH68" s="460" t="str">
        <f>IFERROR(INDEX(Scénarios!$B$2:$AI$232,MATCH($S68,Scénarios!$AI$2:$AI$232,0),MATCH(AH$4,Scénarios!$B$4:$AI$4,0)),"-")</f>
        <v>-</v>
      </c>
      <c r="AI68" s="443" t="str">
        <f>IFERROR(INDEX(Scénarios!$B$2:$AI$232,MATCH($S68,Scénarios!$AI$2:$AI$232,0),MATCH(AI$4,Scénarios!$B$4:$AI$4,0)),"-")</f>
        <v>-</v>
      </c>
      <c r="AJ68" s="443" t="str">
        <f>IFERROR(INDEX(Param!$A$3:$C$7,MATCH($AI68,Param!$C$3:$C$7,0),1),"-")</f>
        <v>-</v>
      </c>
      <c r="AK68" s="443" t="str">
        <f>IFERROR(INDEX(Scénarios!$B$2:$AI$232,MATCH($S68,Scénarios!$AI$2:$AI$232,0),MATCH(AK$4,Scénarios!$B$4:$AI$4,0)),"-")</f>
        <v>-</v>
      </c>
      <c r="AL68" s="443" t="str">
        <f>IFERROR(INDEX(Scénarios!$B$2:$AI$232,MATCH($S68,Scénarios!$AI$2:$AI$232,0),MATCH(AL$4,Scénarios!$B$4:$AI$4,0)),"-")</f>
        <v>-</v>
      </c>
      <c r="AM68" s="443" t="str">
        <f>IFERROR(INDEX(Param!$A$10:$C$14,MATCH($AL68,Param!$C$10:$C$14,0),1),"-")</f>
        <v>-</v>
      </c>
      <c r="AN68" s="443" t="str">
        <f>IFERROR(IF(INDEX(Scénarios!$B$2:$AI$232,MATCH($S68,Scénarios!$AI$2:$AI$232,0),MATCH(AN$4,Scénarios!$B$4:$AI$4,0))=0,"",INDEX(Scénarios!$B$2:$AI$232,MATCH($S68,Scénarios!$AI$2:$AI$232,0),MATCH(AN$4,Scénarios!$B$4:$AI$4,0))),"-")</f>
        <v>-</v>
      </c>
      <c r="AO68" s="443" t="str">
        <f>IFERROR(INDEX(Scénarios!$B$2:$AI$232,MATCH($S68,Scénarios!$AI$2:$AI$232,0),MATCH(AO$4,Scénarios!$B$4:$AI$4,0)),"-")</f>
        <v>-</v>
      </c>
      <c r="AP68" s="443" t="str">
        <f>IFERROR(INDEX(Param!$A$17:$C$21,MATCH($AO68,Param!$C$17:$C$21,0),1),"-")</f>
        <v>-</v>
      </c>
      <c r="AQ68" s="443" t="str">
        <f>IFERROR(IF(INDEX(Scénarios!$B$2:$AI$232,MATCH($S68,Scénarios!$AI$2:$AI$232,0),MATCH(AQ$4,Scénarios!$B$4:$AI$4,0))=0,"",INDEX(Scénarios!$B$2:$AI$232,MATCH($S68,Scénarios!$AI$2:$AI$232,0),MATCH(AQ$4,Scénarios!$B$4:$AI$4,0))),"-")</f>
        <v>-</v>
      </c>
      <c r="AR68" s="443" t="str">
        <f>IFERROR(INDEX(Scénarios!$B$2:$AI$232,MATCH($S68,Scénarios!$AI$2:$AI$232,0),MATCH(AR$4,Scénarios!$B$4:$AI$4,0)),"-")</f>
        <v>-</v>
      </c>
      <c r="AS68" s="443" t="str">
        <f>IFERROR(INDEX(Param!$A$24:$C$28,MATCH($AR68,Param!$C$24:$C$28,0),1),"-")</f>
        <v>-</v>
      </c>
      <c r="AT68" s="443" t="str">
        <f>IFERROR(IF(INDEX(Scénarios!$B$2:$AI$232,MATCH($S68,Scénarios!$AI$2:$AI$232,0),MATCH(AT$4,Scénarios!$B$4:$AI$4,0))=0,"",INDEX(Scénarios!$B$2:$AI$232,MATCH($S68,Scénarios!$AI$2:$AI$232,0),MATCH(AT$4,Scénarios!$B$4:$AI$4,0))),"-")</f>
        <v>-</v>
      </c>
      <c r="AU68" s="462" t="str">
        <f>IFERROR(INDEX(Scénarios!$B$2:$AI$232,MATCH($S68,Scénarios!$AI$2:$AI$232,0),MATCH(AU$4,Scénarios!$B$4:$AI$4,0)),"-")</f>
        <v>-</v>
      </c>
      <c r="AV68" s="462" t="str">
        <f>IFERROR(INDEX(Scénarios!$B$2:$AI$232,MATCH($S68,Scénarios!$AI$2:$AI$232,0),MATCH(AV$4,Scénarios!$B$4:$AI$4,0)),"-")</f>
        <v>-</v>
      </c>
      <c r="AW68" s="462" t="str">
        <f>IFERROR(INDEX(Scénarios!$B$2:$AI$232,MATCH($S68,Scénarios!$AI$2:$AI$232,0),MATCH(AW$4,Scénarios!$B$4:$AI$4,0)),"-")</f>
        <v>-</v>
      </c>
      <c r="AX68" s="462" t="str">
        <f>IFERROR(INDEX(Scénarios!$B$2:$AI$232,MATCH($S68,Scénarios!$AI$2:$AI$232,0),MATCH(AX$4,Scénarios!$B$4:$AI$4,0)),"-")</f>
        <v>-</v>
      </c>
      <c r="AY68" s="443" t="str">
        <f>IFERROR(INDEX(Scénarios!$B$2:$AI$232,MATCH($S68,Scénarios!$AI$2:$AI$232,0),MATCH(AY$4,Scénarios!$B$4:$AI$4,0)),"-")</f>
        <v>-</v>
      </c>
      <c r="AZ68" s="588" t="str">
        <f>IFERROR(INDEX(Param!$A$31:$C$35,MATCH($AY68,Param!$C$31:$C$35,0),1),"-")</f>
        <v>-</v>
      </c>
      <c r="BA68" s="588" t="str">
        <f>IFERROR(IF(INDEX(Scénarios!$B$2:$AI$232,MATCH($S68,Scénarios!$AI$2:$AI$232,0),MATCH(BA$4,Scénarios!$B$4:$AI$4,0))=0,"",INDEX(Scénarios!$B$2:$AI$232,MATCH($S68,Scénarios!$AI$2:$AI$232,0),MATCH(BA$4,Scénarios!$B$4:$AI$4,0))),"-")</f>
        <v>-</v>
      </c>
      <c r="BB68" s="443" t="str">
        <f>IFERROR(IF(INDEX(Scénarios!$B$2:$AK$237,MATCH($S68,Scénarios!$AI$2:$AI$237,0),MATCH(BB$4,Scénarios!$B$4:$AK$4,0))=0,"",INDEX(Scénarios!$B$2:$AK$237,MATCH($S68,Scénarios!$AI$2:$AI$237,0),MATCH(BB$4,Scénarios!$B$4:$AK$4,0))),"-")</f>
        <v>-</v>
      </c>
      <c r="BC68" s="443" t="str">
        <f>IFERROR(INDEX(Scénarios!$B$2:$AV$232,MATCH($S68,Scénarios!$AI$2:$AI$232,0),MATCH(BC$4,Scénarios!$B$4:$AV$4,0)),"-")</f>
        <v>-</v>
      </c>
    </row>
    <row r="69" spans="15:55" ht="25.5" customHeight="1" x14ac:dyDescent="0.25">
      <c r="O69" s="604" t="str">
        <f t="shared" si="0"/>
        <v>Fiche R65 sans décision :
Veuillez ajouter une décision</v>
      </c>
      <c r="P69" s="609" t="s">
        <v>2188</v>
      </c>
      <c r="Q69" s="605" t="s">
        <v>2067</v>
      </c>
      <c r="R69" s="585" t="s">
        <v>2068</v>
      </c>
      <c r="S69" s="587" t="s">
        <v>2103</v>
      </c>
      <c r="T69" s="588" t="str">
        <f>IFERROR(INDEX(Tab_sel!$B$7:$C$18,MATCH($AB69,Tab_sel!$C$7:$C$18,0),1),"-")</f>
        <v>-</v>
      </c>
      <c r="U69" s="589" t="str">
        <f>IFERROR(INDEX(Scénarios!$B$2:$AI$232,MATCH($S69,Scénarios!$AI$2:$AI$232,0),MATCH(U$4,Scénarios!$B$4:$AI$4,0)),"-")</f>
        <v>-</v>
      </c>
      <c r="V69" s="588" t="str">
        <f>IFERROR(INDEX(Scénarios!$B$2:$AI$232,MATCH($S69,Scénarios!$AI$2:$AI$232,0),MATCH(V$4,Scénarios!$B$4:$AI$4,0)),"-")</f>
        <v>-</v>
      </c>
      <c r="W69" s="588" t="str">
        <f>IFERROR(INDEX(Scénarios!$B$2:$AI$232,MATCH($S69,Scénarios!$AI$2:$AI$232,0),MATCH(W$4,Scénarios!$B$4:$AI$4,0)),"-")</f>
        <v>-</v>
      </c>
      <c r="X69" s="588" t="str">
        <f>IFERROR(VLOOKUP(AD69,Expo!$D$4:$E$35,2,FALSE),"-")</f>
        <v>-</v>
      </c>
      <c r="Y69" s="859" t="str">
        <f>IFERROR(IF(INDEX(Scénarios!$B$2:$AI$232,MATCH($S69,Scénarios!$AI$2:$AI$232,0),MATCH(Y$4,Scénarios!$B$4:$AI$4,0))=0,"",INDEX(Scénarios!$B$2:$AI$232,MATCH($S69,Scénarios!$AI$2:$AI$232,0),MATCH(Y$4,Scénarios!$B$4:$AI$4,0))),"-")</f>
        <v>-</v>
      </c>
      <c r="Z69" s="589" t="str">
        <f>IFERROR(INDEX(Scénarios!$B$2:$AI$232,MATCH($S69,Scénarios!$AI$2:$AI$232,0),MATCH(Z$4,Scénarios!$B$4:$AI$4,0)),"-")</f>
        <v>-</v>
      </c>
      <c r="AA69" s="589" t="str">
        <f>IFERROR(INDEX(Scénarios!$B$2:$AI$232,MATCH($S69,Scénarios!$AI$2:$AI$232,0),MATCH(AA$4,Scénarios!$B$4:$AI$4,0)),"-")</f>
        <v>-</v>
      </c>
      <c r="AB69" s="586" t="str">
        <f>IFERROR(INDEX(Scénarios!$B$2:$AI$232,MATCH($S69,Scénarios!$AI$2:$AI$232,0),MATCH(AB$4,Scénarios!$B$4:$AI$4,0)),"-")</f>
        <v>-</v>
      </c>
      <c r="AC69" s="442" t="str">
        <f>IFERROR(INDEX(Tab_sel!$B$24:$C$27,MATCH($U69,Tab_sel!$C$24:$C$27,0),1),"-")</f>
        <v>-</v>
      </c>
      <c r="AD69" s="443" t="str">
        <f>IFERROR(INDEX(Scénarios!$B$2:$AI$232,MATCH($S69,Scénarios!$AI$2:$AI$232,0),MATCH(AD$4,Scénarios!$B$4:$AI$4,0)),"-")</f>
        <v>-</v>
      </c>
      <c r="AE69" s="460" t="str">
        <f>IFERROR(INDEX(Scénarios!$B$2:$AI$232,MATCH($S69,Scénarios!$AI$2:$AI$232,0),MATCH(AE$4,Scénarios!$B$4:$AI$4,0)),"-")</f>
        <v>-</v>
      </c>
      <c r="AF69" s="460" t="str">
        <f>IFERROR(INDEX(Scénarios!$B$2:$AI$232,MATCH($S69,Scénarios!$AI$2:$AI$232,0),MATCH(AF$4,Scénarios!$B$4:$AI$4,0)),"-")</f>
        <v>-</v>
      </c>
      <c r="AG69" s="460" t="str">
        <f>IFERROR(INDEX(Scénarios!$B$2:$AI$232,MATCH($S69,Scénarios!$AI$2:$AI$232,0),MATCH(AG$4,Scénarios!$B$4:$AI$4,0)),"-")</f>
        <v>-</v>
      </c>
      <c r="AH69" s="460" t="str">
        <f>IFERROR(INDEX(Scénarios!$B$2:$AI$232,MATCH($S69,Scénarios!$AI$2:$AI$232,0),MATCH(AH$4,Scénarios!$B$4:$AI$4,0)),"-")</f>
        <v>-</v>
      </c>
      <c r="AI69" s="443" t="str">
        <f>IFERROR(INDEX(Scénarios!$B$2:$AI$232,MATCH($S69,Scénarios!$AI$2:$AI$232,0),MATCH(AI$4,Scénarios!$B$4:$AI$4,0)),"-")</f>
        <v>-</v>
      </c>
      <c r="AJ69" s="443" t="str">
        <f>IFERROR(INDEX(Param!$A$3:$C$7,MATCH($AI69,Param!$C$3:$C$7,0),1),"-")</f>
        <v>-</v>
      </c>
      <c r="AK69" s="443" t="str">
        <f>IFERROR(INDEX(Scénarios!$B$2:$AI$232,MATCH($S69,Scénarios!$AI$2:$AI$232,0),MATCH(AK$4,Scénarios!$B$4:$AI$4,0)),"-")</f>
        <v>-</v>
      </c>
      <c r="AL69" s="443" t="str">
        <f>IFERROR(INDEX(Scénarios!$B$2:$AI$232,MATCH($S69,Scénarios!$AI$2:$AI$232,0),MATCH(AL$4,Scénarios!$B$4:$AI$4,0)),"-")</f>
        <v>-</v>
      </c>
      <c r="AM69" s="443" t="str">
        <f>IFERROR(INDEX(Param!$A$10:$C$14,MATCH($AL69,Param!$C$10:$C$14,0),1),"-")</f>
        <v>-</v>
      </c>
      <c r="AN69" s="443" t="str">
        <f>IFERROR(IF(INDEX(Scénarios!$B$2:$AI$232,MATCH($S69,Scénarios!$AI$2:$AI$232,0),MATCH(AN$4,Scénarios!$B$4:$AI$4,0))=0,"",INDEX(Scénarios!$B$2:$AI$232,MATCH($S69,Scénarios!$AI$2:$AI$232,0),MATCH(AN$4,Scénarios!$B$4:$AI$4,0))),"-")</f>
        <v>-</v>
      </c>
      <c r="AO69" s="443" t="str">
        <f>IFERROR(INDEX(Scénarios!$B$2:$AI$232,MATCH($S69,Scénarios!$AI$2:$AI$232,0),MATCH(AO$4,Scénarios!$B$4:$AI$4,0)),"-")</f>
        <v>-</v>
      </c>
      <c r="AP69" s="443" t="str">
        <f>IFERROR(INDEX(Param!$A$17:$C$21,MATCH($AO69,Param!$C$17:$C$21,0),1),"-")</f>
        <v>-</v>
      </c>
      <c r="AQ69" s="443" t="str">
        <f>IFERROR(IF(INDEX(Scénarios!$B$2:$AI$232,MATCH($S69,Scénarios!$AI$2:$AI$232,0),MATCH(AQ$4,Scénarios!$B$4:$AI$4,0))=0,"",INDEX(Scénarios!$B$2:$AI$232,MATCH($S69,Scénarios!$AI$2:$AI$232,0),MATCH(AQ$4,Scénarios!$B$4:$AI$4,0))),"-")</f>
        <v>-</v>
      </c>
      <c r="AR69" s="443" t="str">
        <f>IFERROR(INDEX(Scénarios!$B$2:$AI$232,MATCH($S69,Scénarios!$AI$2:$AI$232,0),MATCH(AR$4,Scénarios!$B$4:$AI$4,0)),"-")</f>
        <v>-</v>
      </c>
      <c r="AS69" s="443" t="str">
        <f>IFERROR(INDEX(Param!$A$24:$C$28,MATCH($AR69,Param!$C$24:$C$28,0),1),"-")</f>
        <v>-</v>
      </c>
      <c r="AT69" s="443" t="str">
        <f>IFERROR(IF(INDEX(Scénarios!$B$2:$AI$232,MATCH($S69,Scénarios!$AI$2:$AI$232,0),MATCH(AT$4,Scénarios!$B$4:$AI$4,0))=0,"",INDEX(Scénarios!$B$2:$AI$232,MATCH($S69,Scénarios!$AI$2:$AI$232,0),MATCH(AT$4,Scénarios!$B$4:$AI$4,0))),"-")</f>
        <v>-</v>
      </c>
      <c r="AU69" s="462" t="str">
        <f>IFERROR(INDEX(Scénarios!$B$2:$AI$232,MATCH($S69,Scénarios!$AI$2:$AI$232,0),MATCH(AU$4,Scénarios!$B$4:$AI$4,0)),"-")</f>
        <v>-</v>
      </c>
      <c r="AV69" s="462" t="str">
        <f>IFERROR(INDEX(Scénarios!$B$2:$AI$232,MATCH($S69,Scénarios!$AI$2:$AI$232,0),MATCH(AV$4,Scénarios!$B$4:$AI$4,0)),"-")</f>
        <v>-</v>
      </c>
      <c r="AW69" s="462" t="str">
        <f>IFERROR(INDEX(Scénarios!$B$2:$AI$232,MATCH($S69,Scénarios!$AI$2:$AI$232,0),MATCH(AW$4,Scénarios!$B$4:$AI$4,0)),"-")</f>
        <v>-</v>
      </c>
      <c r="AX69" s="462" t="str">
        <f>IFERROR(INDEX(Scénarios!$B$2:$AI$232,MATCH($S69,Scénarios!$AI$2:$AI$232,0),MATCH(AX$4,Scénarios!$B$4:$AI$4,0)),"-")</f>
        <v>-</v>
      </c>
      <c r="AY69" s="443" t="str">
        <f>IFERROR(INDEX(Scénarios!$B$2:$AI$232,MATCH($S69,Scénarios!$AI$2:$AI$232,0),MATCH(AY$4,Scénarios!$B$4:$AI$4,0)),"-")</f>
        <v>-</v>
      </c>
      <c r="AZ69" s="588" t="str">
        <f>IFERROR(INDEX(Param!$A$31:$C$35,MATCH($AY69,Param!$C$31:$C$35,0),1),"-")</f>
        <v>-</v>
      </c>
      <c r="BA69" s="588" t="str">
        <f>IFERROR(IF(INDEX(Scénarios!$B$2:$AI$232,MATCH($S69,Scénarios!$AI$2:$AI$232,0),MATCH(BA$4,Scénarios!$B$4:$AI$4,0))=0,"",INDEX(Scénarios!$B$2:$AI$232,MATCH($S69,Scénarios!$AI$2:$AI$232,0),MATCH(BA$4,Scénarios!$B$4:$AI$4,0))),"-")</f>
        <v>-</v>
      </c>
      <c r="BB69" s="443" t="str">
        <f>IFERROR(IF(INDEX(Scénarios!$B$2:$AK$237,MATCH($S69,Scénarios!$AI$2:$AI$237,0),MATCH(BB$4,Scénarios!$B$4:$AK$4,0))=0,"",INDEX(Scénarios!$B$2:$AK$237,MATCH($S69,Scénarios!$AI$2:$AI$237,0),MATCH(BB$4,Scénarios!$B$4:$AK$4,0))),"-")</f>
        <v>-</v>
      </c>
      <c r="BC69" s="443" t="str">
        <f>IFERROR(INDEX(Scénarios!$B$2:$AV$232,MATCH($S69,Scénarios!$AI$2:$AI$232,0),MATCH(BC$4,Scénarios!$B$4:$AV$4,0)),"-")</f>
        <v>-</v>
      </c>
    </row>
    <row r="70" spans="15:55" ht="25.5" customHeight="1" x14ac:dyDescent="0.25">
      <c r="O70" s="604" t="str">
        <f t="shared" ref="O70:O133" si="1">IF($BB70=1,"Fiche "&amp;S70&amp;" non valide :"&amp;CHAR(10)&amp;"Veuillez la modifier ou la supprimer",IF(AZ70="-","Fiche "&amp;S70&amp;" sans décision :"&amp;CHAR(10)&amp;"Veuillez ajouter une décision",""))</f>
        <v>Fiche R66 sans décision :
Veuillez ajouter une décision</v>
      </c>
      <c r="P70" s="609" t="s">
        <v>2188</v>
      </c>
      <c r="Q70" s="605" t="s">
        <v>2067</v>
      </c>
      <c r="R70" s="585" t="s">
        <v>2068</v>
      </c>
      <c r="S70" s="587" t="s">
        <v>2104</v>
      </c>
      <c r="T70" s="588" t="str">
        <f>IFERROR(INDEX(Tab_sel!$B$7:$C$18,MATCH($AB70,Tab_sel!$C$7:$C$18,0),1),"-")</f>
        <v>-</v>
      </c>
      <c r="U70" s="589" t="str">
        <f>IFERROR(INDEX(Scénarios!$B$2:$AI$232,MATCH($S70,Scénarios!$AI$2:$AI$232,0),MATCH(U$4,Scénarios!$B$4:$AI$4,0)),"-")</f>
        <v>-</v>
      </c>
      <c r="V70" s="588" t="str">
        <f>IFERROR(INDEX(Scénarios!$B$2:$AI$232,MATCH($S70,Scénarios!$AI$2:$AI$232,0),MATCH(V$4,Scénarios!$B$4:$AI$4,0)),"-")</f>
        <v>-</v>
      </c>
      <c r="W70" s="588" t="str">
        <f>IFERROR(INDEX(Scénarios!$B$2:$AI$232,MATCH($S70,Scénarios!$AI$2:$AI$232,0),MATCH(W$4,Scénarios!$B$4:$AI$4,0)),"-")</f>
        <v>-</v>
      </c>
      <c r="X70" s="588" t="str">
        <f>IFERROR(VLOOKUP(AD70,Expo!$D$4:$E$35,2,FALSE),"-")</f>
        <v>-</v>
      </c>
      <c r="Y70" s="859" t="str">
        <f>IFERROR(IF(INDEX(Scénarios!$B$2:$AI$232,MATCH($S70,Scénarios!$AI$2:$AI$232,0),MATCH(Y$4,Scénarios!$B$4:$AI$4,0))=0,"",INDEX(Scénarios!$B$2:$AI$232,MATCH($S70,Scénarios!$AI$2:$AI$232,0),MATCH(Y$4,Scénarios!$B$4:$AI$4,0))),"-")</f>
        <v>-</v>
      </c>
      <c r="Z70" s="589" t="str">
        <f>IFERROR(INDEX(Scénarios!$B$2:$AI$232,MATCH($S70,Scénarios!$AI$2:$AI$232,0),MATCH(Z$4,Scénarios!$B$4:$AI$4,0)),"-")</f>
        <v>-</v>
      </c>
      <c r="AA70" s="589" t="str">
        <f>IFERROR(INDEX(Scénarios!$B$2:$AI$232,MATCH($S70,Scénarios!$AI$2:$AI$232,0),MATCH(AA$4,Scénarios!$B$4:$AI$4,0)),"-")</f>
        <v>-</v>
      </c>
      <c r="AB70" s="586" t="str">
        <f>IFERROR(INDEX(Scénarios!$B$2:$AI$232,MATCH($S70,Scénarios!$AI$2:$AI$232,0),MATCH(AB$4,Scénarios!$B$4:$AI$4,0)),"-")</f>
        <v>-</v>
      </c>
      <c r="AC70" s="442" t="str">
        <f>IFERROR(INDEX(Tab_sel!$B$24:$C$27,MATCH($U70,Tab_sel!$C$24:$C$27,0),1),"-")</f>
        <v>-</v>
      </c>
      <c r="AD70" s="443" t="str">
        <f>IFERROR(INDEX(Scénarios!$B$2:$AI$232,MATCH($S70,Scénarios!$AI$2:$AI$232,0),MATCH(AD$4,Scénarios!$B$4:$AI$4,0)),"-")</f>
        <v>-</v>
      </c>
      <c r="AE70" s="460" t="str">
        <f>IFERROR(INDEX(Scénarios!$B$2:$AI$232,MATCH($S70,Scénarios!$AI$2:$AI$232,0),MATCH(AE$4,Scénarios!$B$4:$AI$4,0)),"-")</f>
        <v>-</v>
      </c>
      <c r="AF70" s="460" t="str">
        <f>IFERROR(INDEX(Scénarios!$B$2:$AI$232,MATCH($S70,Scénarios!$AI$2:$AI$232,0),MATCH(AF$4,Scénarios!$B$4:$AI$4,0)),"-")</f>
        <v>-</v>
      </c>
      <c r="AG70" s="460" t="str">
        <f>IFERROR(INDEX(Scénarios!$B$2:$AI$232,MATCH($S70,Scénarios!$AI$2:$AI$232,0),MATCH(AG$4,Scénarios!$B$4:$AI$4,0)),"-")</f>
        <v>-</v>
      </c>
      <c r="AH70" s="460" t="str">
        <f>IFERROR(INDEX(Scénarios!$B$2:$AI$232,MATCH($S70,Scénarios!$AI$2:$AI$232,0),MATCH(AH$4,Scénarios!$B$4:$AI$4,0)),"-")</f>
        <v>-</v>
      </c>
      <c r="AI70" s="443" t="str">
        <f>IFERROR(INDEX(Scénarios!$B$2:$AI$232,MATCH($S70,Scénarios!$AI$2:$AI$232,0),MATCH(AI$4,Scénarios!$B$4:$AI$4,0)),"-")</f>
        <v>-</v>
      </c>
      <c r="AJ70" s="443" t="str">
        <f>IFERROR(INDEX(Param!$A$3:$C$7,MATCH($AI70,Param!$C$3:$C$7,0),1),"-")</f>
        <v>-</v>
      </c>
      <c r="AK70" s="443" t="str">
        <f>IFERROR(INDEX(Scénarios!$B$2:$AI$232,MATCH($S70,Scénarios!$AI$2:$AI$232,0),MATCH(AK$4,Scénarios!$B$4:$AI$4,0)),"-")</f>
        <v>-</v>
      </c>
      <c r="AL70" s="443" t="str">
        <f>IFERROR(INDEX(Scénarios!$B$2:$AI$232,MATCH($S70,Scénarios!$AI$2:$AI$232,0),MATCH(AL$4,Scénarios!$B$4:$AI$4,0)),"-")</f>
        <v>-</v>
      </c>
      <c r="AM70" s="443" t="str">
        <f>IFERROR(INDEX(Param!$A$10:$C$14,MATCH($AL70,Param!$C$10:$C$14,0),1),"-")</f>
        <v>-</v>
      </c>
      <c r="AN70" s="443" t="str">
        <f>IFERROR(IF(INDEX(Scénarios!$B$2:$AI$232,MATCH($S70,Scénarios!$AI$2:$AI$232,0),MATCH(AN$4,Scénarios!$B$4:$AI$4,0))=0,"",INDEX(Scénarios!$B$2:$AI$232,MATCH($S70,Scénarios!$AI$2:$AI$232,0),MATCH(AN$4,Scénarios!$B$4:$AI$4,0))),"-")</f>
        <v>-</v>
      </c>
      <c r="AO70" s="443" t="str">
        <f>IFERROR(INDEX(Scénarios!$B$2:$AI$232,MATCH($S70,Scénarios!$AI$2:$AI$232,0),MATCH(AO$4,Scénarios!$B$4:$AI$4,0)),"-")</f>
        <v>-</v>
      </c>
      <c r="AP70" s="443" t="str">
        <f>IFERROR(INDEX(Param!$A$17:$C$21,MATCH($AO70,Param!$C$17:$C$21,0),1),"-")</f>
        <v>-</v>
      </c>
      <c r="AQ70" s="443" t="str">
        <f>IFERROR(IF(INDEX(Scénarios!$B$2:$AI$232,MATCH($S70,Scénarios!$AI$2:$AI$232,0),MATCH(AQ$4,Scénarios!$B$4:$AI$4,0))=0,"",INDEX(Scénarios!$B$2:$AI$232,MATCH($S70,Scénarios!$AI$2:$AI$232,0),MATCH(AQ$4,Scénarios!$B$4:$AI$4,0))),"-")</f>
        <v>-</v>
      </c>
      <c r="AR70" s="443" t="str">
        <f>IFERROR(INDEX(Scénarios!$B$2:$AI$232,MATCH($S70,Scénarios!$AI$2:$AI$232,0),MATCH(AR$4,Scénarios!$B$4:$AI$4,0)),"-")</f>
        <v>-</v>
      </c>
      <c r="AS70" s="443" t="str">
        <f>IFERROR(INDEX(Param!$A$24:$C$28,MATCH($AR70,Param!$C$24:$C$28,0),1),"-")</f>
        <v>-</v>
      </c>
      <c r="AT70" s="443" t="str">
        <f>IFERROR(IF(INDEX(Scénarios!$B$2:$AI$232,MATCH($S70,Scénarios!$AI$2:$AI$232,0),MATCH(AT$4,Scénarios!$B$4:$AI$4,0))=0,"",INDEX(Scénarios!$B$2:$AI$232,MATCH($S70,Scénarios!$AI$2:$AI$232,0),MATCH(AT$4,Scénarios!$B$4:$AI$4,0))),"-")</f>
        <v>-</v>
      </c>
      <c r="AU70" s="462" t="str">
        <f>IFERROR(INDEX(Scénarios!$B$2:$AI$232,MATCH($S70,Scénarios!$AI$2:$AI$232,0),MATCH(AU$4,Scénarios!$B$4:$AI$4,0)),"-")</f>
        <v>-</v>
      </c>
      <c r="AV70" s="462" t="str">
        <f>IFERROR(INDEX(Scénarios!$B$2:$AI$232,MATCH($S70,Scénarios!$AI$2:$AI$232,0),MATCH(AV$4,Scénarios!$B$4:$AI$4,0)),"-")</f>
        <v>-</v>
      </c>
      <c r="AW70" s="462" t="str">
        <f>IFERROR(INDEX(Scénarios!$B$2:$AI$232,MATCH($S70,Scénarios!$AI$2:$AI$232,0),MATCH(AW$4,Scénarios!$B$4:$AI$4,0)),"-")</f>
        <v>-</v>
      </c>
      <c r="AX70" s="462" t="str">
        <f>IFERROR(INDEX(Scénarios!$B$2:$AI$232,MATCH($S70,Scénarios!$AI$2:$AI$232,0),MATCH(AX$4,Scénarios!$B$4:$AI$4,0)),"-")</f>
        <v>-</v>
      </c>
      <c r="AY70" s="443" t="str">
        <f>IFERROR(INDEX(Scénarios!$B$2:$AI$232,MATCH($S70,Scénarios!$AI$2:$AI$232,0),MATCH(AY$4,Scénarios!$B$4:$AI$4,0)),"-")</f>
        <v>-</v>
      </c>
      <c r="AZ70" s="588" t="str">
        <f>IFERROR(INDEX(Param!$A$31:$C$35,MATCH($AY70,Param!$C$31:$C$35,0),1),"-")</f>
        <v>-</v>
      </c>
      <c r="BA70" s="588" t="str">
        <f>IFERROR(IF(INDEX(Scénarios!$B$2:$AI$232,MATCH($S70,Scénarios!$AI$2:$AI$232,0),MATCH(BA$4,Scénarios!$B$4:$AI$4,0))=0,"",INDEX(Scénarios!$B$2:$AI$232,MATCH($S70,Scénarios!$AI$2:$AI$232,0),MATCH(BA$4,Scénarios!$B$4:$AI$4,0))),"-")</f>
        <v>-</v>
      </c>
      <c r="BB70" s="443" t="str">
        <f>IFERROR(IF(INDEX(Scénarios!$B$2:$AK$237,MATCH($S70,Scénarios!$AI$2:$AI$237,0),MATCH(BB$4,Scénarios!$B$4:$AK$4,0))=0,"",INDEX(Scénarios!$B$2:$AK$237,MATCH($S70,Scénarios!$AI$2:$AI$237,0),MATCH(BB$4,Scénarios!$B$4:$AK$4,0))),"-")</f>
        <v>-</v>
      </c>
      <c r="BC70" s="443" t="str">
        <f>IFERROR(INDEX(Scénarios!$B$2:$AV$232,MATCH($S70,Scénarios!$AI$2:$AI$232,0),MATCH(BC$4,Scénarios!$B$4:$AV$4,0)),"-")</f>
        <v>-</v>
      </c>
    </row>
    <row r="71" spans="15:55" ht="25.5" customHeight="1" x14ac:dyDescent="0.25">
      <c r="O71" s="604" t="str">
        <f t="shared" si="1"/>
        <v>Fiche R67 sans décision :
Veuillez ajouter une décision</v>
      </c>
      <c r="P71" s="609" t="s">
        <v>2188</v>
      </c>
      <c r="Q71" s="605" t="s">
        <v>2067</v>
      </c>
      <c r="R71" s="585" t="s">
        <v>2068</v>
      </c>
      <c r="S71" s="587" t="s">
        <v>2105</v>
      </c>
      <c r="T71" s="588" t="str">
        <f>IFERROR(INDEX(Tab_sel!$B$7:$C$18,MATCH($AB71,Tab_sel!$C$7:$C$18,0),1),"-")</f>
        <v>-</v>
      </c>
      <c r="U71" s="589" t="str">
        <f>IFERROR(INDEX(Scénarios!$B$2:$AI$232,MATCH($S71,Scénarios!$AI$2:$AI$232,0),MATCH(U$4,Scénarios!$B$4:$AI$4,0)),"-")</f>
        <v>-</v>
      </c>
      <c r="V71" s="588" t="str">
        <f>IFERROR(INDEX(Scénarios!$B$2:$AI$232,MATCH($S71,Scénarios!$AI$2:$AI$232,0),MATCH(V$4,Scénarios!$B$4:$AI$4,0)),"-")</f>
        <v>-</v>
      </c>
      <c r="W71" s="588" t="str">
        <f>IFERROR(INDEX(Scénarios!$B$2:$AI$232,MATCH($S71,Scénarios!$AI$2:$AI$232,0),MATCH(W$4,Scénarios!$B$4:$AI$4,0)),"-")</f>
        <v>-</v>
      </c>
      <c r="X71" s="588" t="str">
        <f>IFERROR(VLOOKUP(AD71,Expo!$D$4:$E$35,2,FALSE),"-")</f>
        <v>-</v>
      </c>
      <c r="Y71" s="859" t="str">
        <f>IFERROR(IF(INDEX(Scénarios!$B$2:$AI$232,MATCH($S71,Scénarios!$AI$2:$AI$232,0),MATCH(Y$4,Scénarios!$B$4:$AI$4,0))=0,"",INDEX(Scénarios!$B$2:$AI$232,MATCH($S71,Scénarios!$AI$2:$AI$232,0),MATCH(Y$4,Scénarios!$B$4:$AI$4,0))),"-")</f>
        <v>-</v>
      </c>
      <c r="Z71" s="589" t="str">
        <f>IFERROR(INDEX(Scénarios!$B$2:$AI$232,MATCH($S71,Scénarios!$AI$2:$AI$232,0),MATCH(Z$4,Scénarios!$B$4:$AI$4,0)),"-")</f>
        <v>-</v>
      </c>
      <c r="AA71" s="589" t="str">
        <f>IFERROR(INDEX(Scénarios!$B$2:$AI$232,MATCH($S71,Scénarios!$AI$2:$AI$232,0),MATCH(AA$4,Scénarios!$B$4:$AI$4,0)),"-")</f>
        <v>-</v>
      </c>
      <c r="AB71" s="586" t="str">
        <f>IFERROR(INDEX(Scénarios!$B$2:$AI$232,MATCH($S71,Scénarios!$AI$2:$AI$232,0),MATCH(AB$4,Scénarios!$B$4:$AI$4,0)),"-")</f>
        <v>-</v>
      </c>
      <c r="AC71" s="442" t="str">
        <f>IFERROR(INDEX(Tab_sel!$B$24:$C$27,MATCH($U71,Tab_sel!$C$24:$C$27,0),1),"-")</f>
        <v>-</v>
      </c>
      <c r="AD71" s="443" t="str">
        <f>IFERROR(INDEX(Scénarios!$B$2:$AI$232,MATCH($S71,Scénarios!$AI$2:$AI$232,0),MATCH(AD$4,Scénarios!$B$4:$AI$4,0)),"-")</f>
        <v>-</v>
      </c>
      <c r="AE71" s="460" t="str">
        <f>IFERROR(INDEX(Scénarios!$B$2:$AI$232,MATCH($S71,Scénarios!$AI$2:$AI$232,0),MATCH(AE$4,Scénarios!$B$4:$AI$4,0)),"-")</f>
        <v>-</v>
      </c>
      <c r="AF71" s="460" t="str">
        <f>IFERROR(INDEX(Scénarios!$B$2:$AI$232,MATCH($S71,Scénarios!$AI$2:$AI$232,0),MATCH(AF$4,Scénarios!$B$4:$AI$4,0)),"-")</f>
        <v>-</v>
      </c>
      <c r="AG71" s="460" t="str">
        <f>IFERROR(INDEX(Scénarios!$B$2:$AI$232,MATCH($S71,Scénarios!$AI$2:$AI$232,0),MATCH(AG$4,Scénarios!$B$4:$AI$4,0)),"-")</f>
        <v>-</v>
      </c>
      <c r="AH71" s="460" t="str">
        <f>IFERROR(INDEX(Scénarios!$B$2:$AI$232,MATCH($S71,Scénarios!$AI$2:$AI$232,0),MATCH(AH$4,Scénarios!$B$4:$AI$4,0)),"-")</f>
        <v>-</v>
      </c>
      <c r="AI71" s="443" t="str">
        <f>IFERROR(INDEX(Scénarios!$B$2:$AI$232,MATCH($S71,Scénarios!$AI$2:$AI$232,0),MATCH(AI$4,Scénarios!$B$4:$AI$4,0)),"-")</f>
        <v>-</v>
      </c>
      <c r="AJ71" s="443" t="str">
        <f>IFERROR(INDEX(Param!$A$3:$C$7,MATCH($AI71,Param!$C$3:$C$7,0),1),"-")</f>
        <v>-</v>
      </c>
      <c r="AK71" s="443" t="str">
        <f>IFERROR(INDEX(Scénarios!$B$2:$AI$232,MATCH($S71,Scénarios!$AI$2:$AI$232,0),MATCH(AK$4,Scénarios!$B$4:$AI$4,0)),"-")</f>
        <v>-</v>
      </c>
      <c r="AL71" s="443" t="str">
        <f>IFERROR(INDEX(Scénarios!$B$2:$AI$232,MATCH($S71,Scénarios!$AI$2:$AI$232,0),MATCH(AL$4,Scénarios!$B$4:$AI$4,0)),"-")</f>
        <v>-</v>
      </c>
      <c r="AM71" s="443" t="str">
        <f>IFERROR(INDEX(Param!$A$10:$C$14,MATCH($AL71,Param!$C$10:$C$14,0),1),"-")</f>
        <v>-</v>
      </c>
      <c r="AN71" s="443" t="str">
        <f>IFERROR(IF(INDEX(Scénarios!$B$2:$AI$232,MATCH($S71,Scénarios!$AI$2:$AI$232,0),MATCH(AN$4,Scénarios!$B$4:$AI$4,0))=0,"",INDEX(Scénarios!$B$2:$AI$232,MATCH($S71,Scénarios!$AI$2:$AI$232,0),MATCH(AN$4,Scénarios!$B$4:$AI$4,0))),"-")</f>
        <v>-</v>
      </c>
      <c r="AO71" s="443" t="str">
        <f>IFERROR(INDEX(Scénarios!$B$2:$AI$232,MATCH($S71,Scénarios!$AI$2:$AI$232,0),MATCH(AO$4,Scénarios!$B$4:$AI$4,0)),"-")</f>
        <v>-</v>
      </c>
      <c r="AP71" s="443" t="str">
        <f>IFERROR(INDEX(Param!$A$17:$C$21,MATCH($AO71,Param!$C$17:$C$21,0),1),"-")</f>
        <v>-</v>
      </c>
      <c r="AQ71" s="443" t="str">
        <f>IFERROR(IF(INDEX(Scénarios!$B$2:$AI$232,MATCH($S71,Scénarios!$AI$2:$AI$232,0),MATCH(AQ$4,Scénarios!$B$4:$AI$4,0))=0,"",INDEX(Scénarios!$B$2:$AI$232,MATCH($S71,Scénarios!$AI$2:$AI$232,0),MATCH(AQ$4,Scénarios!$B$4:$AI$4,0))),"-")</f>
        <v>-</v>
      </c>
      <c r="AR71" s="443" t="str">
        <f>IFERROR(INDEX(Scénarios!$B$2:$AI$232,MATCH($S71,Scénarios!$AI$2:$AI$232,0),MATCH(AR$4,Scénarios!$B$4:$AI$4,0)),"-")</f>
        <v>-</v>
      </c>
      <c r="AS71" s="443" t="str">
        <f>IFERROR(INDEX(Param!$A$24:$C$28,MATCH($AR71,Param!$C$24:$C$28,0),1),"-")</f>
        <v>-</v>
      </c>
      <c r="AT71" s="443" t="str">
        <f>IFERROR(IF(INDEX(Scénarios!$B$2:$AI$232,MATCH($S71,Scénarios!$AI$2:$AI$232,0),MATCH(AT$4,Scénarios!$B$4:$AI$4,0))=0,"",INDEX(Scénarios!$B$2:$AI$232,MATCH($S71,Scénarios!$AI$2:$AI$232,0),MATCH(AT$4,Scénarios!$B$4:$AI$4,0))),"-")</f>
        <v>-</v>
      </c>
      <c r="AU71" s="462" t="str">
        <f>IFERROR(INDEX(Scénarios!$B$2:$AI$232,MATCH($S71,Scénarios!$AI$2:$AI$232,0),MATCH(AU$4,Scénarios!$B$4:$AI$4,0)),"-")</f>
        <v>-</v>
      </c>
      <c r="AV71" s="462" t="str">
        <f>IFERROR(INDEX(Scénarios!$B$2:$AI$232,MATCH($S71,Scénarios!$AI$2:$AI$232,0),MATCH(AV$4,Scénarios!$B$4:$AI$4,0)),"-")</f>
        <v>-</v>
      </c>
      <c r="AW71" s="462" t="str">
        <f>IFERROR(INDEX(Scénarios!$B$2:$AI$232,MATCH($S71,Scénarios!$AI$2:$AI$232,0),MATCH(AW$4,Scénarios!$B$4:$AI$4,0)),"-")</f>
        <v>-</v>
      </c>
      <c r="AX71" s="462" t="str">
        <f>IFERROR(INDEX(Scénarios!$B$2:$AI$232,MATCH($S71,Scénarios!$AI$2:$AI$232,0),MATCH(AX$4,Scénarios!$B$4:$AI$4,0)),"-")</f>
        <v>-</v>
      </c>
      <c r="AY71" s="443" t="str">
        <f>IFERROR(INDEX(Scénarios!$B$2:$AI$232,MATCH($S71,Scénarios!$AI$2:$AI$232,0),MATCH(AY$4,Scénarios!$B$4:$AI$4,0)),"-")</f>
        <v>-</v>
      </c>
      <c r="AZ71" s="588" t="str">
        <f>IFERROR(INDEX(Param!$A$31:$C$35,MATCH($AY71,Param!$C$31:$C$35,0),1),"-")</f>
        <v>-</v>
      </c>
      <c r="BA71" s="588" t="str">
        <f>IFERROR(IF(INDEX(Scénarios!$B$2:$AI$232,MATCH($S71,Scénarios!$AI$2:$AI$232,0),MATCH(BA$4,Scénarios!$B$4:$AI$4,0))=0,"",INDEX(Scénarios!$B$2:$AI$232,MATCH($S71,Scénarios!$AI$2:$AI$232,0),MATCH(BA$4,Scénarios!$B$4:$AI$4,0))),"-")</f>
        <v>-</v>
      </c>
      <c r="BB71" s="443" t="str">
        <f>IFERROR(IF(INDEX(Scénarios!$B$2:$AK$237,MATCH($S71,Scénarios!$AI$2:$AI$237,0),MATCH(BB$4,Scénarios!$B$4:$AK$4,0))=0,"",INDEX(Scénarios!$B$2:$AK$237,MATCH($S71,Scénarios!$AI$2:$AI$237,0),MATCH(BB$4,Scénarios!$B$4:$AK$4,0))),"-")</f>
        <v>-</v>
      </c>
      <c r="BC71" s="443" t="str">
        <f>IFERROR(INDEX(Scénarios!$B$2:$AV$232,MATCH($S71,Scénarios!$AI$2:$AI$232,0),MATCH(BC$4,Scénarios!$B$4:$AV$4,0)),"-")</f>
        <v>-</v>
      </c>
    </row>
    <row r="72" spans="15:55" ht="25.5" customHeight="1" x14ac:dyDescent="0.25">
      <c r="O72" s="604" t="str">
        <f t="shared" si="1"/>
        <v>Fiche R68 sans décision :
Veuillez ajouter une décision</v>
      </c>
      <c r="P72" s="609" t="s">
        <v>2188</v>
      </c>
      <c r="Q72" s="605" t="s">
        <v>2067</v>
      </c>
      <c r="R72" s="585" t="s">
        <v>2068</v>
      </c>
      <c r="S72" s="587" t="s">
        <v>2106</v>
      </c>
      <c r="T72" s="588" t="str">
        <f>IFERROR(INDEX(Tab_sel!$B$7:$C$18,MATCH($AB72,Tab_sel!$C$7:$C$18,0),1),"-")</f>
        <v>-</v>
      </c>
      <c r="U72" s="589" t="str">
        <f>IFERROR(INDEX(Scénarios!$B$2:$AI$232,MATCH($S72,Scénarios!$AI$2:$AI$232,0),MATCH(U$4,Scénarios!$B$4:$AI$4,0)),"-")</f>
        <v>-</v>
      </c>
      <c r="V72" s="588" t="str">
        <f>IFERROR(INDEX(Scénarios!$B$2:$AI$232,MATCH($S72,Scénarios!$AI$2:$AI$232,0),MATCH(V$4,Scénarios!$B$4:$AI$4,0)),"-")</f>
        <v>-</v>
      </c>
      <c r="W72" s="588" t="str">
        <f>IFERROR(INDEX(Scénarios!$B$2:$AI$232,MATCH($S72,Scénarios!$AI$2:$AI$232,0),MATCH(W$4,Scénarios!$B$4:$AI$4,0)),"-")</f>
        <v>-</v>
      </c>
      <c r="X72" s="588" t="str">
        <f>IFERROR(VLOOKUP(AD72,Expo!$D$4:$E$35,2,FALSE),"-")</f>
        <v>-</v>
      </c>
      <c r="Y72" s="859" t="str">
        <f>IFERROR(IF(INDEX(Scénarios!$B$2:$AI$232,MATCH($S72,Scénarios!$AI$2:$AI$232,0),MATCH(Y$4,Scénarios!$B$4:$AI$4,0))=0,"",INDEX(Scénarios!$B$2:$AI$232,MATCH($S72,Scénarios!$AI$2:$AI$232,0),MATCH(Y$4,Scénarios!$B$4:$AI$4,0))),"-")</f>
        <v>-</v>
      </c>
      <c r="Z72" s="589" t="str">
        <f>IFERROR(INDEX(Scénarios!$B$2:$AI$232,MATCH($S72,Scénarios!$AI$2:$AI$232,0),MATCH(Z$4,Scénarios!$B$4:$AI$4,0)),"-")</f>
        <v>-</v>
      </c>
      <c r="AA72" s="589" t="str">
        <f>IFERROR(INDEX(Scénarios!$B$2:$AI$232,MATCH($S72,Scénarios!$AI$2:$AI$232,0),MATCH(AA$4,Scénarios!$B$4:$AI$4,0)),"-")</f>
        <v>-</v>
      </c>
      <c r="AB72" s="586" t="str">
        <f>IFERROR(INDEX(Scénarios!$B$2:$AI$232,MATCH($S72,Scénarios!$AI$2:$AI$232,0),MATCH(AB$4,Scénarios!$B$4:$AI$4,0)),"-")</f>
        <v>-</v>
      </c>
      <c r="AC72" s="442" t="str">
        <f>IFERROR(INDEX(Tab_sel!$B$24:$C$27,MATCH($U72,Tab_sel!$C$24:$C$27,0),1),"-")</f>
        <v>-</v>
      </c>
      <c r="AD72" s="443" t="str">
        <f>IFERROR(INDEX(Scénarios!$B$2:$AI$232,MATCH($S72,Scénarios!$AI$2:$AI$232,0),MATCH(AD$4,Scénarios!$B$4:$AI$4,0)),"-")</f>
        <v>-</v>
      </c>
      <c r="AE72" s="460" t="str">
        <f>IFERROR(INDEX(Scénarios!$B$2:$AI$232,MATCH($S72,Scénarios!$AI$2:$AI$232,0),MATCH(AE$4,Scénarios!$B$4:$AI$4,0)),"-")</f>
        <v>-</v>
      </c>
      <c r="AF72" s="460" t="str">
        <f>IFERROR(INDEX(Scénarios!$B$2:$AI$232,MATCH($S72,Scénarios!$AI$2:$AI$232,0),MATCH(AF$4,Scénarios!$B$4:$AI$4,0)),"-")</f>
        <v>-</v>
      </c>
      <c r="AG72" s="460" t="str">
        <f>IFERROR(INDEX(Scénarios!$B$2:$AI$232,MATCH($S72,Scénarios!$AI$2:$AI$232,0),MATCH(AG$4,Scénarios!$B$4:$AI$4,0)),"-")</f>
        <v>-</v>
      </c>
      <c r="AH72" s="460" t="str">
        <f>IFERROR(INDEX(Scénarios!$B$2:$AI$232,MATCH($S72,Scénarios!$AI$2:$AI$232,0),MATCH(AH$4,Scénarios!$B$4:$AI$4,0)),"-")</f>
        <v>-</v>
      </c>
      <c r="AI72" s="443" t="str">
        <f>IFERROR(INDEX(Scénarios!$B$2:$AI$232,MATCH($S72,Scénarios!$AI$2:$AI$232,0),MATCH(AI$4,Scénarios!$B$4:$AI$4,0)),"-")</f>
        <v>-</v>
      </c>
      <c r="AJ72" s="443" t="str">
        <f>IFERROR(INDEX(Param!$A$3:$C$7,MATCH($AI72,Param!$C$3:$C$7,0),1),"-")</f>
        <v>-</v>
      </c>
      <c r="AK72" s="443" t="str">
        <f>IFERROR(INDEX(Scénarios!$B$2:$AI$232,MATCH($S72,Scénarios!$AI$2:$AI$232,0),MATCH(AK$4,Scénarios!$B$4:$AI$4,0)),"-")</f>
        <v>-</v>
      </c>
      <c r="AL72" s="443" t="str">
        <f>IFERROR(INDEX(Scénarios!$B$2:$AI$232,MATCH($S72,Scénarios!$AI$2:$AI$232,0),MATCH(AL$4,Scénarios!$B$4:$AI$4,0)),"-")</f>
        <v>-</v>
      </c>
      <c r="AM72" s="443" t="str">
        <f>IFERROR(INDEX(Param!$A$10:$C$14,MATCH($AL72,Param!$C$10:$C$14,0),1),"-")</f>
        <v>-</v>
      </c>
      <c r="AN72" s="443" t="str">
        <f>IFERROR(IF(INDEX(Scénarios!$B$2:$AI$232,MATCH($S72,Scénarios!$AI$2:$AI$232,0),MATCH(AN$4,Scénarios!$B$4:$AI$4,0))=0,"",INDEX(Scénarios!$B$2:$AI$232,MATCH($S72,Scénarios!$AI$2:$AI$232,0),MATCH(AN$4,Scénarios!$B$4:$AI$4,0))),"-")</f>
        <v>-</v>
      </c>
      <c r="AO72" s="443" t="str">
        <f>IFERROR(INDEX(Scénarios!$B$2:$AI$232,MATCH($S72,Scénarios!$AI$2:$AI$232,0),MATCH(AO$4,Scénarios!$B$4:$AI$4,0)),"-")</f>
        <v>-</v>
      </c>
      <c r="AP72" s="443" t="str">
        <f>IFERROR(INDEX(Param!$A$17:$C$21,MATCH($AO72,Param!$C$17:$C$21,0),1),"-")</f>
        <v>-</v>
      </c>
      <c r="AQ72" s="443" t="str">
        <f>IFERROR(IF(INDEX(Scénarios!$B$2:$AI$232,MATCH($S72,Scénarios!$AI$2:$AI$232,0),MATCH(AQ$4,Scénarios!$B$4:$AI$4,0))=0,"",INDEX(Scénarios!$B$2:$AI$232,MATCH($S72,Scénarios!$AI$2:$AI$232,0),MATCH(AQ$4,Scénarios!$B$4:$AI$4,0))),"-")</f>
        <v>-</v>
      </c>
      <c r="AR72" s="443" t="str">
        <f>IFERROR(INDEX(Scénarios!$B$2:$AI$232,MATCH($S72,Scénarios!$AI$2:$AI$232,0),MATCH(AR$4,Scénarios!$B$4:$AI$4,0)),"-")</f>
        <v>-</v>
      </c>
      <c r="AS72" s="443" t="str">
        <f>IFERROR(INDEX(Param!$A$24:$C$28,MATCH($AR72,Param!$C$24:$C$28,0),1),"-")</f>
        <v>-</v>
      </c>
      <c r="AT72" s="443" t="str">
        <f>IFERROR(IF(INDEX(Scénarios!$B$2:$AI$232,MATCH($S72,Scénarios!$AI$2:$AI$232,0),MATCH(AT$4,Scénarios!$B$4:$AI$4,0))=0,"",INDEX(Scénarios!$B$2:$AI$232,MATCH($S72,Scénarios!$AI$2:$AI$232,0),MATCH(AT$4,Scénarios!$B$4:$AI$4,0))),"-")</f>
        <v>-</v>
      </c>
      <c r="AU72" s="462" t="str">
        <f>IFERROR(INDEX(Scénarios!$B$2:$AI$232,MATCH($S72,Scénarios!$AI$2:$AI$232,0),MATCH(AU$4,Scénarios!$B$4:$AI$4,0)),"-")</f>
        <v>-</v>
      </c>
      <c r="AV72" s="462" t="str">
        <f>IFERROR(INDEX(Scénarios!$B$2:$AI$232,MATCH($S72,Scénarios!$AI$2:$AI$232,0),MATCH(AV$4,Scénarios!$B$4:$AI$4,0)),"-")</f>
        <v>-</v>
      </c>
      <c r="AW72" s="462" t="str">
        <f>IFERROR(INDEX(Scénarios!$B$2:$AI$232,MATCH($S72,Scénarios!$AI$2:$AI$232,0),MATCH(AW$4,Scénarios!$B$4:$AI$4,0)),"-")</f>
        <v>-</v>
      </c>
      <c r="AX72" s="462" t="str">
        <f>IFERROR(INDEX(Scénarios!$B$2:$AI$232,MATCH($S72,Scénarios!$AI$2:$AI$232,0),MATCH(AX$4,Scénarios!$B$4:$AI$4,0)),"-")</f>
        <v>-</v>
      </c>
      <c r="AY72" s="443" t="str">
        <f>IFERROR(INDEX(Scénarios!$B$2:$AI$232,MATCH($S72,Scénarios!$AI$2:$AI$232,0),MATCH(AY$4,Scénarios!$B$4:$AI$4,0)),"-")</f>
        <v>-</v>
      </c>
      <c r="AZ72" s="588" t="str">
        <f>IFERROR(INDEX(Param!$A$31:$C$35,MATCH($AY72,Param!$C$31:$C$35,0),1),"-")</f>
        <v>-</v>
      </c>
      <c r="BA72" s="588" t="str">
        <f>IFERROR(IF(INDEX(Scénarios!$B$2:$AI$232,MATCH($S72,Scénarios!$AI$2:$AI$232,0),MATCH(BA$4,Scénarios!$B$4:$AI$4,0))=0,"",INDEX(Scénarios!$B$2:$AI$232,MATCH($S72,Scénarios!$AI$2:$AI$232,0),MATCH(BA$4,Scénarios!$B$4:$AI$4,0))),"-")</f>
        <v>-</v>
      </c>
      <c r="BB72" s="443" t="str">
        <f>IFERROR(IF(INDEX(Scénarios!$B$2:$AK$237,MATCH($S72,Scénarios!$AI$2:$AI$237,0),MATCH(BB$4,Scénarios!$B$4:$AK$4,0))=0,"",INDEX(Scénarios!$B$2:$AK$237,MATCH($S72,Scénarios!$AI$2:$AI$237,0),MATCH(BB$4,Scénarios!$B$4:$AK$4,0))),"-")</f>
        <v>-</v>
      </c>
      <c r="BC72" s="443" t="str">
        <f>IFERROR(INDEX(Scénarios!$B$2:$AV$232,MATCH($S72,Scénarios!$AI$2:$AI$232,0),MATCH(BC$4,Scénarios!$B$4:$AV$4,0)),"-")</f>
        <v>-</v>
      </c>
    </row>
    <row r="73" spans="15:55" ht="25.5" customHeight="1" x14ac:dyDescent="0.25">
      <c r="O73" s="604" t="str">
        <f t="shared" si="1"/>
        <v>Fiche R69 sans décision :
Veuillez ajouter une décision</v>
      </c>
      <c r="P73" s="609" t="s">
        <v>2188</v>
      </c>
      <c r="Q73" s="605" t="s">
        <v>2067</v>
      </c>
      <c r="R73" s="585" t="s">
        <v>2068</v>
      </c>
      <c r="S73" s="587" t="s">
        <v>2107</v>
      </c>
      <c r="T73" s="588" t="str">
        <f>IFERROR(INDEX(Tab_sel!$B$7:$C$18,MATCH($AB73,Tab_sel!$C$7:$C$18,0),1),"-")</f>
        <v>-</v>
      </c>
      <c r="U73" s="589" t="str">
        <f>IFERROR(INDEX(Scénarios!$B$2:$AI$232,MATCH($S73,Scénarios!$AI$2:$AI$232,0),MATCH(U$4,Scénarios!$B$4:$AI$4,0)),"-")</f>
        <v>-</v>
      </c>
      <c r="V73" s="588" t="str">
        <f>IFERROR(INDEX(Scénarios!$B$2:$AI$232,MATCH($S73,Scénarios!$AI$2:$AI$232,0),MATCH(V$4,Scénarios!$B$4:$AI$4,0)),"-")</f>
        <v>-</v>
      </c>
      <c r="W73" s="588" t="str">
        <f>IFERROR(INDEX(Scénarios!$B$2:$AI$232,MATCH($S73,Scénarios!$AI$2:$AI$232,0),MATCH(W$4,Scénarios!$B$4:$AI$4,0)),"-")</f>
        <v>-</v>
      </c>
      <c r="X73" s="588" t="str">
        <f>IFERROR(VLOOKUP(AD73,Expo!$D$4:$E$35,2,FALSE),"-")</f>
        <v>-</v>
      </c>
      <c r="Y73" s="859" t="str">
        <f>IFERROR(IF(INDEX(Scénarios!$B$2:$AI$232,MATCH($S73,Scénarios!$AI$2:$AI$232,0),MATCH(Y$4,Scénarios!$B$4:$AI$4,0))=0,"",INDEX(Scénarios!$B$2:$AI$232,MATCH($S73,Scénarios!$AI$2:$AI$232,0),MATCH(Y$4,Scénarios!$B$4:$AI$4,0))),"-")</f>
        <v>-</v>
      </c>
      <c r="Z73" s="589" t="str">
        <f>IFERROR(INDEX(Scénarios!$B$2:$AI$232,MATCH($S73,Scénarios!$AI$2:$AI$232,0),MATCH(Z$4,Scénarios!$B$4:$AI$4,0)),"-")</f>
        <v>-</v>
      </c>
      <c r="AA73" s="589" t="str">
        <f>IFERROR(INDEX(Scénarios!$B$2:$AI$232,MATCH($S73,Scénarios!$AI$2:$AI$232,0),MATCH(AA$4,Scénarios!$B$4:$AI$4,0)),"-")</f>
        <v>-</v>
      </c>
      <c r="AB73" s="586" t="str">
        <f>IFERROR(INDEX(Scénarios!$B$2:$AI$232,MATCH($S73,Scénarios!$AI$2:$AI$232,0),MATCH(AB$4,Scénarios!$B$4:$AI$4,0)),"-")</f>
        <v>-</v>
      </c>
      <c r="AC73" s="442" t="str">
        <f>IFERROR(INDEX(Tab_sel!$B$24:$C$27,MATCH($U73,Tab_sel!$C$24:$C$27,0),1),"-")</f>
        <v>-</v>
      </c>
      <c r="AD73" s="443" t="str">
        <f>IFERROR(INDEX(Scénarios!$B$2:$AI$232,MATCH($S73,Scénarios!$AI$2:$AI$232,0),MATCH(AD$4,Scénarios!$B$4:$AI$4,0)),"-")</f>
        <v>-</v>
      </c>
      <c r="AE73" s="460" t="str">
        <f>IFERROR(INDEX(Scénarios!$B$2:$AI$232,MATCH($S73,Scénarios!$AI$2:$AI$232,0),MATCH(AE$4,Scénarios!$B$4:$AI$4,0)),"-")</f>
        <v>-</v>
      </c>
      <c r="AF73" s="460" t="str">
        <f>IFERROR(INDEX(Scénarios!$B$2:$AI$232,MATCH($S73,Scénarios!$AI$2:$AI$232,0),MATCH(AF$4,Scénarios!$B$4:$AI$4,0)),"-")</f>
        <v>-</v>
      </c>
      <c r="AG73" s="460" t="str">
        <f>IFERROR(INDEX(Scénarios!$B$2:$AI$232,MATCH($S73,Scénarios!$AI$2:$AI$232,0),MATCH(AG$4,Scénarios!$B$4:$AI$4,0)),"-")</f>
        <v>-</v>
      </c>
      <c r="AH73" s="460" t="str">
        <f>IFERROR(INDEX(Scénarios!$B$2:$AI$232,MATCH($S73,Scénarios!$AI$2:$AI$232,0),MATCH(AH$4,Scénarios!$B$4:$AI$4,0)),"-")</f>
        <v>-</v>
      </c>
      <c r="AI73" s="443" t="str">
        <f>IFERROR(INDEX(Scénarios!$B$2:$AI$232,MATCH($S73,Scénarios!$AI$2:$AI$232,0),MATCH(AI$4,Scénarios!$B$4:$AI$4,0)),"-")</f>
        <v>-</v>
      </c>
      <c r="AJ73" s="443" t="str">
        <f>IFERROR(INDEX(Param!$A$3:$C$7,MATCH($AI73,Param!$C$3:$C$7,0),1),"-")</f>
        <v>-</v>
      </c>
      <c r="AK73" s="443" t="str">
        <f>IFERROR(INDEX(Scénarios!$B$2:$AI$232,MATCH($S73,Scénarios!$AI$2:$AI$232,0),MATCH(AK$4,Scénarios!$B$4:$AI$4,0)),"-")</f>
        <v>-</v>
      </c>
      <c r="AL73" s="443" t="str">
        <f>IFERROR(INDEX(Scénarios!$B$2:$AI$232,MATCH($S73,Scénarios!$AI$2:$AI$232,0),MATCH(AL$4,Scénarios!$B$4:$AI$4,0)),"-")</f>
        <v>-</v>
      </c>
      <c r="AM73" s="443" t="str">
        <f>IFERROR(INDEX(Param!$A$10:$C$14,MATCH($AL73,Param!$C$10:$C$14,0),1),"-")</f>
        <v>-</v>
      </c>
      <c r="AN73" s="443" t="str">
        <f>IFERROR(IF(INDEX(Scénarios!$B$2:$AI$232,MATCH($S73,Scénarios!$AI$2:$AI$232,0),MATCH(AN$4,Scénarios!$B$4:$AI$4,0))=0,"",INDEX(Scénarios!$B$2:$AI$232,MATCH($S73,Scénarios!$AI$2:$AI$232,0),MATCH(AN$4,Scénarios!$B$4:$AI$4,0))),"-")</f>
        <v>-</v>
      </c>
      <c r="AO73" s="443" t="str">
        <f>IFERROR(INDEX(Scénarios!$B$2:$AI$232,MATCH($S73,Scénarios!$AI$2:$AI$232,0),MATCH(AO$4,Scénarios!$B$4:$AI$4,0)),"-")</f>
        <v>-</v>
      </c>
      <c r="AP73" s="443" t="str">
        <f>IFERROR(INDEX(Param!$A$17:$C$21,MATCH($AO73,Param!$C$17:$C$21,0),1),"-")</f>
        <v>-</v>
      </c>
      <c r="AQ73" s="443" t="str">
        <f>IFERROR(IF(INDEX(Scénarios!$B$2:$AI$232,MATCH($S73,Scénarios!$AI$2:$AI$232,0),MATCH(AQ$4,Scénarios!$B$4:$AI$4,0))=0,"",INDEX(Scénarios!$B$2:$AI$232,MATCH($S73,Scénarios!$AI$2:$AI$232,0),MATCH(AQ$4,Scénarios!$B$4:$AI$4,0))),"-")</f>
        <v>-</v>
      </c>
      <c r="AR73" s="443" t="str">
        <f>IFERROR(INDEX(Scénarios!$B$2:$AI$232,MATCH($S73,Scénarios!$AI$2:$AI$232,0),MATCH(AR$4,Scénarios!$B$4:$AI$4,0)),"-")</f>
        <v>-</v>
      </c>
      <c r="AS73" s="443" t="str">
        <f>IFERROR(INDEX(Param!$A$24:$C$28,MATCH($AR73,Param!$C$24:$C$28,0),1),"-")</f>
        <v>-</v>
      </c>
      <c r="AT73" s="443" t="str">
        <f>IFERROR(IF(INDEX(Scénarios!$B$2:$AI$232,MATCH($S73,Scénarios!$AI$2:$AI$232,0),MATCH(AT$4,Scénarios!$B$4:$AI$4,0))=0,"",INDEX(Scénarios!$B$2:$AI$232,MATCH($S73,Scénarios!$AI$2:$AI$232,0),MATCH(AT$4,Scénarios!$B$4:$AI$4,0))),"-")</f>
        <v>-</v>
      </c>
      <c r="AU73" s="462" t="str">
        <f>IFERROR(INDEX(Scénarios!$B$2:$AI$232,MATCH($S73,Scénarios!$AI$2:$AI$232,0),MATCH(AU$4,Scénarios!$B$4:$AI$4,0)),"-")</f>
        <v>-</v>
      </c>
      <c r="AV73" s="462" t="str">
        <f>IFERROR(INDEX(Scénarios!$B$2:$AI$232,MATCH($S73,Scénarios!$AI$2:$AI$232,0),MATCH(AV$4,Scénarios!$B$4:$AI$4,0)),"-")</f>
        <v>-</v>
      </c>
      <c r="AW73" s="462" t="str">
        <f>IFERROR(INDEX(Scénarios!$B$2:$AI$232,MATCH($S73,Scénarios!$AI$2:$AI$232,0),MATCH(AW$4,Scénarios!$B$4:$AI$4,0)),"-")</f>
        <v>-</v>
      </c>
      <c r="AX73" s="462" t="str">
        <f>IFERROR(INDEX(Scénarios!$B$2:$AI$232,MATCH($S73,Scénarios!$AI$2:$AI$232,0),MATCH(AX$4,Scénarios!$B$4:$AI$4,0)),"-")</f>
        <v>-</v>
      </c>
      <c r="AY73" s="443" t="str">
        <f>IFERROR(INDEX(Scénarios!$B$2:$AI$232,MATCH($S73,Scénarios!$AI$2:$AI$232,0),MATCH(AY$4,Scénarios!$B$4:$AI$4,0)),"-")</f>
        <v>-</v>
      </c>
      <c r="AZ73" s="588" t="str">
        <f>IFERROR(INDEX(Param!$A$31:$C$35,MATCH($AY73,Param!$C$31:$C$35,0),1),"-")</f>
        <v>-</v>
      </c>
      <c r="BA73" s="588" t="str">
        <f>IFERROR(IF(INDEX(Scénarios!$B$2:$AI$232,MATCH($S73,Scénarios!$AI$2:$AI$232,0),MATCH(BA$4,Scénarios!$B$4:$AI$4,0))=0,"",INDEX(Scénarios!$B$2:$AI$232,MATCH($S73,Scénarios!$AI$2:$AI$232,0),MATCH(BA$4,Scénarios!$B$4:$AI$4,0))),"-")</f>
        <v>-</v>
      </c>
      <c r="BB73" s="443" t="str">
        <f>IFERROR(IF(INDEX(Scénarios!$B$2:$AK$237,MATCH($S73,Scénarios!$AI$2:$AI$237,0),MATCH(BB$4,Scénarios!$B$4:$AK$4,0))=0,"",INDEX(Scénarios!$B$2:$AK$237,MATCH($S73,Scénarios!$AI$2:$AI$237,0),MATCH(BB$4,Scénarios!$B$4:$AK$4,0))),"-")</f>
        <v>-</v>
      </c>
      <c r="BC73" s="443" t="str">
        <f>IFERROR(INDEX(Scénarios!$B$2:$AV$232,MATCH($S73,Scénarios!$AI$2:$AI$232,0),MATCH(BC$4,Scénarios!$B$4:$AV$4,0)),"-")</f>
        <v>-</v>
      </c>
    </row>
    <row r="74" spans="15:55" ht="25.5" customHeight="1" x14ac:dyDescent="0.25">
      <c r="O74" s="604" t="str">
        <f t="shared" si="1"/>
        <v>Fiche R70 sans décision :
Veuillez ajouter une décision</v>
      </c>
      <c r="P74" s="609" t="s">
        <v>2188</v>
      </c>
      <c r="Q74" s="605" t="s">
        <v>2067</v>
      </c>
      <c r="R74" s="585" t="s">
        <v>2068</v>
      </c>
      <c r="S74" s="587" t="s">
        <v>2108</v>
      </c>
      <c r="T74" s="588" t="str">
        <f>IFERROR(INDEX(Tab_sel!$B$7:$C$18,MATCH($AB74,Tab_sel!$C$7:$C$18,0),1),"-")</f>
        <v>-</v>
      </c>
      <c r="U74" s="589" t="str">
        <f>IFERROR(INDEX(Scénarios!$B$2:$AI$232,MATCH($S74,Scénarios!$AI$2:$AI$232,0),MATCH(U$4,Scénarios!$B$4:$AI$4,0)),"-")</f>
        <v>-</v>
      </c>
      <c r="V74" s="588" t="str">
        <f>IFERROR(INDEX(Scénarios!$B$2:$AI$232,MATCH($S74,Scénarios!$AI$2:$AI$232,0),MATCH(V$4,Scénarios!$B$4:$AI$4,0)),"-")</f>
        <v>-</v>
      </c>
      <c r="W74" s="588" t="str">
        <f>IFERROR(INDEX(Scénarios!$B$2:$AI$232,MATCH($S74,Scénarios!$AI$2:$AI$232,0),MATCH(W$4,Scénarios!$B$4:$AI$4,0)),"-")</f>
        <v>-</v>
      </c>
      <c r="X74" s="588" t="str">
        <f>IFERROR(VLOOKUP(AD74,Expo!$D$4:$E$35,2,FALSE),"-")</f>
        <v>-</v>
      </c>
      <c r="Y74" s="859" t="str">
        <f>IFERROR(IF(INDEX(Scénarios!$B$2:$AI$232,MATCH($S74,Scénarios!$AI$2:$AI$232,0),MATCH(Y$4,Scénarios!$B$4:$AI$4,0))=0,"",INDEX(Scénarios!$B$2:$AI$232,MATCH($S74,Scénarios!$AI$2:$AI$232,0),MATCH(Y$4,Scénarios!$B$4:$AI$4,0))),"-")</f>
        <v>-</v>
      </c>
      <c r="Z74" s="589" t="str">
        <f>IFERROR(INDEX(Scénarios!$B$2:$AI$232,MATCH($S74,Scénarios!$AI$2:$AI$232,0),MATCH(Z$4,Scénarios!$B$4:$AI$4,0)),"-")</f>
        <v>-</v>
      </c>
      <c r="AA74" s="589" t="str">
        <f>IFERROR(INDEX(Scénarios!$B$2:$AI$232,MATCH($S74,Scénarios!$AI$2:$AI$232,0),MATCH(AA$4,Scénarios!$B$4:$AI$4,0)),"-")</f>
        <v>-</v>
      </c>
      <c r="AB74" s="586" t="str">
        <f>IFERROR(INDEX(Scénarios!$B$2:$AI$232,MATCH($S74,Scénarios!$AI$2:$AI$232,0),MATCH(AB$4,Scénarios!$B$4:$AI$4,0)),"-")</f>
        <v>-</v>
      </c>
      <c r="AC74" s="442" t="str">
        <f>IFERROR(INDEX(Tab_sel!$B$24:$C$27,MATCH($U74,Tab_sel!$C$24:$C$27,0),1),"-")</f>
        <v>-</v>
      </c>
      <c r="AD74" s="443" t="str">
        <f>IFERROR(INDEX(Scénarios!$B$2:$AI$232,MATCH($S74,Scénarios!$AI$2:$AI$232,0),MATCH(AD$4,Scénarios!$B$4:$AI$4,0)),"-")</f>
        <v>-</v>
      </c>
      <c r="AE74" s="460" t="str">
        <f>IFERROR(INDEX(Scénarios!$B$2:$AI$232,MATCH($S74,Scénarios!$AI$2:$AI$232,0),MATCH(AE$4,Scénarios!$B$4:$AI$4,0)),"-")</f>
        <v>-</v>
      </c>
      <c r="AF74" s="460" t="str">
        <f>IFERROR(INDEX(Scénarios!$B$2:$AI$232,MATCH($S74,Scénarios!$AI$2:$AI$232,0),MATCH(AF$4,Scénarios!$B$4:$AI$4,0)),"-")</f>
        <v>-</v>
      </c>
      <c r="AG74" s="460" t="str">
        <f>IFERROR(INDEX(Scénarios!$B$2:$AI$232,MATCH($S74,Scénarios!$AI$2:$AI$232,0),MATCH(AG$4,Scénarios!$B$4:$AI$4,0)),"-")</f>
        <v>-</v>
      </c>
      <c r="AH74" s="460" t="str">
        <f>IFERROR(INDEX(Scénarios!$B$2:$AI$232,MATCH($S74,Scénarios!$AI$2:$AI$232,0),MATCH(AH$4,Scénarios!$B$4:$AI$4,0)),"-")</f>
        <v>-</v>
      </c>
      <c r="AI74" s="443" t="str">
        <f>IFERROR(INDEX(Scénarios!$B$2:$AI$232,MATCH($S74,Scénarios!$AI$2:$AI$232,0),MATCH(AI$4,Scénarios!$B$4:$AI$4,0)),"-")</f>
        <v>-</v>
      </c>
      <c r="AJ74" s="443" t="str">
        <f>IFERROR(INDEX(Param!$A$3:$C$7,MATCH($AI74,Param!$C$3:$C$7,0),1),"-")</f>
        <v>-</v>
      </c>
      <c r="AK74" s="443" t="str">
        <f>IFERROR(INDEX(Scénarios!$B$2:$AI$232,MATCH($S74,Scénarios!$AI$2:$AI$232,0),MATCH(AK$4,Scénarios!$B$4:$AI$4,0)),"-")</f>
        <v>-</v>
      </c>
      <c r="AL74" s="443" t="str">
        <f>IFERROR(INDEX(Scénarios!$B$2:$AI$232,MATCH($S74,Scénarios!$AI$2:$AI$232,0),MATCH(AL$4,Scénarios!$B$4:$AI$4,0)),"-")</f>
        <v>-</v>
      </c>
      <c r="AM74" s="443" t="str">
        <f>IFERROR(INDEX(Param!$A$10:$C$14,MATCH($AL74,Param!$C$10:$C$14,0),1),"-")</f>
        <v>-</v>
      </c>
      <c r="AN74" s="443" t="str">
        <f>IFERROR(IF(INDEX(Scénarios!$B$2:$AI$232,MATCH($S74,Scénarios!$AI$2:$AI$232,0),MATCH(AN$4,Scénarios!$B$4:$AI$4,0))=0,"",INDEX(Scénarios!$B$2:$AI$232,MATCH($S74,Scénarios!$AI$2:$AI$232,0),MATCH(AN$4,Scénarios!$B$4:$AI$4,0))),"-")</f>
        <v>-</v>
      </c>
      <c r="AO74" s="443" t="str">
        <f>IFERROR(INDEX(Scénarios!$B$2:$AI$232,MATCH($S74,Scénarios!$AI$2:$AI$232,0),MATCH(AO$4,Scénarios!$B$4:$AI$4,0)),"-")</f>
        <v>-</v>
      </c>
      <c r="AP74" s="443" t="str">
        <f>IFERROR(INDEX(Param!$A$17:$C$21,MATCH($AO74,Param!$C$17:$C$21,0),1),"-")</f>
        <v>-</v>
      </c>
      <c r="AQ74" s="443" t="str">
        <f>IFERROR(IF(INDEX(Scénarios!$B$2:$AI$232,MATCH($S74,Scénarios!$AI$2:$AI$232,0),MATCH(AQ$4,Scénarios!$B$4:$AI$4,0))=0,"",INDEX(Scénarios!$B$2:$AI$232,MATCH($S74,Scénarios!$AI$2:$AI$232,0),MATCH(AQ$4,Scénarios!$B$4:$AI$4,0))),"-")</f>
        <v>-</v>
      </c>
      <c r="AR74" s="443" t="str">
        <f>IFERROR(INDEX(Scénarios!$B$2:$AI$232,MATCH($S74,Scénarios!$AI$2:$AI$232,0),MATCH(AR$4,Scénarios!$B$4:$AI$4,0)),"-")</f>
        <v>-</v>
      </c>
      <c r="AS74" s="443" t="str">
        <f>IFERROR(INDEX(Param!$A$24:$C$28,MATCH($AR74,Param!$C$24:$C$28,0),1),"-")</f>
        <v>-</v>
      </c>
      <c r="AT74" s="443" t="str">
        <f>IFERROR(IF(INDEX(Scénarios!$B$2:$AI$232,MATCH($S74,Scénarios!$AI$2:$AI$232,0),MATCH(AT$4,Scénarios!$B$4:$AI$4,0))=0,"",INDEX(Scénarios!$B$2:$AI$232,MATCH($S74,Scénarios!$AI$2:$AI$232,0),MATCH(AT$4,Scénarios!$B$4:$AI$4,0))),"-")</f>
        <v>-</v>
      </c>
      <c r="AU74" s="462" t="str">
        <f>IFERROR(INDEX(Scénarios!$B$2:$AI$232,MATCH($S74,Scénarios!$AI$2:$AI$232,0),MATCH(AU$4,Scénarios!$B$4:$AI$4,0)),"-")</f>
        <v>-</v>
      </c>
      <c r="AV74" s="462" t="str">
        <f>IFERROR(INDEX(Scénarios!$B$2:$AI$232,MATCH($S74,Scénarios!$AI$2:$AI$232,0),MATCH(AV$4,Scénarios!$B$4:$AI$4,0)),"-")</f>
        <v>-</v>
      </c>
      <c r="AW74" s="462" t="str">
        <f>IFERROR(INDEX(Scénarios!$B$2:$AI$232,MATCH($S74,Scénarios!$AI$2:$AI$232,0),MATCH(AW$4,Scénarios!$B$4:$AI$4,0)),"-")</f>
        <v>-</v>
      </c>
      <c r="AX74" s="462" t="str">
        <f>IFERROR(INDEX(Scénarios!$B$2:$AI$232,MATCH($S74,Scénarios!$AI$2:$AI$232,0),MATCH(AX$4,Scénarios!$B$4:$AI$4,0)),"-")</f>
        <v>-</v>
      </c>
      <c r="AY74" s="443" t="str">
        <f>IFERROR(INDEX(Scénarios!$B$2:$AI$232,MATCH($S74,Scénarios!$AI$2:$AI$232,0),MATCH(AY$4,Scénarios!$B$4:$AI$4,0)),"-")</f>
        <v>-</v>
      </c>
      <c r="AZ74" s="588" t="str">
        <f>IFERROR(INDEX(Param!$A$31:$C$35,MATCH($AY74,Param!$C$31:$C$35,0),1),"-")</f>
        <v>-</v>
      </c>
      <c r="BA74" s="588" t="str">
        <f>IFERROR(IF(INDEX(Scénarios!$B$2:$AI$232,MATCH($S74,Scénarios!$AI$2:$AI$232,0),MATCH(BA$4,Scénarios!$B$4:$AI$4,0))=0,"",INDEX(Scénarios!$B$2:$AI$232,MATCH($S74,Scénarios!$AI$2:$AI$232,0),MATCH(BA$4,Scénarios!$B$4:$AI$4,0))),"-")</f>
        <v>-</v>
      </c>
      <c r="BB74" s="443" t="str">
        <f>IFERROR(IF(INDEX(Scénarios!$B$2:$AK$237,MATCH($S74,Scénarios!$AI$2:$AI$237,0),MATCH(BB$4,Scénarios!$B$4:$AK$4,0))=0,"",INDEX(Scénarios!$B$2:$AK$237,MATCH($S74,Scénarios!$AI$2:$AI$237,0),MATCH(BB$4,Scénarios!$B$4:$AK$4,0))),"-")</f>
        <v>-</v>
      </c>
      <c r="BC74" s="443" t="str">
        <f>IFERROR(INDEX(Scénarios!$B$2:$AV$232,MATCH($S74,Scénarios!$AI$2:$AI$232,0),MATCH(BC$4,Scénarios!$B$4:$AV$4,0)),"-")</f>
        <v>-</v>
      </c>
    </row>
    <row r="75" spans="15:55" ht="25.5" customHeight="1" x14ac:dyDescent="0.25">
      <c r="O75" s="604" t="str">
        <f t="shared" si="1"/>
        <v>Fiche R71 sans décision :
Veuillez ajouter une décision</v>
      </c>
      <c r="P75" s="609" t="s">
        <v>2188</v>
      </c>
      <c r="Q75" s="605" t="s">
        <v>2067</v>
      </c>
      <c r="R75" s="585" t="s">
        <v>2068</v>
      </c>
      <c r="S75" s="587" t="s">
        <v>2109</v>
      </c>
      <c r="T75" s="588" t="str">
        <f>IFERROR(INDEX(Tab_sel!$B$7:$C$18,MATCH($AB75,Tab_sel!$C$7:$C$18,0),1),"-")</f>
        <v>-</v>
      </c>
      <c r="U75" s="589" t="str">
        <f>IFERROR(INDEX(Scénarios!$B$2:$AI$232,MATCH($S75,Scénarios!$AI$2:$AI$232,0),MATCH(U$4,Scénarios!$B$4:$AI$4,0)),"-")</f>
        <v>-</v>
      </c>
      <c r="V75" s="588" t="str">
        <f>IFERROR(INDEX(Scénarios!$B$2:$AI$232,MATCH($S75,Scénarios!$AI$2:$AI$232,0),MATCH(V$4,Scénarios!$B$4:$AI$4,0)),"-")</f>
        <v>-</v>
      </c>
      <c r="W75" s="588" t="str">
        <f>IFERROR(INDEX(Scénarios!$B$2:$AI$232,MATCH($S75,Scénarios!$AI$2:$AI$232,0),MATCH(W$4,Scénarios!$B$4:$AI$4,0)),"-")</f>
        <v>-</v>
      </c>
      <c r="X75" s="588" t="str">
        <f>IFERROR(VLOOKUP(AD75,Expo!$D$4:$E$35,2,FALSE),"-")</f>
        <v>-</v>
      </c>
      <c r="Y75" s="859" t="str">
        <f>IFERROR(IF(INDEX(Scénarios!$B$2:$AI$232,MATCH($S75,Scénarios!$AI$2:$AI$232,0),MATCH(Y$4,Scénarios!$B$4:$AI$4,0))=0,"",INDEX(Scénarios!$B$2:$AI$232,MATCH($S75,Scénarios!$AI$2:$AI$232,0),MATCH(Y$4,Scénarios!$B$4:$AI$4,0))),"-")</f>
        <v>-</v>
      </c>
      <c r="Z75" s="589" t="str">
        <f>IFERROR(INDEX(Scénarios!$B$2:$AI$232,MATCH($S75,Scénarios!$AI$2:$AI$232,0),MATCH(Z$4,Scénarios!$B$4:$AI$4,0)),"-")</f>
        <v>-</v>
      </c>
      <c r="AA75" s="589" t="str">
        <f>IFERROR(INDEX(Scénarios!$B$2:$AI$232,MATCH($S75,Scénarios!$AI$2:$AI$232,0),MATCH(AA$4,Scénarios!$B$4:$AI$4,0)),"-")</f>
        <v>-</v>
      </c>
      <c r="AB75" s="586" t="str">
        <f>IFERROR(INDEX(Scénarios!$B$2:$AI$232,MATCH($S75,Scénarios!$AI$2:$AI$232,0),MATCH(AB$4,Scénarios!$B$4:$AI$4,0)),"-")</f>
        <v>-</v>
      </c>
      <c r="AC75" s="442" t="str">
        <f>IFERROR(INDEX(Tab_sel!$B$24:$C$27,MATCH($U75,Tab_sel!$C$24:$C$27,0),1),"-")</f>
        <v>-</v>
      </c>
      <c r="AD75" s="443" t="str">
        <f>IFERROR(INDEX(Scénarios!$B$2:$AI$232,MATCH($S75,Scénarios!$AI$2:$AI$232,0),MATCH(AD$4,Scénarios!$B$4:$AI$4,0)),"-")</f>
        <v>-</v>
      </c>
      <c r="AE75" s="460" t="str">
        <f>IFERROR(INDEX(Scénarios!$B$2:$AI$232,MATCH($S75,Scénarios!$AI$2:$AI$232,0),MATCH(AE$4,Scénarios!$B$4:$AI$4,0)),"-")</f>
        <v>-</v>
      </c>
      <c r="AF75" s="460" t="str">
        <f>IFERROR(INDEX(Scénarios!$B$2:$AI$232,MATCH($S75,Scénarios!$AI$2:$AI$232,0),MATCH(AF$4,Scénarios!$B$4:$AI$4,0)),"-")</f>
        <v>-</v>
      </c>
      <c r="AG75" s="460" t="str">
        <f>IFERROR(INDEX(Scénarios!$B$2:$AI$232,MATCH($S75,Scénarios!$AI$2:$AI$232,0),MATCH(AG$4,Scénarios!$B$4:$AI$4,0)),"-")</f>
        <v>-</v>
      </c>
      <c r="AH75" s="460" t="str">
        <f>IFERROR(INDEX(Scénarios!$B$2:$AI$232,MATCH($S75,Scénarios!$AI$2:$AI$232,0),MATCH(AH$4,Scénarios!$B$4:$AI$4,0)),"-")</f>
        <v>-</v>
      </c>
      <c r="AI75" s="443" t="str">
        <f>IFERROR(INDEX(Scénarios!$B$2:$AI$232,MATCH($S75,Scénarios!$AI$2:$AI$232,0),MATCH(AI$4,Scénarios!$B$4:$AI$4,0)),"-")</f>
        <v>-</v>
      </c>
      <c r="AJ75" s="443" t="str">
        <f>IFERROR(INDEX(Param!$A$3:$C$7,MATCH($AI75,Param!$C$3:$C$7,0),1),"-")</f>
        <v>-</v>
      </c>
      <c r="AK75" s="443" t="str">
        <f>IFERROR(INDEX(Scénarios!$B$2:$AI$232,MATCH($S75,Scénarios!$AI$2:$AI$232,0),MATCH(AK$4,Scénarios!$B$4:$AI$4,0)),"-")</f>
        <v>-</v>
      </c>
      <c r="AL75" s="443" t="str">
        <f>IFERROR(INDEX(Scénarios!$B$2:$AI$232,MATCH($S75,Scénarios!$AI$2:$AI$232,0),MATCH(AL$4,Scénarios!$B$4:$AI$4,0)),"-")</f>
        <v>-</v>
      </c>
      <c r="AM75" s="443" t="str">
        <f>IFERROR(INDEX(Param!$A$10:$C$14,MATCH($AL75,Param!$C$10:$C$14,0),1),"-")</f>
        <v>-</v>
      </c>
      <c r="AN75" s="443" t="str">
        <f>IFERROR(IF(INDEX(Scénarios!$B$2:$AI$232,MATCH($S75,Scénarios!$AI$2:$AI$232,0),MATCH(AN$4,Scénarios!$B$4:$AI$4,0))=0,"",INDEX(Scénarios!$B$2:$AI$232,MATCH($S75,Scénarios!$AI$2:$AI$232,0),MATCH(AN$4,Scénarios!$B$4:$AI$4,0))),"-")</f>
        <v>-</v>
      </c>
      <c r="AO75" s="443" t="str">
        <f>IFERROR(INDEX(Scénarios!$B$2:$AI$232,MATCH($S75,Scénarios!$AI$2:$AI$232,0),MATCH(AO$4,Scénarios!$B$4:$AI$4,0)),"-")</f>
        <v>-</v>
      </c>
      <c r="AP75" s="443" t="str">
        <f>IFERROR(INDEX(Param!$A$17:$C$21,MATCH($AO75,Param!$C$17:$C$21,0),1),"-")</f>
        <v>-</v>
      </c>
      <c r="AQ75" s="443" t="str">
        <f>IFERROR(IF(INDEX(Scénarios!$B$2:$AI$232,MATCH($S75,Scénarios!$AI$2:$AI$232,0),MATCH(AQ$4,Scénarios!$B$4:$AI$4,0))=0,"",INDEX(Scénarios!$B$2:$AI$232,MATCH($S75,Scénarios!$AI$2:$AI$232,0),MATCH(AQ$4,Scénarios!$B$4:$AI$4,0))),"-")</f>
        <v>-</v>
      </c>
      <c r="AR75" s="443" t="str">
        <f>IFERROR(INDEX(Scénarios!$B$2:$AI$232,MATCH($S75,Scénarios!$AI$2:$AI$232,0),MATCH(AR$4,Scénarios!$B$4:$AI$4,0)),"-")</f>
        <v>-</v>
      </c>
      <c r="AS75" s="443" t="str">
        <f>IFERROR(INDEX(Param!$A$24:$C$28,MATCH($AR75,Param!$C$24:$C$28,0),1),"-")</f>
        <v>-</v>
      </c>
      <c r="AT75" s="443" t="str">
        <f>IFERROR(IF(INDEX(Scénarios!$B$2:$AI$232,MATCH($S75,Scénarios!$AI$2:$AI$232,0),MATCH(AT$4,Scénarios!$B$4:$AI$4,0))=0,"",INDEX(Scénarios!$B$2:$AI$232,MATCH($S75,Scénarios!$AI$2:$AI$232,0),MATCH(AT$4,Scénarios!$B$4:$AI$4,0))),"-")</f>
        <v>-</v>
      </c>
      <c r="AU75" s="462" t="str">
        <f>IFERROR(INDEX(Scénarios!$B$2:$AI$232,MATCH($S75,Scénarios!$AI$2:$AI$232,0),MATCH(AU$4,Scénarios!$B$4:$AI$4,0)),"-")</f>
        <v>-</v>
      </c>
      <c r="AV75" s="462" t="str">
        <f>IFERROR(INDEX(Scénarios!$B$2:$AI$232,MATCH($S75,Scénarios!$AI$2:$AI$232,0),MATCH(AV$4,Scénarios!$B$4:$AI$4,0)),"-")</f>
        <v>-</v>
      </c>
      <c r="AW75" s="462" t="str">
        <f>IFERROR(INDEX(Scénarios!$B$2:$AI$232,MATCH($S75,Scénarios!$AI$2:$AI$232,0),MATCH(AW$4,Scénarios!$B$4:$AI$4,0)),"-")</f>
        <v>-</v>
      </c>
      <c r="AX75" s="462" t="str">
        <f>IFERROR(INDEX(Scénarios!$B$2:$AI$232,MATCH($S75,Scénarios!$AI$2:$AI$232,0),MATCH(AX$4,Scénarios!$B$4:$AI$4,0)),"-")</f>
        <v>-</v>
      </c>
      <c r="AY75" s="443" t="str">
        <f>IFERROR(INDEX(Scénarios!$B$2:$AI$232,MATCH($S75,Scénarios!$AI$2:$AI$232,0),MATCH(AY$4,Scénarios!$B$4:$AI$4,0)),"-")</f>
        <v>-</v>
      </c>
      <c r="AZ75" s="588" t="str">
        <f>IFERROR(INDEX(Param!$A$31:$C$35,MATCH($AY75,Param!$C$31:$C$35,0),1),"-")</f>
        <v>-</v>
      </c>
      <c r="BA75" s="588" t="str">
        <f>IFERROR(IF(INDEX(Scénarios!$B$2:$AI$232,MATCH($S75,Scénarios!$AI$2:$AI$232,0),MATCH(BA$4,Scénarios!$B$4:$AI$4,0))=0,"",INDEX(Scénarios!$B$2:$AI$232,MATCH($S75,Scénarios!$AI$2:$AI$232,0),MATCH(BA$4,Scénarios!$B$4:$AI$4,0))),"-")</f>
        <v>-</v>
      </c>
      <c r="BB75" s="443" t="str">
        <f>IFERROR(IF(INDEX(Scénarios!$B$2:$AK$237,MATCH($S75,Scénarios!$AI$2:$AI$237,0),MATCH(BB$4,Scénarios!$B$4:$AK$4,0))=0,"",INDEX(Scénarios!$B$2:$AK$237,MATCH($S75,Scénarios!$AI$2:$AI$237,0),MATCH(BB$4,Scénarios!$B$4:$AK$4,0))),"-")</f>
        <v>-</v>
      </c>
      <c r="BC75" s="443" t="str">
        <f>IFERROR(INDEX(Scénarios!$B$2:$AV$232,MATCH($S75,Scénarios!$AI$2:$AI$232,0),MATCH(BC$4,Scénarios!$B$4:$AV$4,0)),"-")</f>
        <v>-</v>
      </c>
    </row>
    <row r="76" spans="15:55" ht="25.5" customHeight="1" x14ac:dyDescent="0.25">
      <c r="O76" s="604" t="str">
        <f t="shared" si="1"/>
        <v>Fiche R72 sans décision :
Veuillez ajouter une décision</v>
      </c>
      <c r="P76" s="609" t="s">
        <v>2188</v>
      </c>
      <c r="Q76" s="605" t="s">
        <v>2067</v>
      </c>
      <c r="R76" s="585" t="s">
        <v>2068</v>
      </c>
      <c r="S76" s="587" t="s">
        <v>2110</v>
      </c>
      <c r="T76" s="588" t="str">
        <f>IFERROR(INDEX(Tab_sel!$B$7:$C$18,MATCH($AB76,Tab_sel!$C$7:$C$18,0),1),"-")</f>
        <v>-</v>
      </c>
      <c r="U76" s="589" t="str">
        <f>IFERROR(INDEX(Scénarios!$B$2:$AI$232,MATCH($S76,Scénarios!$AI$2:$AI$232,0),MATCH(U$4,Scénarios!$B$4:$AI$4,0)),"-")</f>
        <v>-</v>
      </c>
      <c r="V76" s="588" t="str">
        <f>IFERROR(INDEX(Scénarios!$B$2:$AI$232,MATCH($S76,Scénarios!$AI$2:$AI$232,0),MATCH(V$4,Scénarios!$B$4:$AI$4,0)),"-")</f>
        <v>-</v>
      </c>
      <c r="W76" s="588" t="str">
        <f>IFERROR(INDEX(Scénarios!$B$2:$AI$232,MATCH($S76,Scénarios!$AI$2:$AI$232,0),MATCH(W$4,Scénarios!$B$4:$AI$4,0)),"-")</f>
        <v>-</v>
      </c>
      <c r="X76" s="588" t="str">
        <f>IFERROR(VLOOKUP(AD76,Expo!$D$4:$E$35,2,FALSE),"-")</f>
        <v>-</v>
      </c>
      <c r="Y76" s="859" t="str">
        <f>IFERROR(IF(INDEX(Scénarios!$B$2:$AI$232,MATCH($S76,Scénarios!$AI$2:$AI$232,0),MATCH(Y$4,Scénarios!$B$4:$AI$4,0))=0,"",INDEX(Scénarios!$B$2:$AI$232,MATCH($S76,Scénarios!$AI$2:$AI$232,0),MATCH(Y$4,Scénarios!$B$4:$AI$4,0))),"-")</f>
        <v>-</v>
      </c>
      <c r="Z76" s="589" t="str">
        <f>IFERROR(INDEX(Scénarios!$B$2:$AI$232,MATCH($S76,Scénarios!$AI$2:$AI$232,0),MATCH(Z$4,Scénarios!$B$4:$AI$4,0)),"-")</f>
        <v>-</v>
      </c>
      <c r="AA76" s="589" t="str">
        <f>IFERROR(INDEX(Scénarios!$B$2:$AI$232,MATCH($S76,Scénarios!$AI$2:$AI$232,0),MATCH(AA$4,Scénarios!$B$4:$AI$4,0)),"-")</f>
        <v>-</v>
      </c>
      <c r="AB76" s="586" t="str">
        <f>IFERROR(INDEX(Scénarios!$B$2:$AI$232,MATCH($S76,Scénarios!$AI$2:$AI$232,0),MATCH(AB$4,Scénarios!$B$4:$AI$4,0)),"-")</f>
        <v>-</v>
      </c>
      <c r="AC76" s="442" t="str">
        <f>IFERROR(INDEX(Tab_sel!$B$24:$C$27,MATCH($U76,Tab_sel!$C$24:$C$27,0),1),"-")</f>
        <v>-</v>
      </c>
      <c r="AD76" s="443" t="str">
        <f>IFERROR(INDEX(Scénarios!$B$2:$AI$232,MATCH($S76,Scénarios!$AI$2:$AI$232,0),MATCH(AD$4,Scénarios!$B$4:$AI$4,0)),"-")</f>
        <v>-</v>
      </c>
      <c r="AE76" s="460" t="str">
        <f>IFERROR(INDEX(Scénarios!$B$2:$AI$232,MATCH($S76,Scénarios!$AI$2:$AI$232,0),MATCH(AE$4,Scénarios!$B$4:$AI$4,0)),"-")</f>
        <v>-</v>
      </c>
      <c r="AF76" s="460" t="str">
        <f>IFERROR(INDEX(Scénarios!$B$2:$AI$232,MATCH($S76,Scénarios!$AI$2:$AI$232,0),MATCH(AF$4,Scénarios!$B$4:$AI$4,0)),"-")</f>
        <v>-</v>
      </c>
      <c r="AG76" s="460" t="str">
        <f>IFERROR(INDEX(Scénarios!$B$2:$AI$232,MATCH($S76,Scénarios!$AI$2:$AI$232,0),MATCH(AG$4,Scénarios!$B$4:$AI$4,0)),"-")</f>
        <v>-</v>
      </c>
      <c r="AH76" s="460" t="str">
        <f>IFERROR(INDEX(Scénarios!$B$2:$AI$232,MATCH($S76,Scénarios!$AI$2:$AI$232,0),MATCH(AH$4,Scénarios!$B$4:$AI$4,0)),"-")</f>
        <v>-</v>
      </c>
      <c r="AI76" s="443" t="str">
        <f>IFERROR(INDEX(Scénarios!$B$2:$AI$232,MATCH($S76,Scénarios!$AI$2:$AI$232,0),MATCH(AI$4,Scénarios!$B$4:$AI$4,0)),"-")</f>
        <v>-</v>
      </c>
      <c r="AJ76" s="443" t="str">
        <f>IFERROR(INDEX(Param!$A$3:$C$7,MATCH($AI76,Param!$C$3:$C$7,0),1),"-")</f>
        <v>-</v>
      </c>
      <c r="AK76" s="443" t="str">
        <f>IFERROR(INDEX(Scénarios!$B$2:$AI$232,MATCH($S76,Scénarios!$AI$2:$AI$232,0),MATCH(AK$4,Scénarios!$B$4:$AI$4,0)),"-")</f>
        <v>-</v>
      </c>
      <c r="AL76" s="443" t="str">
        <f>IFERROR(INDEX(Scénarios!$B$2:$AI$232,MATCH($S76,Scénarios!$AI$2:$AI$232,0),MATCH(AL$4,Scénarios!$B$4:$AI$4,0)),"-")</f>
        <v>-</v>
      </c>
      <c r="AM76" s="443" t="str">
        <f>IFERROR(INDEX(Param!$A$10:$C$14,MATCH($AL76,Param!$C$10:$C$14,0),1),"-")</f>
        <v>-</v>
      </c>
      <c r="AN76" s="443" t="str">
        <f>IFERROR(IF(INDEX(Scénarios!$B$2:$AI$232,MATCH($S76,Scénarios!$AI$2:$AI$232,0),MATCH(AN$4,Scénarios!$B$4:$AI$4,0))=0,"",INDEX(Scénarios!$B$2:$AI$232,MATCH($S76,Scénarios!$AI$2:$AI$232,0),MATCH(AN$4,Scénarios!$B$4:$AI$4,0))),"-")</f>
        <v>-</v>
      </c>
      <c r="AO76" s="443" t="str">
        <f>IFERROR(INDEX(Scénarios!$B$2:$AI$232,MATCH($S76,Scénarios!$AI$2:$AI$232,0),MATCH(AO$4,Scénarios!$B$4:$AI$4,0)),"-")</f>
        <v>-</v>
      </c>
      <c r="AP76" s="443" t="str">
        <f>IFERROR(INDEX(Param!$A$17:$C$21,MATCH($AO76,Param!$C$17:$C$21,0),1),"-")</f>
        <v>-</v>
      </c>
      <c r="AQ76" s="443" t="str">
        <f>IFERROR(IF(INDEX(Scénarios!$B$2:$AI$232,MATCH($S76,Scénarios!$AI$2:$AI$232,0),MATCH(AQ$4,Scénarios!$B$4:$AI$4,0))=0,"",INDEX(Scénarios!$B$2:$AI$232,MATCH($S76,Scénarios!$AI$2:$AI$232,0),MATCH(AQ$4,Scénarios!$B$4:$AI$4,0))),"-")</f>
        <v>-</v>
      </c>
      <c r="AR76" s="443" t="str">
        <f>IFERROR(INDEX(Scénarios!$B$2:$AI$232,MATCH($S76,Scénarios!$AI$2:$AI$232,0),MATCH(AR$4,Scénarios!$B$4:$AI$4,0)),"-")</f>
        <v>-</v>
      </c>
      <c r="AS76" s="443" t="str">
        <f>IFERROR(INDEX(Param!$A$24:$C$28,MATCH($AR76,Param!$C$24:$C$28,0),1),"-")</f>
        <v>-</v>
      </c>
      <c r="AT76" s="443" t="str">
        <f>IFERROR(IF(INDEX(Scénarios!$B$2:$AI$232,MATCH($S76,Scénarios!$AI$2:$AI$232,0),MATCH(AT$4,Scénarios!$B$4:$AI$4,0))=0,"",INDEX(Scénarios!$B$2:$AI$232,MATCH($S76,Scénarios!$AI$2:$AI$232,0),MATCH(AT$4,Scénarios!$B$4:$AI$4,0))),"-")</f>
        <v>-</v>
      </c>
      <c r="AU76" s="462" t="str">
        <f>IFERROR(INDEX(Scénarios!$B$2:$AI$232,MATCH($S76,Scénarios!$AI$2:$AI$232,0),MATCH(AU$4,Scénarios!$B$4:$AI$4,0)),"-")</f>
        <v>-</v>
      </c>
      <c r="AV76" s="462" t="str">
        <f>IFERROR(INDEX(Scénarios!$B$2:$AI$232,MATCH($S76,Scénarios!$AI$2:$AI$232,0),MATCH(AV$4,Scénarios!$B$4:$AI$4,0)),"-")</f>
        <v>-</v>
      </c>
      <c r="AW76" s="462" t="str">
        <f>IFERROR(INDEX(Scénarios!$B$2:$AI$232,MATCH($S76,Scénarios!$AI$2:$AI$232,0),MATCH(AW$4,Scénarios!$B$4:$AI$4,0)),"-")</f>
        <v>-</v>
      </c>
      <c r="AX76" s="462" t="str">
        <f>IFERROR(INDEX(Scénarios!$B$2:$AI$232,MATCH($S76,Scénarios!$AI$2:$AI$232,0),MATCH(AX$4,Scénarios!$B$4:$AI$4,0)),"-")</f>
        <v>-</v>
      </c>
      <c r="AY76" s="443" t="str">
        <f>IFERROR(INDEX(Scénarios!$B$2:$AI$232,MATCH($S76,Scénarios!$AI$2:$AI$232,0),MATCH(AY$4,Scénarios!$B$4:$AI$4,0)),"-")</f>
        <v>-</v>
      </c>
      <c r="AZ76" s="588" t="str">
        <f>IFERROR(INDEX(Param!$A$31:$C$35,MATCH($AY76,Param!$C$31:$C$35,0),1),"-")</f>
        <v>-</v>
      </c>
      <c r="BA76" s="588" t="str">
        <f>IFERROR(IF(INDEX(Scénarios!$B$2:$AI$232,MATCH($S76,Scénarios!$AI$2:$AI$232,0),MATCH(BA$4,Scénarios!$B$4:$AI$4,0))=0,"",INDEX(Scénarios!$B$2:$AI$232,MATCH($S76,Scénarios!$AI$2:$AI$232,0),MATCH(BA$4,Scénarios!$B$4:$AI$4,0))),"-")</f>
        <v>-</v>
      </c>
      <c r="BB76" s="443" t="str">
        <f>IFERROR(IF(INDEX(Scénarios!$B$2:$AK$237,MATCH($S76,Scénarios!$AI$2:$AI$237,0),MATCH(BB$4,Scénarios!$B$4:$AK$4,0))=0,"",INDEX(Scénarios!$B$2:$AK$237,MATCH($S76,Scénarios!$AI$2:$AI$237,0),MATCH(BB$4,Scénarios!$B$4:$AK$4,0))),"-")</f>
        <v>-</v>
      </c>
      <c r="BC76" s="443" t="str">
        <f>IFERROR(INDEX(Scénarios!$B$2:$AV$232,MATCH($S76,Scénarios!$AI$2:$AI$232,0),MATCH(BC$4,Scénarios!$B$4:$AV$4,0)),"-")</f>
        <v>-</v>
      </c>
    </row>
    <row r="77" spans="15:55" ht="25.5" customHeight="1" x14ac:dyDescent="0.25">
      <c r="O77" s="604" t="str">
        <f t="shared" si="1"/>
        <v>Fiche R73 sans décision :
Veuillez ajouter une décision</v>
      </c>
      <c r="P77" s="609" t="s">
        <v>2188</v>
      </c>
      <c r="Q77" s="605" t="s">
        <v>2067</v>
      </c>
      <c r="R77" s="585" t="s">
        <v>2068</v>
      </c>
      <c r="S77" s="587" t="s">
        <v>2111</v>
      </c>
      <c r="T77" s="588" t="str">
        <f>IFERROR(INDEX(Tab_sel!$B$7:$C$18,MATCH($AB77,Tab_sel!$C$7:$C$18,0),1),"-")</f>
        <v>-</v>
      </c>
      <c r="U77" s="589" t="str">
        <f>IFERROR(INDEX(Scénarios!$B$2:$AI$232,MATCH($S77,Scénarios!$AI$2:$AI$232,0),MATCH(U$4,Scénarios!$B$4:$AI$4,0)),"-")</f>
        <v>-</v>
      </c>
      <c r="V77" s="588" t="str">
        <f>IFERROR(INDEX(Scénarios!$B$2:$AI$232,MATCH($S77,Scénarios!$AI$2:$AI$232,0),MATCH(V$4,Scénarios!$B$4:$AI$4,0)),"-")</f>
        <v>-</v>
      </c>
      <c r="W77" s="588" t="str">
        <f>IFERROR(INDEX(Scénarios!$B$2:$AI$232,MATCH($S77,Scénarios!$AI$2:$AI$232,0),MATCH(W$4,Scénarios!$B$4:$AI$4,0)),"-")</f>
        <v>-</v>
      </c>
      <c r="X77" s="588" t="str">
        <f>IFERROR(VLOOKUP(AD77,Expo!$D$4:$E$35,2,FALSE),"-")</f>
        <v>-</v>
      </c>
      <c r="Y77" s="859" t="str">
        <f>IFERROR(IF(INDEX(Scénarios!$B$2:$AI$232,MATCH($S77,Scénarios!$AI$2:$AI$232,0),MATCH(Y$4,Scénarios!$B$4:$AI$4,0))=0,"",INDEX(Scénarios!$B$2:$AI$232,MATCH($S77,Scénarios!$AI$2:$AI$232,0),MATCH(Y$4,Scénarios!$B$4:$AI$4,0))),"-")</f>
        <v>-</v>
      </c>
      <c r="Z77" s="589" t="str">
        <f>IFERROR(INDEX(Scénarios!$B$2:$AI$232,MATCH($S77,Scénarios!$AI$2:$AI$232,0),MATCH(Z$4,Scénarios!$B$4:$AI$4,0)),"-")</f>
        <v>-</v>
      </c>
      <c r="AA77" s="589" t="str">
        <f>IFERROR(INDEX(Scénarios!$B$2:$AI$232,MATCH($S77,Scénarios!$AI$2:$AI$232,0),MATCH(AA$4,Scénarios!$B$4:$AI$4,0)),"-")</f>
        <v>-</v>
      </c>
      <c r="AB77" s="586" t="str">
        <f>IFERROR(INDEX(Scénarios!$B$2:$AI$232,MATCH($S77,Scénarios!$AI$2:$AI$232,0),MATCH(AB$4,Scénarios!$B$4:$AI$4,0)),"-")</f>
        <v>-</v>
      </c>
      <c r="AC77" s="442" t="str">
        <f>IFERROR(INDEX(Tab_sel!$B$24:$C$27,MATCH($U77,Tab_sel!$C$24:$C$27,0),1),"-")</f>
        <v>-</v>
      </c>
      <c r="AD77" s="443" t="str">
        <f>IFERROR(INDEX(Scénarios!$B$2:$AI$232,MATCH($S77,Scénarios!$AI$2:$AI$232,0),MATCH(AD$4,Scénarios!$B$4:$AI$4,0)),"-")</f>
        <v>-</v>
      </c>
      <c r="AE77" s="460" t="str">
        <f>IFERROR(INDEX(Scénarios!$B$2:$AI$232,MATCH($S77,Scénarios!$AI$2:$AI$232,0),MATCH(AE$4,Scénarios!$B$4:$AI$4,0)),"-")</f>
        <v>-</v>
      </c>
      <c r="AF77" s="460" t="str">
        <f>IFERROR(INDEX(Scénarios!$B$2:$AI$232,MATCH($S77,Scénarios!$AI$2:$AI$232,0),MATCH(AF$4,Scénarios!$B$4:$AI$4,0)),"-")</f>
        <v>-</v>
      </c>
      <c r="AG77" s="460" t="str">
        <f>IFERROR(INDEX(Scénarios!$B$2:$AI$232,MATCH($S77,Scénarios!$AI$2:$AI$232,0),MATCH(AG$4,Scénarios!$B$4:$AI$4,0)),"-")</f>
        <v>-</v>
      </c>
      <c r="AH77" s="460" t="str">
        <f>IFERROR(INDEX(Scénarios!$B$2:$AI$232,MATCH($S77,Scénarios!$AI$2:$AI$232,0),MATCH(AH$4,Scénarios!$B$4:$AI$4,0)),"-")</f>
        <v>-</v>
      </c>
      <c r="AI77" s="443" t="str">
        <f>IFERROR(INDEX(Scénarios!$B$2:$AI$232,MATCH($S77,Scénarios!$AI$2:$AI$232,0),MATCH(AI$4,Scénarios!$B$4:$AI$4,0)),"-")</f>
        <v>-</v>
      </c>
      <c r="AJ77" s="443" t="str">
        <f>IFERROR(INDEX(Param!$A$3:$C$7,MATCH($AI77,Param!$C$3:$C$7,0),1),"-")</f>
        <v>-</v>
      </c>
      <c r="AK77" s="443" t="str">
        <f>IFERROR(INDEX(Scénarios!$B$2:$AI$232,MATCH($S77,Scénarios!$AI$2:$AI$232,0),MATCH(AK$4,Scénarios!$B$4:$AI$4,0)),"-")</f>
        <v>-</v>
      </c>
      <c r="AL77" s="443" t="str">
        <f>IFERROR(INDEX(Scénarios!$B$2:$AI$232,MATCH($S77,Scénarios!$AI$2:$AI$232,0),MATCH(AL$4,Scénarios!$B$4:$AI$4,0)),"-")</f>
        <v>-</v>
      </c>
      <c r="AM77" s="443" t="str">
        <f>IFERROR(INDEX(Param!$A$10:$C$14,MATCH($AL77,Param!$C$10:$C$14,0),1),"-")</f>
        <v>-</v>
      </c>
      <c r="AN77" s="443" t="str">
        <f>IFERROR(IF(INDEX(Scénarios!$B$2:$AI$232,MATCH($S77,Scénarios!$AI$2:$AI$232,0),MATCH(AN$4,Scénarios!$B$4:$AI$4,0))=0,"",INDEX(Scénarios!$B$2:$AI$232,MATCH($S77,Scénarios!$AI$2:$AI$232,0),MATCH(AN$4,Scénarios!$B$4:$AI$4,0))),"-")</f>
        <v>-</v>
      </c>
      <c r="AO77" s="443" t="str">
        <f>IFERROR(INDEX(Scénarios!$B$2:$AI$232,MATCH($S77,Scénarios!$AI$2:$AI$232,0),MATCH(AO$4,Scénarios!$B$4:$AI$4,0)),"-")</f>
        <v>-</v>
      </c>
      <c r="AP77" s="443" t="str">
        <f>IFERROR(INDEX(Param!$A$17:$C$21,MATCH($AO77,Param!$C$17:$C$21,0),1),"-")</f>
        <v>-</v>
      </c>
      <c r="AQ77" s="443" t="str">
        <f>IFERROR(IF(INDEX(Scénarios!$B$2:$AI$232,MATCH($S77,Scénarios!$AI$2:$AI$232,0),MATCH(AQ$4,Scénarios!$B$4:$AI$4,0))=0,"",INDEX(Scénarios!$B$2:$AI$232,MATCH($S77,Scénarios!$AI$2:$AI$232,0),MATCH(AQ$4,Scénarios!$B$4:$AI$4,0))),"-")</f>
        <v>-</v>
      </c>
      <c r="AR77" s="443" t="str">
        <f>IFERROR(INDEX(Scénarios!$B$2:$AI$232,MATCH($S77,Scénarios!$AI$2:$AI$232,0),MATCH(AR$4,Scénarios!$B$4:$AI$4,0)),"-")</f>
        <v>-</v>
      </c>
      <c r="AS77" s="443" t="str">
        <f>IFERROR(INDEX(Param!$A$24:$C$28,MATCH($AR77,Param!$C$24:$C$28,0),1),"-")</f>
        <v>-</v>
      </c>
      <c r="AT77" s="443" t="str">
        <f>IFERROR(IF(INDEX(Scénarios!$B$2:$AI$232,MATCH($S77,Scénarios!$AI$2:$AI$232,0),MATCH(AT$4,Scénarios!$B$4:$AI$4,0))=0,"",INDEX(Scénarios!$B$2:$AI$232,MATCH($S77,Scénarios!$AI$2:$AI$232,0),MATCH(AT$4,Scénarios!$B$4:$AI$4,0))),"-")</f>
        <v>-</v>
      </c>
      <c r="AU77" s="462" t="str">
        <f>IFERROR(INDEX(Scénarios!$B$2:$AI$232,MATCH($S77,Scénarios!$AI$2:$AI$232,0),MATCH(AU$4,Scénarios!$B$4:$AI$4,0)),"-")</f>
        <v>-</v>
      </c>
      <c r="AV77" s="462" t="str">
        <f>IFERROR(INDEX(Scénarios!$B$2:$AI$232,MATCH($S77,Scénarios!$AI$2:$AI$232,0),MATCH(AV$4,Scénarios!$B$4:$AI$4,0)),"-")</f>
        <v>-</v>
      </c>
      <c r="AW77" s="462" t="str">
        <f>IFERROR(INDEX(Scénarios!$B$2:$AI$232,MATCH($S77,Scénarios!$AI$2:$AI$232,0),MATCH(AW$4,Scénarios!$B$4:$AI$4,0)),"-")</f>
        <v>-</v>
      </c>
      <c r="AX77" s="462" t="str">
        <f>IFERROR(INDEX(Scénarios!$B$2:$AI$232,MATCH($S77,Scénarios!$AI$2:$AI$232,0),MATCH(AX$4,Scénarios!$B$4:$AI$4,0)),"-")</f>
        <v>-</v>
      </c>
      <c r="AY77" s="443" t="str">
        <f>IFERROR(INDEX(Scénarios!$B$2:$AI$232,MATCH($S77,Scénarios!$AI$2:$AI$232,0),MATCH(AY$4,Scénarios!$B$4:$AI$4,0)),"-")</f>
        <v>-</v>
      </c>
      <c r="AZ77" s="588" t="str">
        <f>IFERROR(INDEX(Param!$A$31:$C$35,MATCH($AY77,Param!$C$31:$C$35,0),1),"-")</f>
        <v>-</v>
      </c>
      <c r="BA77" s="588" t="str">
        <f>IFERROR(IF(INDEX(Scénarios!$B$2:$AI$232,MATCH($S77,Scénarios!$AI$2:$AI$232,0),MATCH(BA$4,Scénarios!$B$4:$AI$4,0))=0,"",INDEX(Scénarios!$B$2:$AI$232,MATCH($S77,Scénarios!$AI$2:$AI$232,0),MATCH(BA$4,Scénarios!$B$4:$AI$4,0))),"-")</f>
        <v>-</v>
      </c>
      <c r="BB77" s="443" t="str">
        <f>IFERROR(IF(INDEX(Scénarios!$B$2:$AK$237,MATCH($S77,Scénarios!$AI$2:$AI$237,0),MATCH(BB$4,Scénarios!$B$4:$AK$4,0))=0,"",INDEX(Scénarios!$B$2:$AK$237,MATCH($S77,Scénarios!$AI$2:$AI$237,0),MATCH(BB$4,Scénarios!$B$4:$AK$4,0))),"-")</f>
        <v>-</v>
      </c>
      <c r="BC77" s="443" t="str">
        <f>IFERROR(INDEX(Scénarios!$B$2:$AV$232,MATCH($S77,Scénarios!$AI$2:$AI$232,0),MATCH(BC$4,Scénarios!$B$4:$AV$4,0)),"-")</f>
        <v>-</v>
      </c>
    </row>
    <row r="78" spans="15:55" ht="25.5" customHeight="1" x14ac:dyDescent="0.25">
      <c r="O78" s="604" t="str">
        <f t="shared" si="1"/>
        <v>Fiche R74 sans décision :
Veuillez ajouter une décision</v>
      </c>
      <c r="P78" s="609" t="s">
        <v>2188</v>
      </c>
      <c r="Q78" s="605" t="s">
        <v>2067</v>
      </c>
      <c r="R78" s="585" t="s">
        <v>2068</v>
      </c>
      <c r="S78" s="587" t="s">
        <v>2112</v>
      </c>
      <c r="T78" s="588" t="str">
        <f>IFERROR(INDEX(Tab_sel!$B$7:$C$18,MATCH($AB78,Tab_sel!$C$7:$C$18,0),1),"-")</f>
        <v>-</v>
      </c>
      <c r="U78" s="589" t="str">
        <f>IFERROR(INDEX(Scénarios!$B$2:$AI$232,MATCH($S78,Scénarios!$AI$2:$AI$232,0),MATCH(U$4,Scénarios!$B$4:$AI$4,0)),"-")</f>
        <v>-</v>
      </c>
      <c r="V78" s="588" t="str">
        <f>IFERROR(INDEX(Scénarios!$B$2:$AI$232,MATCH($S78,Scénarios!$AI$2:$AI$232,0),MATCH(V$4,Scénarios!$B$4:$AI$4,0)),"-")</f>
        <v>-</v>
      </c>
      <c r="W78" s="588" t="str">
        <f>IFERROR(INDEX(Scénarios!$B$2:$AI$232,MATCH($S78,Scénarios!$AI$2:$AI$232,0),MATCH(W$4,Scénarios!$B$4:$AI$4,0)),"-")</f>
        <v>-</v>
      </c>
      <c r="X78" s="588" t="str">
        <f>IFERROR(VLOOKUP(AD78,Expo!$D$4:$E$35,2,FALSE),"-")</f>
        <v>-</v>
      </c>
      <c r="Y78" s="859" t="str">
        <f>IFERROR(IF(INDEX(Scénarios!$B$2:$AI$232,MATCH($S78,Scénarios!$AI$2:$AI$232,0),MATCH(Y$4,Scénarios!$B$4:$AI$4,0))=0,"",INDEX(Scénarios!$B$2:$AI$232,MATCH($S78,Scénarios!$AI$2:$AI$232,0),MATCH(Y$4,Scénarios!$B$4:$AI$4,0))),"-")</f>
        <v>-</v>
      </c>
      <c r="Z78" s="589" t="str">
        <f>IFERROR(INDEX(Scénarios!$B$2:$AI$232,MATCH($S78,Scénarios!$AI$2:$AI$232,0),MATCH(Z$4,Scénarios!$B$4:$AI$4,0)),"-")</f>
        <v>-</v>
      </c>
      <c r="AA78" s="589" t="str">
        <f>IFERROR(INDEX(Scénarios!$B$2:$AI$232,MATCH($S78,Scénarios!$AI$2:$AI$232,0),MATCH(AA$4,Scénarios!$B$4:$AI$4,0)),"-")</f>
        <v>-</v>
      </c>
      <c r="AB78" s="586" t="str">
        <f>IFERROR(INDEX(Scénarios!$B$2:$AI$232,MATCH($S78,Scénarios!$AI$2:$AI$232,0),MATCH(AB$4,Scénarios!$B$4:$AI$4,0)),"-")</f>
        <v>-</v>
      </c>
      <c r="AC78" s="442" t="str">
        <f>IFERROR(INDEX(Tab_sel!$B$24:$C$27,MATCH($U78,Tab_sel!$C$24:$C$27,0),1),"-")</f>
        <v>-</v>
      </c>
      <c r="AD78" s="443" t="str">
        <f>IFERROR(INDEX(Scénarios!$B$2:$AI$232,MATCH($S78,Scénarios!$AI$2:$AI$232,0),MATCH(AD$4,Scénarios!$B$4:$AI$4,0)),"-")</f>
        <v>-</v>
      </c>
      <c r="AE78" s="460" t="str">
        <f>IFERROR(INDEX(Scénarios!$B$2:$AI$232,MATCH($S78,Scénarios!$AI$2:$AI$232,0),MATCH(AE$4,Scénarios!$B$4:$AI$4,0)),"-")</f>
        <v>-</v>
      </c>
      <c r="AF78" s="460" t="str">
        <f>IFERROR(INDEX(Scénarios!$B$2:$AI$232,MATCH($S78,Scénarios!$AI$2:$AI$232,0),MATCH(AF$4,Scénarios!$B$4:$AI$4,0)),"-")</f>
        <v>-</v>
      </c>
      <c r="AG78" s="460" t="str">
        <f>IFERROR(INDEX(Scénarios!$B$2:$AI$232,MATCH($S78,Scénarios!$AI$2:$AI$232,0),MATCH(AG$4,Scénarios!$B$4:$AI$4,0)),"-")</f>
        <v>-</v>
      </c>
      <c r="AH78" s="460" t="str">
        <f>IFERROR(INDEX(Scénarios!$B$2:$AI$232,MATCH($S78,Scénarios!$AI$2:$AI$232,0),MATCH(AH$4,Scénarios!$B$4:$AI$4,0)),"-")</f>
        <v>-</v>
      </c>
      <c r="AI78" s="443" t="str">
        <f>IFERROR(INDEX(Scénarios!$B$2:$AI$232,MATCH($S78,Scénarios!$AI$2:$AI$232,0),MATCH(AI$4,Scénarios!$B$4:$AI$4,0)),"-")</f>
        <v>-</v>
      </c>
      <c r="AJ78" s="443" t="str">
        <f>IFERROR(INDEX(Param!$A$3:$C$7,MATCH($AI78,Param!$C$3:$C$7,0),1),"-")</f>
        <v>-</v>
      </c>
      <c r="AK78" s="443" t="str">
        <f>IFERROR(INDEX(Scénarios!$B$2:$AI$232,MATCH($S78,Scénarios!$AI$2:$AI$232,0),MATCH(AK$4,Scénarios!$B$4:$AI$4,0)),"-")</f>
        <v>-</v>
      </c>
      <c r="AL78" s="443" t="str">
        <f>IFERROR(INDEX(Scénarios!$B$2:$AI$232,MATCH($S78,Scénarios!$AI$2:$AI$232,0),MATCH(AL$4,Scénarios!$B$4:$AI$4,0)),"-")</f>
        <v>-</v>
      </c>
      <c r="AM78" s="443" t="str">
        <f>IFERROR(INDEX(Param!$A$10:$C$14,MATCH($AL78,Param!$C$10:$C$14,0),1),"-")</f>
        <v>-</v>
      </c>
      <c r="AN78" s="443" t="str">
        <f>IFERROR(IF(INDEX(Scénarios!$B$2:$AI$232,MATCH($S78,Scénarios!$AI$2:$AI$232,0),MATCH(AN$4,Scénarios!$B$4:$AI$4,0))=0,"",INDEX(Scénarios!$B$2:$AI$232,MATCH($S78,Scénarios!$AI$2:$AI$232,0),MATCH(AN$4,Scénarios!$B$4:$AI$4,0))),"-")</f>
        <v>-</v>
      </c>
      <c r="AO78" s="443" t="str">
        <f>IFERROR(INDEX(Scénarios!$B$2:$AI$232,MATCH($S78,Scénarios!$AI$2:$AI$232,0),MATCH(AO$4,Scénarios!$B$4:$AI$4,0)),"-")</f>
        <v>-</v>
      </c>
      <c r="AP78" s="443" t="str">
        <f>IFERROR(INDEX(Param!$A$17:$C$21,MATCH($AO78,Param!$C$17:$C$21,0),1),"-")</f>
        <v>-</v>
      </c>
      <c r="AQ78" s="443" t="str">
        <f>IFERROR(IF(INDEX(Scénarios!$B$2:$AI$232,MATCH($S78,Scénarios!$AI$2:$AI$232,0),MATCH(AQ$4,Scénarios!$B$4:$AI$4,0))=0,"",INDEX(Scénarios!$B$2:$AI$232,MATCH($S78,Scénarios!$AI$2:$AI$232,0),MATCH(AQ$4,Scénarios!$B$4:$AI$4,0))),"-")</f>
        <v>-</v>
      </c>
      <c r="AR78" s="443" t="str">
        <f>IFERROR(INDEX(Scénarios!$B$2:$AI$232,MATCH($S78,Scénarios!$AI$2:$AI$232,0),MATCH(AR$4,Scénarios!$B$4:$AI$4,0)),"-")</f>
        <v>-</v>
      </c>
      <c r="AS78" s="443" t="str">
        <f>IFERROR(INDEX(Param!$A$24:$C$28,MATCH($AR78,Param!$C$24:$C$28,0),1),"-")</f>
        <v>-</v>
      </c>
      <c r="AT78" s="443" t="str">
        <f>IFERROR(IF(INDEX(Scénarios!$B$2:$AI$232,MATCH($S78,Scénarios!$AI$2:$AI$232,0),MATCH(AT$4,Scénarios!$B$4:$AI$4,0))=0,"",INDEX(Scénarios!$B$2:$AI$232,MATCH($S78,Scénarios!$AI$2:$AI$232,0),MATCH(AT$4,Scénarios!$B$4:$AI$4,0))),"-")</f>
        <v>-</v>
      </c>
      <c r="AU78" s="462" t="str">
        <f>IFERROR(INDEX(Scénarios!$B$2:$AI$232,MATCH($S78,Scénarios!$AI$2:$AI$232,0),MATCH(AU$4,Scénarios!$B$4:$AI$4,0)),"-")</f>
        <v>-</v>
      </c>
      <c r="AV78" s="462" t="str">
        <f>IFERROR(INDEX(Scénarios!$B$2:$AI$232,MATCH($S78,Scénarios!$AI$2:$AI$232,0),MATCH(AV$4,Scénarios!$B$4:$AI$4,0)),"-")</f>
        <v>-</v>
      </c>
      <c r="AW78" s="462" t="str">
        <f>IFERROR(INDEX(Scénarios!$B$2:$AI$232,MATCH($S78,Scénarios!$AI$2:$AI$232,0),MATCH(AW$4,Scénarios!$B$4:$AI$4,0)),"-")</f>
        <v>-</v>
      </c>
      <c r="AX78" s="462" t="str">
        <f>IFERROR(INDEX(Scénarios!$B$2:$AI$232,MATCH($S78,Scénarios!$AI$2:$AI$232,0),MATCH(AX$4,Scénarios!$B$4:$AI$4,0)),"-")</f>
        <v>-</v>
      </c>
      <c r="AY78" s="443" t="str">
        <f>IFERROR(INDEX(Scénarios!$B$2:$AI$232,MATCH($S78,Scénarios!$AI$2:$AI$232,0),MATCH(AY$4,Scénarios!$B$4:$AI$4,0)),"-")</f>
        <v>-</v>
      </c>
      <c r="AZ78" s="588" t="str">
        <f>IFERROR(INDEX(Param!$A$31:$C$35,MATCH($AY78,Param!$C$31:$C$35,0),1),"-")</f>
        <v>-</v>
      </c>
      <c r="BA78" s="588" t="str">
        <f>IFERROR(IF(INDEX(Scénarios!$B$2:$AI$232,MATCH($S78,Scénarios!$AI$2:$AI$232,0),MATCH(BA$4,Scénarios!$B$4:$AI$4,0))=0,"",INDEX(Scénarios!$B$2:$AI$232,MATCH($S78,Scénarios!$AI$2:$AI$232,0),MATCH(BA$4,Scénarios!$B$4:$AI$4,0))),"-")</f>
        <v>-</v>
      </c>
      <c r="BB78" s="443" t="str">
        <f>IFERROR(IF(INDEX(Scénarios!$B$2:$AK$237,MATCH($S78,Scénarios!$AI$2:$AI$237,0),MATCH(BB$4,Scénarios!$B$4:$AK$4,0))=0,"",INDEX(Scénarios!$B$2:$AK$237,MATCH($S78,Scénarios!$AI$2:$AI$237,0),MATCH(BB$4,Scénarios!$B$4:$AK$4,0))),"-")</f>
        <v>-</v>
      </c>
      <c r="BC78" s="443" t="str">
        <f>IFERROR(INDEX(Scénarios!$B$2:$AV$232,MATCH($S78,Scénarios!$AI$2:$AI$232,0),MATCH(BC$4,Scénarios!$B$4:$AV$4,0)),"-")</f>
        <v>-</v>
      </c>
    </row>
    <row r="79" spans="15:55" ht="25.5" customHeight="1" x14ac:dyDescent="0.25">
      <c r="O79" s="604" t="str">
        <f t="shared" si="1"/>
        <v>Fiche R75 sans décision :
Veuillez ajouter une décision</v>
      </c>
      <c r="P79" s="609" t="s">
        <v>2188</v>
      </c>
      <c r="Q79" s="605" t="s">
        <v>2067</v>
      </c>
      <c r="R79" s="585" t="s">
        <v>2068</v>
      </c>
      <c r="S79" s="587" t="s">
        <v>2113</v>
      </c>
      <c r="T79" s="588" t="str">
        <f>IFERROR(INDEX(Tab_sel!$B$7:$C$18,MATCH($AB79,Tab_sel!$C$7:$C$18,0),1),"-")</f>
        <v>-</v>
      </c>
      <c r="U79" s="589" t="str">
        <f>IFERROR(INDEX(Scénarios!$B$2:$AI$232,MATCH($S79,Scénarios!$AI$2:$AI$232,0),MATCH(U$4,Scénarios!$B$4:$AI$4,0)),"-")</f>
        <v>-</v>
      </c>
      <c r="V79" s="588" t="str">
        <f>IFERROR(INDEX(Scénarios!$B$2:$AI$232,MATCH($S79,Scénarios!$AI$2:$AI$232,0),MATCH(V$4,Scénarios!$B$4:$AI$4,0)),"-")</f>
        <v>-</v>
      </c>
      <c r="W79" s="588" t="str">
        <f>IFERROR(INDEX(Scénarios!$B$2:$AI$232,MATCH($S79,Scénarios!$AI$2:$AI$232,0),MATCH(W$4,Scénarios!$B$4:$AI$4,0)),"-")</f>
        <v>-</v>
      </c>
      <c r="X79" s="588" t="str">
        <f>IFERROR(VLOOKUP(AD79,Expo!$D$4:$E$35,2,FALSE),"-")</f>
        <v>-</v>
      </c>
      <c r="Y79" s="859" t="str">
        <f>IFERROR(IF(INDEX(Scénarios!$B$2:$AI$232,MATCH($S79,Scénarios!$AI$2:$AI$232,0),MATCH(Y$4,Scénarios!$B$4:$AI$4,0))=0,"",INDEX(Scénarios!$B$2:$AI$232,MATCH($S79,Scénarios!$AI$2:$AI$232,0),MATCH(Y$4,Scénarios!$B$4:$AI$4,0))),"-")</f>
        <v>-</v>
      </c>
      <c r="Z79" s="589" t="str">
        <f>IFERROR(INDEX(Scénarios!$B$2:$AI$232,MATCH($S79,Scénarios!$AI$2:$AI$232,0),MATCH(Z$4,Scénarios!$B$4:$AI$4,0)),"-")</f>
        <v>-</v>
      </c>
      <c r="AA79" s="589" t="str">
        <f>IFERROR(INDEX(Scénarios!$B$2:$AI$232,MATCH($S79,Scénarios!$AI$2:$AI$232,0),MATCH(AA$4,Scénarios!$B$4:$AI$4,0)),"-")</f>
        <v>-</v>
      </c>
      <c r="AB79" s="586" t="str">
        <f>IFERROR(INDEX(Scénarios!$B$2:$AI$232,MATCH($S79,Scénarios!$AI$2:$AI$232,0),MATCH(AB$4,Scénarios!$B$4:$AI$4,0)),"-")</f>
        <v>-</v>
      </c>
      <c r="AC79" s="442" t="str">
        <f>IFERROR(INDEX(Tab_sel!$B$24:$C$27,MATCH($U79,Tab_sel!$C$24:$C$27,0),1),"-")</f>
        <v>-</v>
      </c>
      <c r="AD79" s="443" t="str">
        <f>IFERROR(INDEX(Scénarios!$B$2:$AI$232,MATCH($S79,Scénarios!$AI$2:$AI$232,0),MATCH(AD$4,Scénarios!$B$4:$AI$4,0)),"-")</f>
        <v>-</v>
      </c>
      <c r="AE79" s="460" t="str">
        <f>IFERROR(INDEX(Scénarios!$B$2:$AI$232,MATCH($S79,Scénarios!$AI$2:$AI$232,0),MATCH(AE$4,Scénarios!$B$4:$AI$4,0)),"-")</f>
        <v>-</v>
      </c>
      <c r="AF79" s="460" t="str">
        <f>IFERROR(INDEX(Scénarios!$B$2:$AI$232,MATCH($S79,Scénarios!$AI$2:$AI$232,0),MATCH(AF$4,Scénarios!$B$4:$AI$4,0)),"-")</f>
        <v>-</v>
      </c>
      <c r="AG79" s="460" t="str">
        <f>IFERROR(INDEX(Scénarios!$B$2:$AI$232,MATCH($S79,Scénarios!$AI$2:$AI$232,0),MATCH(AG$4,Scénarios!$B$4:$AI$4,0)),"-")</f>
        <v>-</v>
      </c>
      <c r="AH79" s="460" t="str">
        <f>IFERROR(INDEX(Scénarios!$B$2:$AI$232,MATCH($S79,Scénarios!$AI$2:$AI$232,0),MATCH(AH$4,Scénarios!$B$4:$AI$4,0)),"-")</f>
        <v>-</v>
      </c>
      <c r="AI79" s="443" t="str">
        <f>IFERROR(INDEX(Scénarios!$B$2:$AI$232,MATCH($S79,Scénarios!$AI$2:$AI$232,0),MATCH(AI$4,Scénarios!$B$4:$AI$4,0)),"-")</f>
        <v>-</v>
      </c>
      <c r="AJ79" s="443" t="str">
        <f>IFERROR(INDEX(Param!$A$3:$C$7,MATCH($AI79,Param!$C$3:$C$7,0),1),"-")</f>
        <v>-</v>
      </c>
      <c r="AK79" s="443" t="str">
        <f>IFERROR(INDEX(Scénarios!$B$2:$AI$232,MATCH($S79,Scénarios!$AI$2:$AI$232,0),MATCH(AK$4,Scénarios!$B$4:$AI$4,0)),"-")</f>
        <v>-</v>
      </c>
      <c r="AL79" s="443" t="str">
        <f>IFERROR(INDEX(Scénarios!$B$2:$AI$232,MATCH($S79,Scénarios!$AI$2:$AI$232,0),MATCH(AL$4,Scénarios!$B$4:$AI$4,0)),"-")</f>
        <v>-</v>
      </c>
      <c r="AM79" s="443" t="str">
        <f>IFERROR(INDEX(Param!$A$10:$C$14,MATCH($AL79,Param!$C$10:$C$14,0),1),"-")</f>
        <v>-</v>
      </c>
      <c r="AN79" s="443" t="str">
        <f>IFERROR(IF(INDEX(Scénarios!$B$2:$AI$232,MATCH($S79,Scénarios!$AI$2:$AI$232,0),MATCH(AN$4,Scénarios!$B$4:$AI$4,0))=0,"",INDEX(Scénarios!$B$2:$AI$232,MATCH($S79,Scénarios!$AI$2:$AI$232,0),MATCH(AN$4,Scénarios!$B$4:$AI$4,0))),"-")</f>
        <v>-</v>
      </c>
      <c r="AO79" s="443" t="str">
        <f>IFERROR(INDEX(Scénarios!$B$2:$AI$232,MATCH($S79,Scénarios!$AI$2:$AI$232,0),MATCH(AO$4,Scénarios!$B$4:$AI$4,0)),"-")</f>
        <v>-</v>
      </c>
      <c r="AP79" s="443" t="str">
        <f>IFERROR(INDEX(Param!$A$17:$C$21,MATCH($AO79,Param!$C$17:$C$21,0),1),"-")</f>
        <v>-</v>
      </c>
      <c r="AQ79" s="443" t="str">
        <f>IFERROR(IF(INDEX(Scénarios!$B$2:$AI$232,MATCH($S79,Scénarios!$AI$2:$AI$232,0),MATCH(AQ$4,Scénarios!$B$4:$AI$4,0))=0,"",INDEX(Scénarios!$B$2:$AI$232,MATCH($S79,Scénarios!$AI$2:$AI$232,0),MATCH(AQ$4,Scénarios!$B$4:$AI$4,0))),"-")</f>
        <v>-</v>
      </c>
      <c r="AR79" s="443" t="str">
        <f>IFERROR(INDEX(Scénarios!$B$2:$AI$232,MATCH($S79,Scénarios!$AI$2:$AI$232,0),MATCH(AR$4,Scénarios!$B$4:$AI$4,0)),"-")</f>
        <v>-</v>
      </c>
      <c r="AS79" s="443" t="str">
        <f>IFERROR(INDEX(Param!$A$24:$C$28,MATCH($AR79,Param!$C$24:$C$28,0),1),"-")</f>
        <v>-</v>
      </c>
      <c r="AT79" s="443" t="str">
        <f>IFERROR(IF(INDEX(Scénarios!$B$2:$AI$232,MATCH($S79,Scénarios!$AI$2:$AI$232,0),MATCH(AT$4,Scénarios!$B$4:$AI$4,0))=0,"",INDEX(Scénarios!$B$2:$AI$232,MATCH($S79,Scénarios!$AI$2:$AI$232,0),MATCH(AT$4,Scénarios!$B$4:$AI$4,0))),"-")</f>
        <v>-</v>
      </c>
      <c r="AU79" s="462" t="str">
        <f>IFERROR(INDEX(Scénarios!$B$2:$AI$232,MATCH($S79,Scénarios!$AI$2:$AI$232,0),MATCH(AU$4,Scénarios!$B$4:$AI$4,0)),"-")</f>
        <v>-</v>
      </c>
      <c r="AV79" s="462" t="str">
        <f>IFERROR(INDEX(Scénarios!$B$2:$AI$232,MATCH($S79,Scénarios!$AI$2:$AI$232,0),MATCH(AV$4,Scénarios!$B$4:$AI$4,0)),"-")</f>
        <v>-</v>
      </c>
      <c r="AW79" s="462" t="str">
        <f>IFERROR(INDEX(Scénarios!$B$2:$AI$232,MATCH($S79,Scénarios!$AI$2:$AI$232,0),MATCH(AW$4,Scénarios!$B$4:$AI$4,0)),"-")</f>
        <v>-</v>
      </c>
      <c r="AX79" s="462" t="str">
        <f>IFERROR(INDEX(Scénarios!$B$2:$AI$232,MATCH($S79,Scénarios!$AI$2:$AI$232,0),MATCH(AX$4,Scénarios!$B$4:$AI$4,0)),"-")</f>
        <v>-</v>
      </c>
      <c r="AY79" s="443" t="str">
        <f>IFERROR(INDEX(Scénarios!$B$2:$AI$232,MATCH($S79,Scénarios!$AI$2:$AI$232,0),MATCH(AY$4,Scénarios!$B$4:$AI$4,0)),"-")</f>
        <v>-</v>
      </c>
      <c r="AZ79" s="588" t="str">
        <f>IFERROR(INDEX(Param!$A$31:$C$35,MATCH($AY79,Param!$C$31:$C$35,0),1),"-")</f>
        <v>-</v>
      </c>
      <c r="BA79" s="588" t="str">
        <f>IFERROR(IF(INDEX(Scénarios!$B$2:$AI$232,MATCH($S79,Scénarios!$AI$2:$AI$232,0),MATCH(BA$4,Scénarios!$B$4:$AI$4,0))=0,"",INDEX(Scénarios!$B$2:$AI$232,MATCH($S79,Scénarios!$AI$2:$AI$232,0),MATCH(BA$4,Scénarios!$B$4:$AI$4,0))),"-")</f>
        <v>-</v>
      </c>
      <c r="BB79" s="443" t="str">
        <f>IFERROR(IF(INDEX(Scénarios!$B$2:$AK$237,MATCH($S79,Scénarios!$AI$2:$AI$237,0),MATCH(BB$4,Scénarios!$B$4:$AK$4,0))=0,"",INDEX(Scénarios!$B$2:$AK$237,MATCH($S79,Scénarios!$AI$2:$AI$237,0),MATCH(BB$4,Scénarios!$B$4:$AK$4,0))),"-")</f>
        <v>-</v>
      </c>
      <c r="BC79" s="443" t="str">
        <f>IFERROR(INDEX(Scénarios!$B$2:$AV$232,MATCH($S79,Scénarios!$AI$2:$AI$232,0),MATCH(BC$4,Scénarios!$B$4:$AV$4,0)),"-")</f>
        <v>-</v>
      </c>
    </row>
    <row r="80" spans="15:55" ht="25.5" customHeight="1" x14ac:dyDescent="0.25">
      <c r="O80" s="604" t="str">
        <f t="shared" si="1"/>
        <v>Fiche R76 sans décision :
Veuillez ajouter une décision</v>
      </c>
      <c r="P80" s="609" t="s">
        <v>2188</v>
      </c>
      <c r="Q80" s="605" t="s">
        <v>2067</v>
      </c>
      <c r="R80" s="585" t="s">
        <v>2068</v>
      </c>
      <c r="S80" s="587" t="s">
        <v>2114</v>
      </c>
      <c r="T80" s="588" t="str">
        <f>IFERROR(INDEX(Tab_sel!$B$7:$C$18,MATCH($AB80,Tab_sel!$C$7:$C$18,0),1),"-")</f>
        <v>-</v>
      </c>
      <c r="U80" s="589" t="str">
        <f>IFERROR(INDEX(Scénarios!$B$2:$AI$232,MATCH($S80,Scénarios!$AI$2:$AI$232,0),MATCH(U$4,Scénarios!$B$4:$AI$4,0)),"-")</f>
        <v>-</v>
      </c>
      <c r="V80" s="588" t="str">
        <f>IFERROR(INDEX(Scénarios!$B$2:$AI$232,MATCH($S80,Scénarios!$AI$2:$AI$232,0),MATCH(V$4,Scénarios!$B$4:$AI$4,0)),"-")</f>
        <v>-</v>
      </c>
      <c r="W80" s="588" t="str">
        <f>IFERROR(INDEX(Scénarios!$B$2:$AI$232,MATCH($S80,Scénarios!$AI$2:$AI$232,0),MATCH(W$4,Scénarios!$B$4:$AI$4,0)),"-")</f>
        <v>-</v>
      </c>
      <c r="X80" s="588" t="str">
        <f>IFERROR(VLOOKUP(AD80,Expo!$D$4:$E$35,2,FALSE),"-")</f>
        <v>-</v>
      </c>
      <c r="Y80" s="859" t="str">
        <f>IFERROR(IF(INDEX(Scénarios!$B$2:$AI$232,MATCH($S80,Scénarios!$AI$2:$AI$232,0),MATCH(Y$4,Scénarios!$B$4:$AI$4,0))=0,"",INDEX(Scénarios!$B$2:$AI$232,MATCH($S80,Scénarios!$AI$2:$AI$232,0),MATCH(Y$4,Scénarios!$B$4:$AI$4,0))),"-")</f>
        <v>-</v>
      </c>
      <c r="Z80" s="589" t="str">
        <f>IFERROR(INDEX(Scénarios!$B$2:$AI$232,MATCH($S80,Scénarios!$AI$2:$AI$232,0),MATCH(Z$4,Scénarios!$B$4:$AI$4,0)),"-")</f>
        <v>-</v>
      </c>
      <c r="AA80" s="589" t="str">
        <f>IFERROR(INDEX(Scénarios!$B$2:$AI$232,MATCH($S80,Scénarios!$AI$2:$AI$232,0),MATCH(AA$4,Scénarios!$B$4:$AI$4,0)),"-")</f>
        <v>-</v>
      </c>
      <c r="AB80" s="586" t="str">
        <f>IFERROR(INDEX(Scénarios!$B$2:$AI$232,MATCH($S80,Scénarios!$AI$2:$AI$232,0),MATCH(AB$4,Scénarios!$B$4:$AI$4,0)),"-")</f>
        <v>-</v>
      </c>
      <c r="AC80" s="442" t="str">
        <f>IFERROR(INDEX(Tab_sel!$B$24:$C$27,MATCH($U80,Tab_sel!$C$24:$C$27,0),1),"-")</f>
        <v>-</v>
      </c>
      <c r="AD80" s="443" t="str">
        <f>IFERROR(INDEX(Scénarios!$B$2:$AI$232,MATCH($S80,Scénarios!$AI$2:$AI$232,0),MATCH(AD$4,Scénarios!$B$4:$AI$4,0)),"-")</f>
        <v>-</v>
      </c>
      <c r="AE80" s="460" t="str">
        <f>IFERROR(INDEX(Scénarios!$B$2:$AI$232,MATCH($S80,Scénarios!$AI$2:$AI$232,0),MATCH(AE$4,Scénarios!$B$4:$AI$4,0)),"-")</f>
        <v>-</v>
      </c>
      <c r="AF80" s="460" t="str">
        <f>IFERROR(INDEX(Scénarios!$B$2:$AI$232,MATCH($S80,Scénarios!$AI$2:$AI$232,0),MATCH(AF$4,Scénarios!$B$4:$AI$4,0)),"-")</f>
        <v>-</v>
      </c>
      <c r="AG80" s="460" t="str">
        <f>IFERROR(INDEX(Scénarios!$B$2:$AI$232,MATCH($S80,Scénarios!$AI$2:$AI$232,0),MATCH(AG$4,Scénarios!$B$4:$AI$4,0)),"-")</f>
        <v>-</v>
      </c>
      <c r="AH80" s="460" t="str">
        <f>IFERROR(INDEX(Scénarios!$B$2:$AI$232,MATCH($S80,Scénarios!$AI$2:$AI$232,0),MATCH(AH$4,Scénarios!$B$4:$AI$4,0)),"-")</f>
        <v>-</v>
      </c>
      <c r="AI80" s="443" t="str">
        <f>IFERROR(INDEX(Scénarios!$B$2:$AI$232,MATCH($S80,Scénarios!$AI$2:$AI$232,0),MATCH(AI$4,Scénarios!$B$4:$AI$4,0)),"-")</f>
        <v>-</v>
      </c>
      <c r="AJ80" s="443" t="str">
        <f>IFERROR(INDEX(Param!$A$3:$C$7,MATCH($AI80,Param!$C$3:$C$7,0),1),"-")</f>
        <v>-</v>
      </c>
      <c r="AK80" s="443" t="str">
        <f>IFERROR(INDEX(Scénarios!$B$2:$AI$232,MATCH($S80,Scénarios!$AI$2:$AI$232,0),MATCH(AK$4,Scénarios!$B$4:$AI$4,0)),"-")</f>
        <v>-</v>
      </c>
      <c r="AL80" s="443" t="str">
        <f>IFERROR(INDEX(Scénarios!$B$2:$AI$232,MATCH($S80,Scénarios!$AI$2:$AI$232,0),MATCH(AL$4,Scénarios!$B$4:$AI$4,0)),"-")</f>
        <v>-</v>
      </c>
      <c r="AM80" s="443" t="str">
        <f>IFERROR(INDEX(Param!$A$10:$C$14,MATCH($AL80,Param!$C$10:$C$14,0),1),"-")</f>
        <v>-</v>
      </c>
      <c r="AN80" s="443" t="str">
        <f>IFERROR(IF(INDEX(Scénarios!$B$2:$AI$232,MATCH($S80,Scénarios!$AI$2:$AI$232,0),MATCH(AN$4,Scénarios!$B$4:$AI$4,0))=0,"",INDEX(Scénarios!$B$2:$AI$232,MATCH($S80,Scénarios!$AI$2:$AI$232,0),MATCH(AN$4,Scénarios!$B$4:$AI$4,0))),"-")</f>
        <v>-</v>
      </c>
      <c r="AO80" s="443" t="str">
        <f>IFERROR(INDEX(Scénarios!$B$2:$AI$232,MATCH($S80,Scénarios!$AI$2:$AI$232,0),MATCH(AO$4,Scénarios!$B$4:$AI$4,0)),"-")</f>
        <v>-</v>
      </c>
      <c r="AP80" s="443" t="str">
        <f>IFERROR(INDEX(Param!$A$17:$C$21,MATCH($AO80,Param!$C$17:$C$21,0),1),"-")</f>
        <v>-</v>
      </c>
      <c r="AQ80" s="443" t="str">
        <f>IFERROR(IF(INDEX(Scénarios!$B$2:$AI$232,MATCH($S80,Scénarios!$AI$2:$AI$232,0),MATCH(AQ$4,Scénarios!$B$4:$AI$4,0))=0,"",INDEX(Scénarios!$B$2:$AI$232,MATCH($S80,Scénarios!$AI$2:$AI$232,0),MATCH(AQ$4,Scénarios!$B$4:$AI$4,0))),"-")</f>
        <v>-</v>
      </c>
      <c r="AR80" s="443" t="str">
        <f>IFERROR(INDEX(Scénarios!$B$2:$AI$232,MATCH($S80,Scénarios!$AI$2:$AI$232,0),MATCH(AR$4,Scénarios!$B$4:$AI$4,0)),"-")</f>
        <v>-</v>
      </c>
      <c r="AS80" s="443" t="str">
        <f>IFERROR(INDEX(Param!$A$24:$C$28,MATCH($AR80,Param!$C$24:$C$28,0),1),"-")</f>
        <v>-</v>
      </c>
      <c r="AT80" s="443" t="str">
        <f>IFERROR(IF(INDEX(Scénarios!$B$2:$AI$232,MATCH($S80,Scénarios!$AI$2:$AI$232,0),MATCH(AT$4,Scénarios!$B$4:$AI$4,0))=0,"",INDEX(Scénarios!$B$2:$AI$232,MATCH($S80,Scénarios!$AI$2:$AI$232,0),MATCH(AT$4,Scénarios!$B$4:$AI$4,0))),"-")</f>
        <v>-</v>
      </c>
      <c r="AU80" s="462" t="str">
        <f>IFERROR(INDEX(Scénarios!$B$2:$AI$232,MATCH($S80,Scénarios!$AI$2:$AI$232,0),MATCH(AU$4,Scénarios!$B$4:$AI$4,0)),"-")</f>
        <v>-</v>
      </c>
      <c r="AV80" s="462" t="str">
        <f>IFERROR(INDEX(Scénarios!$B$2:$AI$232,MATCH($S80,Scénarios!$AI$2:$AI$232,0),MATCH(AV$4,Scénarios!$B$4:$AI$4,0)),"-")</f>
        <v>-</v>
      </c>
      <c r="AW80" s="462" t="str">
        <f>IFERROR(INDEX(Scénarios!$B$2:$AI$232,MATCH($S80,Scénarios!$AI$2:$AI$232,0),MATCH(AW$4,Scénarios!$B$4:$AI$4,0)),"-")</f>
        <v>-</v>
      </c>
      <c r="AX80" s="462" t="str">
        <f>IFERROR(INDEX(Scénarios!$B$2:$AI$232,MATCH($S80,Scénarios!$AI$2:$AI$232,0),MATCH(AX$4,Scénarios!$B$4:$AI$4,0)),"-")</f>
        <v>-</v>
      </c>
      <c r="AY80" s="443" t="str">
        <f>IFERROR(INDEX(Scénarios!$B$2:$AI$232,MATCH($S80,Scénarios!$AI$2:$AI$232,0),MATCH(AY$4,Scénarios!$B$4:$AI$4,0)),"-")</f>
        <v>-</v>
      </c>
      <c r="AZ80" s="588" t="str">
        <f>IFERROR(INDEX(Param!$A$31:$C$35,MATCH($AY80,Param!$C$31:$C$35,0),1),"-")</f>
        <v>-</v>
      </c>
      <c r="BA80" s="588" t="str">
        <f>IFERROR(IF(INDEX(Scénarios!$B$2:$AI$232,MATCH($S80,Scénarios!$AI$2:$AI$232,0),MATCH(BA$4,Scénarios!$B$4:$AI$4,0))=0,"",INDEX(Scénarios!$B$2:$AI$232,MATCH($S80,Scénarios!$AI$2:$AI$232,0),MATCH(BA$4,Scénarios!$B$4:$AI$4,0))),"-")</f>
        <v>-</v>
      </c>
      <c r="BB80" s="443" t="str">
        <f>IFERROR(IF(INDEX(Scénarios!$B$2:$AK$237,MATCH($S80,Scénarios!$AI$2:$AI$237,0),MATCH(BB$4,Scénarios!$B$4:$AK$4,0))=0,"",INDEX(Scénarios!$B$2:$AK$237,MATCH($S80,Scénarios!$AI$2:$AI$237,0),MATCH(BB$4,Scénarios!$B$4:$AK$4,0))),"-")</f>
        <v>-</v>
      </c>
      <c r="BC80" s="443" t="str">
        <f>IFERROR(INDEX(Scénarios!$B$2:$AV$232,MATCH($S80,Scénarios!$AI$2:$AI$232,0),MATCH(BC$4,Scénarios!$B$4:$AV$4,0)),"-")</f>
        <v>-</v>
      </c>
    </row>
    <row r="81" spans="15:55" ht="25.5" customHeight="1" x14ac:dyDescent="0.25">
      <c r="O81" s="604" t="str">
        <f t="shared" si="1"/>
        <v>Fiche R77 sans décision :
Veuillez ajouter une décision</v>
      </c>
      <c r="P81" s="609" t="s">
        <v>2188</v>
      </c>
      <c r="Q81" s="605" t="s">
        <v>2067</v>
      </c>
      <c r="R81" s="585" t="s">
        <v>2068</v>
      </c>
      <c r="S81" s="587" t="s">
        <v>2115</v>
      </c>
      <c r="T81" s="588" t="str">
        <f>IFERROR(INDEX(Tab_sel!$B$7:$C$18,MATCH($AB81,Tab_sel!$C$7:$C$18,0),1),"-")</f>
        <v>-</v>
      </c>
      <c r="U81" s="589" t="str">
        <f>IFERROR(INDEX(Scénarios!$B$2:$AI$232,MATCH($S81,Scénarios!$AI$2:$AI$232,0),MATCH(U$4,Scénarios!$B$4:$AI$4,0)),"-")</f>
        <v>-</v>
      </c>
      <c r="V81" s="588" t="str">
        <f>IFERROR(INDEX(Scénarios!$B$2:$AI$232,MATCH($S81,Scénarios!$AI$2:$AI$232,0),MATCH(V$4,Scénarios!$B$4:$AI$4,0)),"-")</f>
        <v>-</v>
      </c>
      <c r="W81" s="588" t="str">
        <f>IFERROR(INDEX(Scénarios!$B$2:$AI$232,MATCH($S81,Scénarios!$AI$2:$AI$232,0),MATCH(W$4,Scénarios!$B$4:$AI$4,0)),"-")</f>
        <v>-</v>
      </c>
      <c r="X81" s="588" t="str">
        <f>IFERROR(VLOOKUP(AD81,Expo!$D$4:$E$35,2,FALSE),"-")</f>
        <v>-</v>
      </c>
      <c r="Y81" s="859" t="str">
        <f>IFERROR(IF(INDEX(Scénarios!$B$2:$AI$232,MATCH($S81,Scénarios!$AI$2:$AI$232,0),MATCH(Y$4,Scénarios!$B$4:$AI$4,0))=0,"",INDEX(Scénarios!$B$2:$AI$232,MATCH($S81,Scénarios!$AI$2:$AI$232,0),MATCH(Y$4,Scénarios!$B$4:$AI$4,0))),"-")</f>
        <v>-</v>
      </c>
      <c r="Z81" s="589" t="str">
        <f>IFERROR(INDEX(Scénarios!$B$2:$AI$232,MATCH($S81,Scénarios!$AI$2:$AI$232,0),MATCH(Z$4,Scénarios!$B$4:$AI$4,0)),"-")</f>
        <v>-</v>
      </c>
      <c r="AA81" s="589" t="str">
        <f>IFERROR(INDEX(Scénarios!$B$2:$AI$232,MATCH($S81,Scénarios!$AI$2:$AI$232,0),MATCH(AA$4,Scénarios!$B$4:$AI$4,0)),"-")</f>
        <v>-</v>
      </c>
      <c r="AB81" s="586" t="str">
        <f>IFERROR(INDEX(Scénarios!$B$2:$AI$232,MATCH($S81,Scénarios!$AI$2:$AI$232,0),MATCH(AB$4,Scénarios!$B$4:$AI$4,0)),"-")</f>
        <v>-</v>
      </c>
      <c r="AC81" s="442" t="str">
        <f>IFERROR(INDEX(Tab_sel!$B$24:$C$27,MATCH($U81,Tab_sel!$C$24:$C$27,0),1),"-")</f>
        <v>-</v>
      </c>
      <c r="AD81" s="443" t="str">
        <f>IFERROR(INDEX(Scénarios!$B$2:$AI$232,MATCH($S81,Scénarios!$AI$2:$AI$232,0),MATCH(AD$4,Scénarios!$B$4:$AI$4,0)),"-")</f>
        <v>-</v>
      </c>
      <c r="AE81" s="460" t="str">
        <f>IFERROR(INDEX(Scénarios!$B$2:$AI$232,MATCH($S81,Scénarios!$AI$2:$AI$232,0),MATCH(AE$4,Scénarios!$B$4:$AI$4,0)),"-")</f>
        <v>-</v>
      </c>
      <c r="AF81" s="460" t="str">
        <f>IFERROR(INDEX(Scénarios!$B$2:$AI$232,MATCH($S81,Scénarios!$AI$2:$AI$232,0),MATCH(AF$4,Scénarios!$B$4:$AI$4,0)),"-")</f>
        <v>-</v>
      </c>
      <c r="AG81" s="460" t="str">
        <f>IFERROR(INDEX(Scénarios!$B$2:$AI$232,MATCH($S81,Scénarios!$AI$2:$AI$232,0),MATCH(AG$4,Scénarios!$B$4:$AI$4,0)),"-")</f>
        <v>-</v>
      </c>
      <c r="AH81" s="460" t="str">
        <f>IFERROR(INDEX(Scénarios!$B$2:$AI$232,MATCH($S81,Scénarios!$AI$2:$AI$232,0),MATCH(AH$4,Scénarios!$B$4:$AI$4,0)),"-")</f>
        <v>-</v>
      </c>
      <c r="AI81" s="443" t="str">
        <f>IFERROR(INDEX(Scénarios!$B$2:$AI$232,MATCH($S81,Scénarios!$AI$2:$AI$232,0),MATCH(AI$4,Scénarios!$B$4:$AI$4,0)),"-")</f>
        <v>-</v>
      </c>
      <c r="AJ81" s="443" t="str">
        <f>IFERROR(INDEX(Param!$A$3:$C$7,MATCH($AI81,Param!$C$3:$C$7,0),1),"-")</f>
        <v>-</v>
      </c>
      <c r="AK81" s="443" t="str">
        <f>IFERROR(INDEX(Scénarios!$B$2:$AI$232,MATCH($S81,Scénarios!$AI$2:$AI$232,0),MATCH(AK$4,Scénarios!$B$4:$AI$4,0)),"-")</f>
        <v>-</v>
      </c>
      <c r="AL81" s="443" t="str">
        <f>IFERROR(INDEX(Scénarios!$B$2:$AI$232,MATCH($S81,Scénarios!$AI$2:$AI$232,0),MATCH(AL$4,Scénarios!$B$4:$AI$4,0)),"-")</f>
        <v>-</v>
      </c>
      <c r="AM81" s="443" t="str">
        <f>IFERROR(INDEX(Param!$A$10:$C$14,MATCH($AL81,Param!$C$10:$C$14,0),1),"-")</f>
        <v>-</v>
      </c>
      <c r="AN81" s="443" t="str">
        <f>IFERROR(IF(INDEX(Scénarios!$B$2:$AI$232,MATCH($S81,Scénarios!$AI$2:$AI$232,0),MATCH(AN$4,Scénarios!$B$4:$AI$4,0))=0,"",INDEX(Scénarios!$B$2:$AI$232,MATCH($S81,Scénarios!$AI$2:$AI$232,0),MATCH(AN$4,Scénarios!$B$4:$AI$4,0))),"-")</f>
        <v>-</v>
      </c>
      <c r="AO81" s="443" t="str">
        <f>IFERROR(INDEX(Scénarios!$B$2:$AI$232,MATCH($S81,Scénarios!$AI$2:$AI$232,0),MATCH(AO$4,Scénarios!$B$4:$AI$4,0)),"-")</f>
        <v>-</v>
      </c>
      <c r="AP81" s="443" t="str">
        <f>IFERROR(INDEX(Param!$A$17:$C$21,MATCH($AO81,Param!$C$17:$C$21,0),1),"-")</f>
        <v>-</v>
      </c>
      <c r="AQ81" s="443" t="str">
        <f>IFERROR(IF(INDEX(Scénarios!$B$2:$AI$232,MATCH($S81,Scénarios!$AI$2:$AI$232,0),MATCH(AQ$4,Scénarios!$B$4:$AI$4,0))=0,"",INDEX(Scénarios!$B$2:$AI$232,MATCH($S81,Scénarios!$AI$2:$AI$232,0),MATCH(AQ$4,Scénarios!$B$4:$AI$4,0))),"-")</f>
        <v>-</v>
      </c>
      <c r="AR81" s="443" t="str">
        <f>IFERROR(INDEX(Scénarios!$B$2:$AI$232,MATCH($S81,Scénarios!$AI$2:$AI$232,0),MATCH(AR$4,Scénarios!$B$4:$AI$4,0)),"-")</f>
        <v>-</v>
      </c>
      <c r="AS81" s="443" t="str">
        <f>IFERROR(INDEX(Param!$A$24:$C$28,MATCH($AR81,Param!$C$24:$C$28,0),1),"-")</f>
        <v>-</v>
      </c>
      <c r="AT81" s="443" t="str">
        <f>IFERROR(IF(INDEX(Scénarios!$B$2:$AI$232,MATCH($S81,Scénarios!$AI$2:$AI$232,0),MATCH(AT$4,Scénarios!$B$4:$AI$4,0))=0,"",INDEX(Scénarios!$B$2:$AI$232,MATCH($S81,Scénarios!$AI$2:$AI$232,0),MATCH(AT$4,Scénarios!$B$4:$AI$4,0))),"-")</f>
        <v>-</v>
      </c>
      <c r="AU81" s="462" t="str">
        <f>IFERROR(INDEX(Scénarios!$B$2:$AI$232,MATCH($S81,Scénarios!$AI$2:$AI$232,0),MATCH(AU$4,Scénarios!$B$4:$AI$4,0)),"-")</f>
        <v>-</v>
      </c>
      <c r="AV81" s="462" t="str">
        <f>IFERROR(INDEX(Scénarios!$B$2:$AI$232,MATCH($S81,Scénarios!$AI$2:$AI$232,0),MATCH(AV$4,Scénarios!$B$4:$AI$4,0)),"-")</f>
        <v>-</v>
      </c>
      <c r="AW81" s="462" t="str">
        <f>IFERROR(INDEX(Scénarios!$B$2:$AI$232,MATCH($S81,Scénarios!$AI$2:$AI$232,0),MATCH(AW$4,Scénarios!$B$4:$AI$4,0)),"-")</f>
        <v>-</v>
      </c>
      <c r="AX81" s="462" t="str">
        <f>IFERROR(INDEX(Scénarios!$B$2:$AI$232,MATCH($S81,Scénarios!$AI$2:$AI$232,0),MATCH(AX$4,Scénarios!$B$4:$AI$4,0)),"-")</f>
        <v>-</v>
      </c>
      <c r="AY81" s="443" t="str">
        <f>IFERROR(INDEX(Scénarios!$B$2:$AI$232,MATCH($S81,Scénarios!$AI$2:$AI$232,0),MATCH(AY$4,Scénarios!$B$4:$AI$4,0)),"-")</f>
        <v>-</v>
      </c>
      <c r="AZ81" s="588" t="str">
        <f>IFERROR(INDEX(Param!$A$31:$C$35,MATCH($AY81,Param!$C$31:$C$35,0),1),"-")</f>
        <v>-</v>
      </c>
      <c r="BA81" s="588" t="str">
        <f>IFERROR(IF(INDEX(Scénarios!$B$2:$AI$232,MATCH($S81,Scénarios!$AI$2:$AI$232,0),MATCH(BA$4,Scénarios!$B$4:$AI$4,0))=0,"",INDEX(Scénarios!$B$2:$AI$232,MATCH($S81,Scénarios!$AI$2:$AI$232,0),MATCH(BA$4,Scénarios!$B$4:$AI$4,0))),"-")</f>
        <v>-</v>
      </c>
      <c r="BB81" s="443" t="str">
        <f>IFERROR(IF(INDEX(Scénarios!$B$2:$AK$237,MATCH($S81,Scénarios!$AI$2:$AI$237,0),MATCH(BB$4,Scénarios!$B$4:$AK$4,0))=0,"",INDEX(Scénarios!$B$2:$AK$237,MATCH($S81,Scénarios!$AI$2:$AI$237,0),MATCH(BB$4,Scénarios!$B$4:$AK$4,0))),"-")</f>
        <v>-</v>
      </c>
      <c r="BC81" s="443" t="str">
        <f>IFERROR(INDEX(Scénarios!$B$2:$AV$232,MATCH($S81,Scénarios!$AI$2:$AI$232,0),MATCH(BC$4,Scénarios!$B$4:$AV$4,0)),"-")</f>
        <v>-</v>
      </c>
    </row>
    <row r="82" spans="15:55" ht="25.5" customHeight="1" x14ac:dyDescent="0.25">
      <c r="O82" s="604" t="str">
        <f t="shared" si="1"/>
        <v>Fiche R78 sans décision :
Veuillez ajouter une décision</v>
      </c>
      <c r="P82" s="609" t="s">
        <v>2188</v>
      </c>
      <c r="Q82" s="605" t="s">
        <v>2067</v>
      </c>
      <c r="R82" s="585" t="s">
        <v>2068</v>
      </c>
      <c r="S82" s="587" t="s">
        <v>2116</v>
      </c>
      <c r="T82" s="588" t="str">
        <f>IFERROR(INDEX(Tab_sel!$B$7:$C$18,MATCH($AB82,Tab_sel!$C$7:$C$18,0),1),"-")</f>
        <v>-</v>
      </c>
      <c r="U82" s="589" t="str">
        <f>IFERROR(INDEX(Scénarios!$B$2:$AI$232,MATCH($S82,Scénarios!$AI$2:$AI$232,0),MATCH(U$4,Scénarios!$B$4:$AI$4,0)),"-")</f>
        <v>-</v>
      </c>
      <c r="V82" s="588" t="str">
        <f>IFERROR(INDEX(Scénarios!$B$2:$AI$232,MATCH($S82,Scénarios!$AI$2:$AI$232,0),MATCH(V$4,Scénarios!$B$4:$AI$4,0)),"-")</f>
        <v>-</v>
      </c>
      <c r="W82" s="588" t="str">
        <f>IFERROR(INDEX(Scénarios!$B$2:$AI$232,MATCH($S82,Scénarios!$AI$2:$AI$232,0),MATCH(W$4,Scénarios!$B$4:$AI$4,0)),"-")</f>
        <v>-</v>
      </c>
      <c r="X82" s="588" t="str">
        <f>IFERROR(VLOOKUP(AD82,Expo!$D$4:$E$35,2,FALSE),"-")</f>
        <v>-</v>
      </c>
      <c r="Y82" s="859" t="str">
        <f>IFERROR(IF(INDEX(Scénarios!$B$2:$AI$232,MATCH($S82,Scénarios!$AI$2:$AI$232,0),MATCH(Y$4,Scénarios!$B$4:$AI$4,0))=0,"",INDEX(Scénarios!$B$2:$AI$232,MATCH($S82,Scénarios!$AI$2:$AI$232,0),MATCH(Y$4,Scénarios!$B$4:$AI$4,0))),"-")</f>
        <v>-</v>
      </c>
      <c r="Z82" s="589" t="str">
        <f>IFERROR(INDEX(Scénarios!$B$2:$AI$232,MATCH($S82,Scénarios!$AI$2:$AI$232,0),MATCH(Z$4,Scénarios!$B$4:$AI$4,0)),"-")</f>
        <v>-</v>
      </c>
      <c r="AA82" s="589" t="str">
        <f>IFERROR(INDEX(Scénarios!$B$2:$AI$232,MATCH($S82,Scénarios!$AI$2:$AI$232,0),MATCH(AA$4,Scénarios!$B$4:$AI$4,0)),"-")</f>
        <v>-</v>
      </c>
      <c r="AB82" s="586" t="str">
        <f>IFERROR(INDEX(Scénarios!$B$2:$AI$232,MATCH($S82,Scénarios!$AI$2:$AI$232,0),MATCH(AB$4,Scénarios!$B$4:$AI$4,0)),"-")</f>
        <v>-</v>
      </c>
      <c r="AC82" s="442" t="str">
        <f>IFERROR(INDEX(Tab_sel!$B$24:$C$27,MATCH($U82,Tab_sel!$C$24:$C$27,0),1),"-")</f>
        <v>-</v>
      </c>
      <c r="AD82" s="443" t="str">
        <f>IFERROR(INDEX(Scénarios!$B$2:$AI$232,MATCH($S82,Scénarios!$AI$2:$AI$232,0),MATCH(AD$4,Scénarios!$B$4:$AI$4,0)),"-")</f>
        <v>-</v>
      </c>
      <c r="AE82" s="460" t="str">
        <f>IFERROR(INDEX(Scénarios!$B$2:$AI$232,MATCH($S82,Scénarios!$AI$2:$AI$232,0),MATCH(AE$4,Scénarios!$B$4:$AI$4,0)),"-")</f>
        <v>-</v>
      </c>
      <c r="AF82" s="460" t="str">
        <f>IFERROR(INDEX(Scénarios!$B$2:$AI$232,MATCH($S82,Scénarios!$AI$2:$AI$232,0),MATCH(AF$4,Scénarios!$B$4:$AI$4,0)),"-")</f>
        <v>-</v>
      </c>
      <c r="AG82" s="460" t="str">
        <f>IFERROR(INDEX(Scénarios!$B$2:$AI$232,MATCH($S82,Scénarios!$AI$2:$AI$232,0),MATCH(AG$4,Scénarios!$B$4:$AI$4,0)),"-")</f>
        <v>-</v>
      </c>
      <c r="AH82" s="460" t="str">
        <f>IFERROR(INDEX(Scénarios!$B$2:$AI$232,MATCH($S82,Scénarios!$AI$2:$AI$232,0),MATCH(AH$4,Scénarios!$B$4:$AI$4,0)),"-")</f>
        <v>-</v>
      </c>
      <c r="AI82" s="443" t="str">
        <f>IFERROR(INDEX(Scénarios!$B$2:$AI$232,MATCH($S82,Scénarios!$AI$2:$AI$232,0),MATCH(AI$4,Scénarios!$B$4:$AI$4,0)),"-")</f>
        <v>-</v>
      </c>
      <c r="AJ82" s="443" t="str">
        <f>IFERROR(INDEX(Param!$A$3:$C$7,MATCH($AI82,Param!$C$3:$C$7,0),1),"-")</f>
        <v>-</v>
      </c>
      <c r="AK82" s="443" t="str">
        <f>IFERROR(INDEX(Scénarios!$B$2:$AI$232,MATCH($S82,Scénarios!$AI$2:$AI$232,0),MATCH(AK$4,Scénarios!$B$4:$AI$4,0)),"-")</f>
        <v>-</v>
      </c>
      <c r="AL82" s="443" t="str">
        <f>IFERROR(INDEX(Scénarios!$B$2:$AI$232,MATCH($S82,Scénarios!$AI$2:$AI$232,0),MATCH(AL$4,Scénarios!$B$4:$AI$4,0)),"-")</f>
        <v>-</v>
      </c>
      <c r="AM82" s="443" t="str">
        <f>IFERROR(INDEX(Param!$A$10:$C$14,MATCH($AL82,Param!$C$10:$C$14,0),1),"-")</f>
        <v>-</v>
      </c>
      <c r="AN82" s="443" t="str">
        <f>IFERROR(IF(INDEX(Scénarios!$B$2:$AI$232,MATCH($S82,Scénarios!$AI$2:$AI$232,0),MATCH(AN$4,Scénarios!$B$4:$AI$4,0))=0,"",INDEX(Scénarios!$B$2:$AI$232,MATCH($S82,Scénarios!$AI$2:$AI$232,0),MATCH(AN$4,Scénarios!$B$4:$AI$4,0))),"-")</f>
        <v>-</v>
      </c>
      <c r="AO82" s="443" t="str">
        <f>IFERROR(INDEX(Scénarios!$B$2:$AI$232,MATCH($S82,Scénarios!$AI$2:$AI$232,0),MATCH(AO$4,Scénarios!$B$4:$AI$4,0)),"-")</f>
        <v>-</v>
      </c>
      <c r="AP82" s="443" t="str">
        <f>IFERROR(INDEX(Param!$A$17:$C$21,MATCH($AO82,Param!$C$17:$C$21,0),1),"-")</f>
        <v>-</v>
      </c>
      <c r="AQ82" s="443" t="str">
        <f>IFERROR(IF(INDEX(Scénarios!$B$2:$AI$232,MATCH($S82,Scénarios!$AI$2:$AI$232,0),MATCH(AQ$4,Scénarios!$B$4:$AI$4,0))=0,"",INDEX(Scénarios!$B$2:$AI$232,MATCH($S82,Scénarios!$AI$2:$AI$232,0),MATCH(AQ$4,Scénarios!$B$4:$AI$4,0))),"-")</f>
        <v>-</v>
      </c>
      <c r="AR82" s="443" t="str">
        <f>IFERROR(INDEX(Scénarios!$B$2:$AI$232,MATCH($S82,Scénarios!$AI$2:$AI$232,0),MATCH(AR$4,Scénarios!$B$4:$AI$4,0)),"-")</f>
        <v>-</v>
      </c>
      <c r="AS82" s="443" t="str">
        <f>IFERROR(INDEX(Param!$A$24:$C$28,MATCH($AR82,Param!$C$24:$C$28,0),1),"-")</f>
        <v>-</v>
      </c>
      <c r="AT82" s="443" t="str">
        <f>IFERROR(IF(INDEX(Scénarios!$B$2:$AI$232,MATCH($S82,Scénarios!$AI$2:$AI$232,0),MATCH(AT$4,Scénarios!$B$4:$AI$4,0))=0,"",INDEX(Scénarios!$B$2:$AI$232,MATCH($S82,Scénarios!$AI$2:$AI$232,0),MATCH(AT$4,Scénarios!$B$4:$AI$4,0))),"-")</f>
        <v>-</v>
      </c>
      <c r="AU82" s="462" t="str">
        <f>IFERROR(INDEX(Scénarios!$B$2:$AI$232,MATCH($S82,Scénarios!$AI$2:$AI$232,0),MATCH(AU$4,Scénarios!$B$4:$AI$4,0)),"-")</f>
        <v>-</v>
      </c>
      <c r="AV82" s="462" t="str">
        <f>IFERROR(INDEX(Scénarios!$B$2:$AI$232,MATCH($S82,Scénarios!$AI$2:$AI$232,0),MATCH(AV$4,Scénarios!$B$4:$AI$4,0)),"-")</f>
        <v>-</v>
      </c>
      <c r="AW82" s="462" t="str">
        <f>IFERROR(INDEX(Scénarios!$B$2:$AI$232,MATCH($S82,Scénarios!$AI$2:$AI$232,0),MATCH(AW$4,Scénarios!$B$4:$AI$4,0)),"-")</f>
        <v>-</v>
      </c>
      <c r="AX82" s="462" t="str">
        <f>IFERROR(INDEX(Scénarios!$B$2:$AI$232,MATCH($S82,Scénarios!$AI$2:$AI$232,0),MATCH(AX$4,Scénarios!$B$4:$AI$4,0)),"-")</f>
        <v>-</v>
      </c>
      <c r="AY82" s="443" t="str">
        <f>IFERROR(INDEX(Scénarios!$B$2:$AI$232,MATCH($S82,Scénarios!$AI$2:$AI$232,0),MATCH(AY$4,Scénarios!$B$4:$AI$4,0)),"-")</f>
        <v>-</v>
      </c>
      <c r="AZ82" s="588" t="str">
        <f>IFERROR(INDEX(Param!$A$31:$C$35,MATCH($AY82,Param!$C$31:$C$35,0),1),"-")</f>
        <v>-</v>
      </c>
      <c r="BA82" s="588" t="str">
        <f>IFERROR(IF(INDEX(Scénarios!$B$2:$AI$232,MATCH($S82,Scénarios!$AI$2:$AI$232,0),MATCH(BA$4,Scénarios!$B$4:$AI$4,0))=0,"",INDEX(Scénarios!$B$2:$AI$232,MATCH($S82,Scénarios!$AI$2:$AI$232,0),MATCH(BA$4,Scénarios!$B$4:$AI$4,0))),"-")</f>
        <v>-</v>
      </c>
      <c r="BB82" s="443" t="str">
        <f>IFERROR(IF(INDEX(Scénarios!$B$2:$AK$237,MATCH($S82,Scénarios!$AI$2:$AI$237,0),MATCH(BB$4,Scénarios!$B$4:$AK$4,0))=0,"",INDEX(Scénarios!$B$2:$AK$237,MATCH($S82,Scénarios!$AI$2:$AI$237,0),MATCH(BB$4,Scénarios!$B$4:$AK$4,0))),"-")</f>
        <v>-</v>
      </c>
      <c r="BC82" s="443" t="str">
        <f>IFERROR(INDEX(Scénarios!$B$2:$AV$232,MATCH($S82,Scénarios!$AI$2:$AI$232,0),MATCH(BC$4,Scénarios!$B$4:$AV$4,0)),"-")</f>
        <v>-</v>
      </c>
    </row>
    <row r="83" spans="15:55" ht="25.5" customHeight="1" x14ac:dyDescent="0.25">
      <c r="O83" s="604" t="str">
        <f t="shared" si="1"/>
        <v>Fiche R79 sans décision :
Veuillez ajouter une décision</v>
      </c>
      <c r="P83" s="609" t="s">
        <v>2188</v>
      </c>
      <c r="Q83" s="605" t="s">
        <v>2067</v>
      </c>
      <c r="R83" s="585" t="s">
        <v>2068</v>
      </c>
      <c r="S83" s="587" t="s">
        <v>2117</v>
      </c>
      <c r="T83" s="588" t="str">
        <f>IFERROR(INDEX(Tab_sel!$B$7:$C$18,MATCH($AB83,Tab_sel!$C$7:$C$18,0),1),"-")</f>
        <v>-</v>
      </c>
      <c r="U83" s="589" t="str">
        <f>IFERROR(INDEX(Scénarios!$B$2:$AI$232,MATCH($S83,Scénarios!$AI$2:$AI$232,0),MATCH(U$4,Scénarios!$B$4:$AI$4,0)),"-")</f>
        <v>-</v>
      </c>
      <c r="V83" s="588" t="str">
        <f>IFERROR(INDEX(Scénarios!$B$2:$AI$232,MATCH($S83,Scénarios!$AI$2:$AI$232,0),MATCH(V$4,Scénarios!$B$4:$AI$4,0)),"-")</f>
        <v>-</v>
      </c>
      <c r="W83" s="588" t="str">
        <f>IFERROR(INDEX(Scénarios!$B$2:$AI$232,MATCH($S83,Scénarios!$AI$2:$AI$232,0),MATCH(W$4,Scénarios!$B$4:$AI$4,0)),"-")</f>
        <v>-</v>
      </c>
      <c r="X83" s="588" t="str">
        <f>IFERROR(VLOOKUP(AD83,Expo!$D$4:$E$35,2,FALSE),"-")</f>
        <v>-</v>
      </c>
      <c r="Y83" s="859" t="str">
        <f>IFERROR(IF(INDEX(Scénarios!$B$2:$AI$232,MATCH($S83,Scénarios!$AI$2:$AI$232,0),MATCH(Y$4,Scénarios!$B$4:$AI$4,0))=0,"",INDEX(Scénarios!$B$2:$AI$232,MATCH($S83,Scénarios!$AI$2:$AI$232,0),MATCH(Y$4,Scénarios!$B$4:$AI$4,0))),"-")</f>
        <v>-</v>
      </c>
      <c r="Z83" s="589" t="str">
        <f>IFERROR(INDEX(Scénarios!$B$2:$AI$232,MATCH($S83,Scénarios!$AI$2:$AI$232,0),MATCH(Z$4,Scénarios!$B$4:$AI$4,0)),"-")</f>
        <v>-</v>
      </c>
      <c r="AA83" s="589" t="str">
        <f>IFERROR(INDEX(Scénarios!$B$2:$AI$232,MATCH($S83,Scénarios!$AI$2:$AI$232,0),MATCH(AA$4,Scénarios!$B$4:$AI$4,0)),"-")</f>
        <v>-</v>
      </c>
      <c r="AB83" s="586" t="str">
        <f>IFERROR(INDEX(Scénarios!$B$2:$AI$232,MATCH($S83,Scénarios!$AI$2:$AI$232,0),MATCH(AB$4,Scénarios!$B$4:$AI$4,0)),"-")</f>
        <v>-</v>
      </c>
      <c r="AC83" s="442" t="str">
        <f>IFERROR(INDEX(Tab_sel!$B$24:$C$27,MATCH($U83,Tab_sel!$C$24:$C$27,0),1),"-")</f>
        <v>-</v>
      </c>
      <c r="AD83" s="443" t="str">
        <f>IFERROR(INDEX(Scénarios!$B$2:$AI$232,MATCH($S83,Scénarios!$AI$2:$AI$232,0),MATCH(AD$4,Scénarios!$B$4:$AI$4,0)),"-")</f>
        <v>-</v>
      </c>
      <c r="AE83" s="460" t="str">
        <f>IFERROR(INDEX(Scénarios!$B$2:$AI$232,MATCH($S83,Scénarios!$AI$2:$AI$232,0),MATCH(AE$4,Scénarios!$B$4:$AI$4,0)),"-")</f>
        <v>-</v>
      </c>
      <c r="AF83" s="460" t="str">
        <f>IFERROR(INDEX(Scénarios!$B$2:$AI$232,MATCH($S83,Scénarios!$AI$2:$AI$232,0),MATCH(AF$4,Scénarios!$B$4:$AI$4,0)),"-")</f>
        <v>-</v>
      </c>
      <c r="AG83" s="460" t="str">
        <f>IFERROR(INDEX(Scénarios!$B$2:$AI$232,MATCH($S83,Scénarios!$AI$2:$AI$232,0),MATCH(AG$4,Scénarios!$B$4:$AI$4,0)),"-")</f>
        <v>-</v>
      </c>
      <c r="AH83" s="460" t="str">
        <f>IFERROR(INDEX(Scénarios!$B$2:$AI$232,MATCH($S83,Scénarios!$AI$2:$AI$232,0),MATCH(AH$4,Scénarios!$B$4:$AI$4,0)),"-")</f>
        <v>-</v>
      </c>
      <c r="AI83" s="443" t="str">
        <f>IFERROR(INDEX(Scénarios!$B$2:$AI$232,MATCH($S83,Scénarios!$AI$2:$AI$232,0),MATCH(AI$4,Scénarios!$B$4:$AI$4,0)),"-")</f>
        <v>-</v>
      </c>
      <c r="AJ83" s="443" t="str">
        <f>IFERROR(INDEX(Param!$A$3:$C$7,MATCH($AI83,Param!$C$3:$C$7,0),1),"-")</f>
        <v>-</v>
      </c>
      <c r="AK83" s="443" t="str">
        <f>IFERROR(INDEX(Scénarios!$B$2:$AI$232,MATCH($S83,Scénarios!$AI$2:$AI$232,0),MATCH(AK$4,Scénarios!$B$4:$AI$4,0)),"-")</f>
        <v>-</v>
      </c>
      <c r="AL83" s="443" t="str">
        <f>IFERROR(INDEX(Scénarios!$B$2:$AI$232,MATCH($S83,Scénarios!$AI$2:$AI$232,0),MATCH(AL$4,Scénarios!$B$4:$AI$4,0)),"-")</f>
        <v>-</v>
      </c>
      <c r="AM83" s="443" t="str">
        <f>IFERROR(INDEX(Param!$A$10:$C$14,MATCH($AL83,Param!$C$10:$C$14,0),1),"-")</f>
        <v>-</v>
      </c>
      <c r="AN83" s="443" t="str">
        <f>IFERROR(IF(INDEX(Scénarios!$B$2:$AI$232,MATCH($S83,Scénarios!$AI$2:$AI$232,0),MATCH(AN$4,Scénarios!$B$4:$AI$4,0))=0,"",INDEX(Scénarios!$B$2:$AI$232,MATCH($S83,Scénarios!$AI$2:$AI$232,0),MATCH(AN$4,Scénarios!$B$4:$AI$4,0))),"-")</f>
        <v>-</v>
      </c>
      <c r="AO83" s="443" t="str">
        <f>IFERROR(INDEX(Scénarios!$B$2:$AI$232,MATCH($S83,Scénarios!$AI$2:$AI$232,0),MATCH(AO$4,Scénarios!$B$4:$AI$4,0)),"-")</f>
        <v>-</v>
      </c>
      <c r="AP83" s="443" t="str">
        <f>IFERROR(INDEX(Param!$A$17:$C$21,MATCH($AO83,Param!$C$17:$C$21,0),1),"-")</f>
        <v>-</v>
      </c>
      <c r="AQ83" s="443" t="str">
        <f>IFERROR(IF(INDEX(Scénarios!$B$2:$AI$232,MATCH($S83,Scénarios!$AI$2:$AI$232,0),MATCH(AQ$4,Scénarios!$B$4:$AI$4,0))=0,"",INDEX(Scénarios!$B$2:$AI$232,MATCH($S83,Scénarios!$AI$2:$AI$232,0),MATCH(AQ$4,Scénarios!$B$4:$AI$4,0))),"-")</f>
        <v>-</v>
      </c>
      <c r="AR83" s="443" t="str">
        <f>IFERROR(INDEX(Scénarios!$B$2:$AI$232,MATCH($S83,Scénarios!$AI$2:$AI$232,0),MATCH(AR$4,Scénarios!$B$4:$AI$4,0)),"-")</f>
        <v>-</v>
      </c>
      <c r="AS83" s="443" t="str">
        <f>IFERROR(INDEX(Param!$A$24:$C$28,MATCH($AR83,Param!$C$24:$C$28,0),1),"-")</f>
        <v>-</v>
      </c>
      <c r="AT83" s="443" t="str">
        <f>IFERROR(IF(INDEX(Scénarios!$B$2:$AI$232,MATCH($S83,Scénarios!$AI$2:$AI$232,0),MATCH(AT$4,Scénarios!$B$4:$AI$4,0))=0,"",INDEX(Scénarios!$B$2:$AI$232,MATCH($S83,Scénarios!$AI$2:$AI$232,0),MATCH(AT$4,Scénarios!$B$4:$AI$4,0))),"-")</f>
        <v>-</v>
      </c>
      <c r="AU83" s="462" t="str">
        <f>IFERROR(INDEX(Scénarios!$B$2:$AI$232,MATCH($S83,Scénarios!$AI$2:$AI$232,0),MATCH(AU$4,Scénarios!$B$4:$AI$4,0)),"-")</f>
        <v>-</v>
      </c>
      <c r="AV83" s="462" t="str">
        <f>IFERROR(INDEX(Scénarios!$B$2:$AI$232,MATCH($S83,Scénarios!$AI$2:$AI$232,0),MATCH(AV$4,Scénarios!$B$4:$AI$4,0)),"-")</f>
        <v>-</v>
      </c>
      <c r="AW83" s="462" t="str">
        <f>IFERROR(INDEX(Scénarios!$B$2:$AI$232,MATCH($S83,Scénarios!$AI$2:$AI$232,0),MATCH(AW$4,Scénarios!$B$4:$AI$4,0)),"-")</f>
        <v>-</v>
      </c>
      <c r="AX83" s="462" t="str">
        <f>IFERROR(INDEX(Scénarios!$B$2:$AI$232,MATCH($S83,Scénarios!$AI$2:$AI$232,0),MATCH(AX$4,Scénarios!$B$4:$AI$4,0)),"-")</f>
        <v>-</v>
      </c>
      <c r="AY83" s="443" t="str">
        <f>IFERROR(INDEX(Scénarios!$B$2:$AI$232,MATCH($S83,Scénarios!$AI$2:$AI$232,0),MATCH(AY$4,Scénarios!$B$4:$AI$4,0)),"-")</f>
        <v>-</v>
      </c>
      <c r="AZ83" s="588" t="str">
        <f>IFERROR(INDEX(Param!$A$31:$C$35,MATCH($AY83,Param!$C$31:$C$35,0),1),"-")</f>
        <v>-</v>
      </c>
      <c r="BA83" s="588" t="str">
        <f>IFERROR(IF(INDEX(Scénarios!$B$2:$AI$232,MATCH($S83,Scénarios!$AI$2:$AI$232,0),MATCH(BA$4,Scénarios!$B$4:$AI$4,0))=0,"",INDEX(Scénarios!$B$2:$AI$232,MATCH($S83,Scénarios!$AI$2:$AI$232,0),MATCH(BA$4,Scénarios!$B$4:$AI$4,0))),"-")</f>
        <v>-</v>
      </c>
      <c r="BB83" s="443" t="str">
        <f>IFERROR(IF(INDEX(Scénarios!$B$2:$AK$237,MATCH($S83,Scénarios!$AI$2:$AI$237,0),MATCH(BB$4,Scénarios!$B$4:$AK$4,0))=0,"",INDEX(Scénarios!$B$2:$AK$237,MATCH($S83,Scénarios!$AI$2:$AI$237,0),MATCH(BB$4,Scénarios!$B$4:$AK$4,0))),"-")</f>
        <v>-</v>
      </c>
      <c r="BC83" s="443" t="str">
        <f>IFERROR(INDEX(Scénarios!$B$2:$AV$232,MATCH($S83,Scénarios!$AI$2:$AI$232,0),MATCH(BC$4,Scénarios!$B$4:$AV$4,0)),"-")</f>
        <v>-</v>
      </c>
    </row>
    <row r="84" spans="15:55" ht="25.5" customHeight="1" x14ac:dyDescent="0.25">
      <c r="O84" s="604" t="str">
        <f t="shared" si="1"/>
        <v>Fiche R80 sans décision :
Veuillez ajouter une décision</v>
      </c>
      <c r="P84" s="609" t="s">
        <v>2188</v>
      </c>
      <c r="Q84" s="605" t="s">
        <v>2067</v>
      </c>
      <c r="R84" s="585" t="s">
        <v>2068</v>
      </c>
      <c r="S84" s="587" t="s">
        <v>2118</v>
      </c>
      <c r="T84" s="588" t="str">
        <f>IFERROR(INDEX(Tab_sel!$B$7:$C$18,MATCH($AB84,Tab_sel!$C$7:$C$18,0),1),"-")</f>
        <v>-</v>
      </c>
      <c r="U84" s="589" t="str">
        <f>IFERROR(INDEX(Scénarios!$B$2:$AI$232,MATCH($S84,Scénarios!$AI$2:$AI$232,0),MATCH(U$4,Scénarios!$B$4:$AI$4,0)),"-")</f>
        <v>-</v>
      </c>
      <c r="V84" s="588" t="str">
        <f>IFERROR(INDEX(Scénarios!$B$2:$AI$232,MATCH($S84,Scénarios!$AI$2:$AI$232,0),MATCH(V$4,Scénarios!$B$4:$AI$4,0)),"-")</f>
        <v>-</v>
      </c>
      <c r="W84" s="588" t="str">
        <f>IFERROR(INDEX(Scénarios!$B$2:$AI$232,MATCH($S84,Scénarios!$AI$2:$AI$232,0),MATCH(W$4,Scénarios!$B$4:$AI$4,0)),"-")</f>
        <v>-</v>
      </c>
      <c r="X84" s="588" t="str">
        <f>IFERROR(VLOOKUP(AD84,Expo!$D$4:$E$35,2,FALSE),"-")</f>
        <v>-</v>
      </c>
      <c r="Y84" s="859" t="str">
        <f>IFERROR(IF(INDEX(Scénarios!$B$2:$AI$232,MATCH($S84,Scénarios!$AI$2:$AI$232,0),MATCH(Y$4,Scénarios!$B$4:$AI$4,0))=0,"",INDEX(Scénarios!$B$2:$AI$232,MATCH($S84,Scénarios!$AI$2:$AI$232,0),MATCH(Y$4,Scénarios!$B$4:$AI$4,0))),"-")</f>
        <v>-</v>
      </c>
      <c r="Z84" s="589" t="str">
        <f>IFERROR(INDEX(Scénarios!$B$2:$AI$232,MATCH($S84,Scénarios!$AI$2:$AI$232,0),MATCH(Z$4,Scénarios!$B$4:$AI$4,0)),"-")</f>
        <v>-</v>
      </c>
      <c r="AA84" s="589" t="str">
        <f>IFERROR(INDEX(Scénarios!$B$2:$AI$232,MATCH($S84,Scénarios!$AI$2:$AI$232,0),MATCH(AA$4,Scénarios!$B$4:$AI$4,0)),"-")</f>
        <v>-</v>
      </c>
      <c r="AB84" s="586" t="str">
        <f>IFERROR(INDEX(Scénarios!$B$2:$AI$232,MATCH($S84,Scénarios!$AI$2:$AI$232,0),MATCH(AB$4,Scénarios!$B$4:$AI$4,0)),"-")</f>
        <v>-</v>
      </c>
      <c r="AC84" s="442" t="str">
        <f>IFERROR(INDEX(Tab_sel!$B$24:$C$27,MATCH($U84,Tab_sel!$C$24:$C$27,0),1),"-")</f>
        <v>-</v>
      </c>
      <c r="AD84" s="443" t="str">
        <f>IFERROR(INDEX(Scénarios!$B$2:$AI$232,MATCH($S84,Scénarios!$AI$2:$AI$232,0),MATCH(AD$4,Scénarios!$B$4:$AI$4,0)),"-")</f>
        <v>-</v>
      </c>
      <c r="AE84" s="460" t="str">
        <f>IFERROR(INDEX(Scénarios!$B$2:$AI$232,MATCH($S84,Scénarios!$AI$2:$AI$232,0),MATCH(AE$4,Scénarios!$B$4:$AI$4,0)),"-")</f>
        <v>-</v>
      </c>
      <c r="AF84" s="460" t="str">
        <f>IFERROR(INDEX(Scénarios!$B$2:$AI$232,MATCH($S84,Scénarios!$AI$2:$AI$232,0),MATCH(AF$4,Scénarios!$B$4:$AI$4,0)),"-")</f>
        <v>-</v>
      </c>
      <c r="AG84" s="460" t="str">
        <f>IFERROR(INDEX(Scénarios!$B$2:$AI$232,MATCH($S84,Scénarios!$AI$2:$AI$232,0),MATCH(AG$4,Scénarios!$B$4:$AI$4,0)),"-")</f>
        <v>-</v>
      </c>
      <c r="AH84" s="460" t="str">
        <f>IFERROR(INDEX(Scénarios!$B$2:$AI$232,MATCH($S84,Scénarios!$AI$2:$AI$232,0),MATCH(AH$4,Scénarios!$B$4:$AI$4,0)),"-")</f>
        <v>-</v>
      </c>
      <c r="AI84" s="443" t="str">
        <f>IFERROR(INDEX(Scénarios!$B$2:$AI$232,MATCH($S84,Scénarios!$AI$2:$AI$232,0),MATCH(AI$4,Scénarios!$B$4:$AI$4,0)),"-")</f>
        <v>-</v>
      </c>
      <c r="AJ84" s="443" t="str">
        <f>IFERROR(INDEX(Param!$A$3:$C$7,MATCH($AI84,Param!$C$3:$C$7,0),1),"-")</f>
        <v>-</v>
      </c>
      <c r="AK84" s="443" t="str">
        <f>IFERROR(INDEX(Scénarios!$B$2:$AI$232,MATCH($S84,Scénarios!$AI$2:$AI$232,0),MATCH(AK$4,Scénarios!$B$4:$AI$4,0)),"-")</f>
        <v>-</v>
      </c>
      <c r="AL84" s="443" t="str">
        <f>IFERROR(INDEX(Scénarios!$B$2:$AI$232,MATCH($S84,Scénarios!$AI$2:$AI$232,0),MATCH(AL$4,Scénarios!$B$4:$AI$4,0)),"-")</f>
        <v>-</v>
      </c>
      <c r="AM84" s="443" t="str">
        <f>IFERROR(INDEX(Param!$A$10:$C$14,MATCH($AL84,Param!$C$10:$C$14,0),1),"-")</f>
        <v>-</v>
      </c>
      <c r="AN84" s="443" t="str">
        <f>IFERROR(IF(INDEX(Scénarios!$B$2:$AI$232,MATCH($S84,Scénarios!$AI$2:$AI$232,0),MATCH(AN$4,Scénarios!$B$4:$AI$4,0))=0,"",INDEX(Scénarios!$B$2:$AI$232,MATCH($S84,Scénarios!$AI$2:$AI$232,0),MATCH(AN$4,Scénarios!$B$4:$AI$4,0))),"-")</f>
        <v>-</v>
      </c>
      <c r="AO84" s="443" t="str">
        <f>IFERROR(INDEX(Scénarios!$B$2:$AI$232,MATCH($S84,Scénarios!$AI$2:$AI$232,0),MATCH(AO$4,Scénarios!$B$4:$AI$4,0)),"-")</f>
        <v>-</v>
      </c>
      <c r="AP84" s="443" t="str">
        <f>IFERROR(INDEX(Param!$A$17:$C$21,MATCH($AO84,Param!$C$17:$C$21,0),1),"-")</f>
        <v>-</v>
      </c>
      <c r="AQ84" s="443" t="str">
        <f>IFERROR(IF(INDEX(Scénarios!$B$2:$AI$232,MATCH($S84,Scénarios!$AI$2:$AI$232,0),MATCH(AQ$4,Scénarios!$B$4:$AI$4,0))=0,"",INDEX(Scénarios!$B$2:$AI$232,MATCH($S84,Scénarios!$AI$2:$AI$232,0),MATCH(AQ$4,Scénarios!$B$4:$AI$4,0))),"-")</f>
        <v>-</v>
      </c>
      <c r="AR84" s="443" t="str">
        <f>IFERROR(INDEX(Scénarios!$B$2:$AI$232,MATCH($S84,Scénarios!$AI$2:$AI$232,0),MATCH(AR$4,Scénarios!$B$4:$AI$4,0)),"-")</f>
        <v>-</v>
      </c>
      <c r="AS84" s="443" t="str">
        <f>IFERROR(INDEX(Param!$A$24:$C$28,MATCH($AR84,Param!$C$24:$C$28,0),1),"-")</f>
        <v>-</v>
      </c>
      <c r="AT84" s="443" t="str">
        <f>IFERROR(IF(INDEX(Scénarios!$B$2:$AI$232,MATCH($S84,Scénarios!$AI$2:$AI$232,0),MATCH(AT$4,Scénarios!$B$4:$AI$4,0))=0,"",INDEX(Scénarios!$B$2:$AI$232,MATCH($S84,Scénarios!$AI$2:$AI$232,0),MATCH(AT$4,Scénarios!$B$4:$AI$4,0))),"-")</f>
        <v>-</v>
      </c>
      <c r="AU84" s="462" t="str">
        <f>IFERROR(INDEX(Scénarios!$B$2:$AI$232,MATCH($S84,Scénarios!$AI$2:$AI$232,0),MATCH(AU$4,Scénarios!$B$4:$AI$4,0)),"-")</f>
        <v>-</v>
      </c>
      <c r="AV84" s="462" t="str">
        <f>IFERROR(INDEX(Scénarios!$B$2:$AI$232,MATCH($S84,Scénarios!$AI$2:$AI$232,0),MATCH(AV$4,Scénarios!$B$4:$AI$4,0)),"-")</f>
        <v>-</v>
      </c>
      <c r="AW84" s="462" t="str">
        <f>IFERROR(INDEX(Scénarios!$B$2:$AI$232,MATCH($S84,Scénarios!$AI$2:$AI$232,0),MATCH(AW$4,Scénarios!$B$4:$AI$4,0)),"-")</f>
        <v>-</v>
      </c>
      <c r="AX84" s="462" t="str">
        <f>IFERROR(INDEX(Scénarios!$B$2:$AI$232,MATCH($S84,Scénarios!$AI$2:$AI$232,0),MATCH(AX$4,Scénarios!$B$4:$AI$4,0)),"-")</f>
        <v>-</v>
      </c>
      <c r="AY84" s="443" t="str">
        <f>IFERROR(INDEX(Scénarios!$B$2:$AI$232,MATCH($S84,Scénarios!$AI$2:$AI$232,0),MATCH(AY$4,Scénarios!$B$4:$AI$4,0)),"-")</f>
        <v>-</v>
      </c>
      <c r="AZ84" s="588" t="str">
        <f>IFERROR(INDEX(Param!$A$31:$C$35,MATCH($AY84,Param!$C$31:$C$35,0),1),"-")</f>
        <v>-</v>
      </c>
      <c r="BA84" s="588" t="str">
        <f>IFERROR(IF(INDEX(Scénarios!$B$2:$AI$232,MATCH($S84,Scénarios!$AI$2:$AI$232,0),MATCH(BA$4,Scénarios!$B$4:$AI$4,0))=0,"",INDEX(Scénarios!$B$2:$AI$232,MATCH($S84,Scénarios!$AI$2:$AI$232,0),MATCH(BA$4,Scénarios!$B$4:$AI$4,0))),"-")</f>
        <v>-</v>
      </c>
      <c r="BB84" s="443" t="str">
        <f>IFERROR(IF(INDEX(Scénarios!$B$2:$AK$237,MATCH($S84,Scénarios!$AI$2:$AI$237,0),MATCH(BB$4,Scénarios!$B$4:$AK$4,0))=0,"",INDEX(Scénarios!$B$2:$AK$237,MATCH($S84,Scénarios!$AI$2:$AI$237,0),MATCH(BB$4,Scénarios!$B$4:$AK$4,0))),"-")</f>
        <v>-</v>
      </c>
      <c r="BC84" s="443" t="str">
        <f>IFERROR(INDEX(Scénarios!$B$2:$AV$232,MATCH($S84,Scénarios!$AI$2:$AI$232,0),MATCH(BC$4,Scénarios!$B$4:$AV$4,0)),"-")</f>
        <v>-</v>
      </c>
    </row>
    <row r="85" spans="15:55" ht="25.5" customHeight="1" x14ac:dyDescent="0.25">
      <c r="O85" s="604" t="str">
        <f t="shared" si="1"/>
        <v>Fiche R81 sans décision :
Veuillez ajouter une décision</v>
      </c>
      <c r="P85" s="609" t="s">
        <v>2188</v>
      </c>
      <c r="Q85" s="605" t="s">
        <v>2067</v>
      </c>
      <c r="R85" s="585" t="s">
        <v>2068</v>
      </c>
      <c r="S85" s="587" t="s">
        <v>2119</v>
      </c>
      <c r="T85" s="588" t="str">
        <f>IFERROR(INDEX(Tab_sel!$B$7:$C$18,MATCH($AB85,Tab_sel!$C$7:$C$18,0),1),"-")</f>
        <v>-</v>
      </c>
      <c r="U85" s="589" t="str">
        <f>IFERROR(INDEX(Scénarios!$B$2:$AI$232,MATCH($S85,Scénarios!$AI$2:$AI$232,0),MATCH(U$4,Scénarios!$B$4:$AI$4,0)),"-")</f>
        <v>-</v>
      </c>
      <c r="V85" s="588" t="str">
        <f>IFERROR(INDEX(Scénarios!$B$2:$AI$232,MATCH($S85,Scénarios!$AI$2:$AI$232,0),MATCH(V$4,Scénarios!$B$4:$AI$4,0)),"-")</f>
        <v>-</v>
      </c>
      <c r="W85" s="588" t="str">
        <f>IFERROR(INDEX(Scénarios!$B$2:$AI$232,MATCH($S85,Scénarios!$AI$2:$AI$232,0),MATCH(W$4,Scénarios!$B$4:$AI$4,0)),"-")</f>
        <v>-</v>
      </c>
      <c r="X85" s="588" t="str">
        <f>IFERROR(VLOOKUP(AD85,Expo!$D$4:$E$35,2,FALSE),"-")</f>
        <v>-</v>
      </c>
      <c r="Y85" s="859" t="str">
        <f>IFERROR(IF(INDEX(Scénarios!$B$2:$AI$232,MATCH($S85,Scénarios!$AI$2:$AI$232,0),MATCH(Y$4,Scénarios!$B$4:$AI$4,0))=0,"",INDEX(Scénarios!$B$2:$AI$232,MATCH($S85,Scénarios!$AI$2:$AI$232,0),MATCH(Y$4,Scénarios!$B$4:$AI$4,0))),"-")</f>
        <v>-</v>
      </c>
      <c r="Z85" s="589" t="str">
        <f>IFERROR(INDEX(Scénarios!$B$2:$AI$232,MATCH($S85,Scénarios!$AI$2:$AI$232,0),MATCH(Z$4,Scénarios!$B$4:$AI$4,0)),"-")</f>
        <v>-</v>
      </c>
      <c r="AA85" s="589" t="str">
        <f>IFERROR(INDEX(Scénarios!$B$2:$AI$232,MATCH($S85,Scénarios!$AI$2:$AI$232,0),MATCH(AA$4,Scénarios!$B$4:$AI$4,0)),"-")</f>
        <v>-</v>
      </c>
      <c r="AB85" s="586" t="str">
        <f>IFERROR(INDEX(Scénarios!$B$2:$AI$232,MATCH($S85,Scénarios!$AI$2:$AI$232,0),MATCH(AB$4,Scénarios!$B$4:$AI$4,0)),"-")</f>
        <v>-</v>
      </c>
      <c r="AC85" s="442" t="str">
        <f>IFERROR(INDEX(Tab_sel!$B$24:$C$27,MATCH($U85,Tab_sel!$C$24:$C$27,0),1),"-")</f>
        <v>-</v>
      </c>
      <c r="AD85" s="443" t="str">
        <f>IFERROR(INDEX(Scénarios!$B$2:$AI$232,MATCH($S85,Scénarios!$AI$2:$AI$232,0),MATCH(AD$4,Scénarios!$B$4:$AI$4,0)),"-")</f>
        <v>-</v>
      </c>
      <c r="AE85" s="460" t="str">
        <f>IFERROR(INDEX(Scénarios!$B$2:$AI$232,MATCH($S85,Scénarios!$AI$2:$AI$232,0),MATCH(AE$4,Scénarios!$B$4:$AI$4,0)),"-")</f>
        <v>-</v>
      </c>
      <c r="AF85" s="460" t="str">
        <f>IFERROR(INDEX(Scénarios!$B$2:$AI$232,MATCH($S85,Scénarios!$AI$2:$AI$232,0),MATCH(AF$4,Scénarios!$B$4:$AI$4,0)),"-")</f>
        <v>-</v>
      </c>
      <c r="AG85" s="460" t="str">
        <f>IFERROR(INDEX(Scénarios!$B$2:$AI$232,MATCH($S85,Scénarios!$AI$2:$AI$232,0),MATCH(AG$4,Scénarios!$B$4:$AI$4,0)),"-")</f>
        <v>-</v>
      </c>
      <c r="AH85" s="460" t="str">
        <f>IFERROR(INDEX(Scénarios!$B$2:$AI$232,MATCH($S85,Scénarios!$AI$2:$AI$232,0),MATCH(AH$4,Scénarios!$B$4:$AI$4,0)),"-")</f>
        <v>-</v>
      </c>
      <c r="AI85" s="443" t="str">
        <f>IFERROR(INDEX(Scénarios!$B$2:$AI$232,MATCH($S85,Scénarios!$AI$2:$AI$232,0),MATCH(AI$4,Scénarios!$B$4:$AI$4,0)),"-")</f>
        <v>-</v>
      </c>
      <c r="AJ85" s="443" t="str">
        <f>IFERROR(INDEX(Param!$A$3:$C$7,MATCH($AI85,Param!$C$3:$C$7,0),1),"-")</f>
        <v>-</v>
      </c>
      <c r="AK85" s="443" t="str">
        <f>IFERROR(INDEX(Scénarios!$B$2:$AI$232,MATCH($S85,Scénarios!$AI$2:$AI$232,0),MATCH(AK$4,Scénarios!$B$4:$AI$4,0)),"-")</f>
        <v>-</v>
      </c>
      <c r="AL85" s="443" t="str">
        <f>IFERROR(INDEX(Scénarios!$B$2:$AI$232,MATCH($S85,Scénarios!$AI$2:$AI$232,0),MATCH(AL$4,Scénarios!$B$4:$AI$4,0)),"-")</f>
        <v>-</v>
      </c>
      <c r="AM85" s="443" t="str">
        <f>IFERROR(INDEX(Param!$A$10:$C$14,MATCH($AL85,Param!$C$10:$C$14,0),1),"-")</f>
        <v>-</v>
      </c>
      <c r="AN85" s="443" t="str">
        <f>IFERROR(IF(INDEX(Scénarios!$B$2:$AI$232,MATCH($S85,Scénarios!$AI$2:$AI$232,0),MATCH(AN$4,Scénarios!$B$4:$AI$4,0))=0,"",INDEX(Scénarios!$B$2:$AI$232,MATCH($S85,Scénarios!$AI$2:$AI$232,0),MATCH(AN$4,Scénarios!$B$4:$AI$4,0))),"-")</f>
        <v>-</v>
      </c>
      <c r="AO85" s="443" t="str">
        <f>IFERROR(INDEX(Scénarios!$B$2:$AI$232,MATCH($S85,Scénarios!$AI$2:$AI$232,0),MATCH(AO$4,Scénarios!$B$4:$AI$4,0)),"-")</f>
        <v>-</v>
      </c>
      <c r="AP85" s="443" t="str">
        <f>IFERROR(INDEX(Param!$A$17:$C$21,MATCH($AO85,Param!$C$17:$C$21,0),1),"-")</f>
        <v>-</v>
      </c>
      <c r="AQ85" s="443" t="str">
        <f>IFERROR(IF(INDEX(Scénarios!$B$2:$AI$232,MATCH($S85,Scénarios!$AI$2:$AI$232,0),MATCH(AQ$4,Scénarios!$B$4:$AI$4,0))=0,"",INDEX(Scénarios!$B$2:$AI$232,MATCH($S85,Scénarios!$AI$2:$AI$232,0),MATCH(AQ$4,Scénarios!$B$4:$AI$4,0))),"-")</f>
        <v>-</v>
      </c>
      <c r="AR85" s="443" t="str">
        <f>IFERROR(INDEX(Scénarios!$B$2:$AI$232,MATCH($S85,Scénarios!$AI$2:$AI$232,0),MATCH(AR$4,Scénarios!$B$4:$AI$4,0)),"-")</f>
        <v>-</v>
      </c>
      <c r="AS85" s="443" t="str">
        <f>IFERROR(INDEX(Param!$A$24:$C$28,MATCH($AR85,Param!$C$24:$C$28,0),1),"-")</f>
        <v>-</v>
      </c>
      <c r="AT85" s="443" t="str">
        <f>IFERROR(IF(INDEX(Scénarios!$B$2:$AI$232,MATCH($S85,Scénarios!$AI$2:$AI$232,0),MATCH(AT$4,Scénarios!$B$4:$AI$4,0))=0,"",INDEX(Scénarios!$B$2:$AI$232,MATCH($S85,Scénarios!$AI$2:$AI$232,0),MATCH(AT$4,Scénarios!$B$4:$AI$4,0))),"-")</f>
        <v>-</v>
      </c>
      <c r="AU85" s="462" t="str">
        <f>IFERROR(INDEX(Scénarios!$B$2:$AI$232,MATCH($S85,Scénarios!$AI$2:$AI$232,0),MATCH(AU$4,Scénarios!$B$4:$AI$4,0)),"-")</f>
        <v>-</v>
      </c>
      <c r="AV85" s="462" t="str">
        <f>IFERROR(INDEX(Scénarios!$B$2:$AI$232,MATCH($S85,Scénarios!$AI$2:$AI$232,0),MATCH(AV$4,Scénarios!$B$4:$AI$4,0)),"-")</f>
        <v>-</v>
      </c>
      <c r="AW85" s="462" t="str">
        <f>IFERROR(INDEX(Scénarios!$B$2:$AI$232,MATCH($S85,Scénarios!$AI$2:$AI$232,0),MATCH(AW$4,Scénarios!$B$4:$AI$4,0)),"-")</f>
        <v>-</v>
      </c>
      <c r="AX85" s="462" t="str">
        <f>IFERROR(INDEX(Scénarios!$B$2:$AI$232,MATCH($S85,Scénarios!$AI$2:$AI$232,0),MATCH(AX$4,Scénarios!$B$4:$AI$4,0)),"-")</f>
        <v>-</v>
      </c>
      <c r="AY85" s="443" t="str">
        <f>IFERROR(INDEX(Scénarios!$B$2:$AI$232,MATCH($S85,Scénarios!$AI$2:$AI$232,0),MATCH(AY$4,Scénarios!$B$4:$AI$4,0)),"-")</f>
        <v>-</v>
      </c>
      <c r="AZ85" s="588" t="str">
        <f>IFERROR(INDEX(Param!$A$31:$C$35,MATCH($AY85,Param!$C$31:$C$35,0),1),"-")</f>
        <v>-</v>
      </c>
      <c r="BA85" s="588" t="str">
        <f>IFERROR(IF(INDEX(Scénarios!$B$2:$AI$232,MATCH($S85,Scénarios!$AI$2:$AI$232,0),MATCH(BA$4,Scénarios!$B$4:$AI$4,0))=0,"",INDEX(Scénarios!$B$2:$AI$232,MATCH($S85,Scénarios!$AI$2:$AI$232,0),MATCH(BA$4,Scénarios!$B$4:$AI$4,0))),"-")</f>
        <v>-</v>
      </c>
      <c r="BB85" s="443" t="str">
        <f>IFERROR(IF(INDEX(Scénarios!$B$2:$AK$237,MATCH($S85,Scénarios!$AI$2:$AI$237,0),MATCH(BB$4,Scénarios!$B$4:$AK$4,0))=0,"",INDEX(Scénarios!$B$2:$AK$237,MATCH($S85,Scénarios!$AI$2:$AI$237,0),MATCH(BB$4,Scénarios!$B$4:$AK$4,0))),"-")</f>
        <v>-</v>
      </c>
      <c r="BC85" s="443" t="str">
        <f>IFERROR(INDEX(Scénarios!$B$2:$AV$232,MATCH($S85,Scénarios!$AI$2:$AI$232,0),MATCH(BC$4,Scénarios!$B$4:$AV$4,0)),"-")</f>
        <v>-</v>
      </c>
    </row>
    <row r="86" spans="15:55" ht="25.5" customHeight="1" x14ac:dyDescent="0.25">
      <c r="O86" s="604" t="str">
        <f t="shared" si="1"/>
        <v>Fiche R82 sans décision :
Veuillez ajouter une décision</v>
      </c>
      <c r="P86" s="609" t="s">
        <v>2188</v>
      </c>
      <c r="Q86" s="605" t="s">
        <v>2067</v>
      </c>
      <c r="R86" s="585" t="s">
        <v>2068</v>
      </c>
      <c r="S86" s="587" t="s">
        <v>2120</v>
      </c>
      <c r="T86" s="588" t="str">
        <f>IFERROR(INDEX(Tab_sel!$B$7:$C$18,MATCH($AB86,Tab_sel!$C$7:$C$18,0),1),"-")</f>
        <v>-</v>
      </c>
      <c r="U86" s="589" t="str">
        <f>IFERROR(INDEX(Scénarios!$B$2:$AI$232,MATCH($S86,Scénarios!$AI$2:$AI$232,0),MATCH(U$4,Scénarios!$B$4:$AI$4,0)),"-")</f>
        <v>-</v>
      </c>
      <c r="V86" s="588" t="str">
        <f>IFERROR(INDEX(Scénarios!$B$2:$AI$232,MATCH($S86,Scénarios!$AI$2:$AI$232,0),MATCH(V$4,Scénarios!$B$4:$AI$4,0)),"-")</f>
        <v>-</v>
      </c>
      <c r="W86" s="588" t="str">
        <f>IFERROR(INDEX(Scénarios!$B$2:$AI$232,MATCH($S86,Scénarios!$AI$2:$AI$232,0),MATCH(W$4,Scénarios!$B$4:$AI$4,0)),"-")</f>
        <v>-</v>
      </c>
      <c r="X86" s="588" t="str">
        <f>IFERROR(VLOOKUP(AD86,Expo!$D$4:$E$35,2,FALSE),"-")</f>
        <v>-</v>
      </c>
      <c r="Y86" s="859" t="str">
        <f>IFERROR(IF(INDEX(Scénarios!$B$2:$AI$232,MATCH($S86,Scénarios!$AI$2:$AI$232,0),MATCH(Y$4,Scénarios!$B$4:$AI$4,0))=0,"",INDEX(Scénarios!$B$2:$AI$232,MATCH($S86,Scénarios!$AI$2:$AI$232,0),MATCH(Y$4,Scénarios!$B$4:$AI$4,0))),"-")</f>
        <v>-</v>
      </c>
      <c r="Z86" s="589" t="str">
        <f>IFERROR(INDEX(Scénarios!$B$2:$AI$232,MATCH($S86,Scénarios!$AI$2:$AI$232,0),MATCH(Z$4,Scénarios!$B$4:$AI$4,0)),"-")</f>
        <v>-</v>
      </c>
      <c r="AA86" s="589" t="str">
        <f>IFERROR(INDEX(Scénarios!$B$2:$AI$232,MATCH($S86,Scénarios!$AI$2:$AI$232,0),MATCH(AA$4,Scénarios!$B$4:$AI$4,0)),"-")</f>
        <v>-</v>
      </c>
      <c r="AB86" s="586" t="str">
        <f>IFERROR(INDEX(Scénarios!$B$2:$AI$232,MATCH($S86,Scénarios!$AI$2:$AI$232,0),MATCH(AB$4,Scénarios!$B$4:$AI$4,0)),"-")</f>
        <v>-</v>
      </c>
      <c r="AC86" s="442" t="str">
        <f>IFERROR(INDEX(Tab_sel!$B$24:$C$27,MATCH($U86,Tab_sel!$C$24:$C$27,0),1),"-")</f>
        <v>-</v>
      </c>
      <c r="AD86" s="443" t="str">
        <f>IFERROR(INDEX(Scénarios!$B$2:$AI$232,MATCH($S86,Scénarios!$AI$2:$AI$232,0),MATCH(AD$4,Scénarios!$B$4:$AI$4,0)),"-")</f>
        <v>-</v>
      </c>
      <c r="AE86" s="460" t="str">
        <f>IFERROR(INDEX(Scénarios!$B$2:$AI$232,MATCH($S86,Scénarios!$AI$2:$AI$232,0),MATCH(AE$4,Scénarios!$B$4:$AI$4,0)),"-")</f>
        <v>-</v>
      </c>
      <c r="AF86" s="460" t="str">
        <f>IFERROR(INDEX(Scénarios!$B$2:$AI$232,MATCH($S86,Scénarios!$AI$2:$AI$232,0),MATCH(AF$4,Scénarios!$B$4:$AI$4,0)),"-")</f>
        <v>-</v>
      </c>
      <c r="AG86" s="460" t="str">
        <f>IFERROR(INDEX(Scénarios!$B$2:$AI$232,MATCH($S86,Scénarios!$AI$2:$AI$232,0),MATCH(AG$4,Scénarios!$B$4:$AI$4,0)),"-")</f>
        <v>-</v>
      </c>
      <c r="AH86" s="460" t="str">
        <f>IFERROR(INDEX(Scénarios!$B$2:$AI$232,MATCH($S86,Scénarios!$AI$2:$AI$232,0),MATCH(AH$4,Scénarios!$B$4:$AI$4,0)),"-")</f>
        <v>-</v>
      </c>
      <c r="AI86" s="443" t="str">
        <f>IFERROR(INDEX(Scénarios!$B$2:$AI$232,MATCH($S86,Scénarios!$AI$2:$AI$232,0),MATCH(AI$4,Scénarios!$B$4:$AI$4,0)),"-")</f>
        <v>-</v>
      </c>
      <c r="AJ86" s="443" t="str">
        <f>IFERROR(INDEX(Param!$A$3:$C$7,MATCH($AI86,Param!$C$3:$C$7,0),1),"-")</f>
        <v>-</v>
      </c>
      <c r="AK86" s="443" t="str">
        <f>IFERROR(INDEX(Scénarios!$B$2:$AI$232,MATCH($S86,Scénarios!$AI$2:$AI$232,0),MATCH(AK$4,Scénarios!$B$4:$AI$4,0)),"-")</f>
        <v>-</v>
      </c>
      <c r="AL86" s="443" t="str">
        <f>IFERROR(INDEX(Scénarios!$B$2:$AI$232,MATCH($S86,Scénarios!$AI$2:$AI$232,0),MATCH(AL$4,Scénarios!$B$4:$AI$4,0)),"-")</f>
        <v>-</v>
      </c>
      <c r="AM86" s="443" t="str">
        <f>IFERROR(INDEX(Param!$A$10:$C$14,MATCH($AL86,Param!$C$10:$C$14,0),1),"-")</f>
        <v>-</v>
      </c>
      <c r="AN86" s="443" t="str">
        <f>IFERROR(IF(INDEX(Scénarios!$B$2:$AI$232,MATCH($S86,Scénarios!$AI$2:$AI$232,0),MATCH(AN$4,Scénarios!$B$4:$AI$4,0))=0,"",INDEX(Scénarios!$B$2:$AI$232,MATCH($S86,Scénarios!$AI$2:$AI$232,0),MATCH(AN$4,Scénarios!$B$4:$AI$4,0))),"-")</f>
        <v>-</v>
      </c>
      <c r="AO86" s="443" t="str">
        <f>IFERROR(INDEX(Scénarios!$B$2:$AI$232,MATCH($S86,Scénarios!$AI$2:$AI$232,0),MATCH(AO$4,Scénarios!$B$4:$AI$4,0)),"-")</f>
        <v>-</v>
      </c>
      <c r="AP86" s="443" t="str">
        <f>IFERROR(INDEX(Param!$A$17:$C$21,MATCH($AO86,Param!$C$17:$C$21,0),1),"-")</f>
        <v>-</v>
      </c>
      <c r="AQ86" s="443" t="str">
        <f>IFERROR(IF(INDEX(Scénarios!$B$2:$AI$232,MATCH($S86,Scénarios!$AI$2:$AI$232,0),MATCH(AQ$4,Scénarios!$B$4:$AI$4,0))=0,"",INDEX(Scénarios!$B$2:$AI$232,MATCH($S86,Scénarios!$AI$2:$AI$232,0),MATCH(AQ$4,Scénarios!$B$4:$AI$4,0))),"-")</f>
        <v>-</v>
      </c>
      <c r="AR86" s="443" t="str">
        <f>IFERROR(INDEX(Scénarios!$B$2:$AI$232,MATCH($S86,Scénarios!$AI$2:$AI$232,0),MATCH(AR$4,Scénarios!$B$4:$AI$4,0)),"-")</f>
        <v>-</v>
      </c>
      <c r="AS86" s="443" t="str">
        <f>IFERROR(INDEX(Param!$A$24:$C$28,MATCH($AR86,Param!$C$24:$C$28,0),1),"-")</f>
        <v>-</v>
      </c>
      <c r="AT86" s="443" t="str">
        <f>IFERROR(IF(INDEX(Scénarios!$B$2:$AI$232,MATCH($S86,Scénarios!$AI$2:$AI$232,0),MATCH(AT$4,Scénarios!$B$4:$AI$4,0))=0,"",INDEX(Scénarios!$B$2:$AI$232,MATCH($S86,Scénarios!$AI$2:$AI$232,0),MATCH(AT$4,Scénarios!$B$4:$AI$4,0))),"-")</f>
        <v>-</v>
      </c>
      <c r="AU86" s="462" t="str">
        <f>IFERROR(INDEX(Scénarios!$B$2:$AI$232,MATCH($S86,Scénarios!$AI$2:$AI$232,0),MATCH(AU$4,Scénarios!$B$4:$AI$4,0)),"-")</f>
        <v>-</v>
      </c>
      <c r="AV86" s="462" t="str">
        <f>IFERROR(INDEX(Scénarios!$B$2:$AI$232,MATCH($S86,Scénarios!$AI$2:$AI$232,0),MATCH(AV$4,Scénarios!$B$4:$AI$4,0)),"-")</f>
        <v>-</v>
      </c>
      <c r="AW86" s="462" t="str">
        <f>IFERROR(INDEX(Scénarios!$B$2:$AI$232,MATCH($S86,Scénarios!$AI$2:$AI$232,0),MATCH(AW$4,Scénarios!$B$4:$AI$4,0)),"-")</f>
        <v>-</v>
      </c>
      <c r="AX86" s="462" t="str">
        <f>IFERROR(INDEX(Scénarios!$B$2:$AI$232,MATCH($S86,Scénarios!$AI$2:$AI$232,0),MATCH(AX$4,Scénarios!$B$4:$AI$4,0)),"-")</f>
        <v>-</v>
      </c>
      <c r="AY86" s="443" t="str">
        <f>IFERROR(INDEX(Scénarios!$B$2:$AI$232,MATCH($S86,Scénarios!$AI$2:$AI$232,0),MATCH(AY$4,Scénarios!$B$4:$AI$4,0)),"-")</f>
        <v>-</v>
      </c>
      <c r="AZ86" s="588" t="str">
        <f>IFERROR(INDEX(Param!$A$31:$C$35,MATCH($AY86,Param!$C$31:$C$35,0),1),"-")</f>
        <v>-</v>
      </c>
      <c r="BA86" s="588" t="str">
        <f>IFERROR(IF(INDEX(Scénarios!$B$2:$AI$232,MATCH($S86,Scénarios!$AI$2:$AI$232,0),MATCH(BA$4,Scénarios!$B$4:$AI$4,0))=0,"",INDEX(Scénarios!$B$2:$AI$232,MATCH($S86,Scénarios!$AI$2:$AI$232,0),MATCH(BA$4,Scénarios!$B$4:$AI$4,0))),"-")</f>
        <v>-</v>
      </c>
      <c r="BB86" s="443" t="str">
        <f>IFERROR(IF(INDEX(Scénarios!$B$2:$AK$237,MATCH($S86,Scénarios!$AI$2:$AI$237,0),MATCH(BB$4,Scénarios!$B$4:$AK$4,0))=0,"",INDEX(Scénarios!$B$2:$AK$237,MATCH($S86,Scénarios!$AI$2:$AI$237,0),MATCH(BB$4,Scénarios!$B$4:$AK$4,0))),"-")</f>
        <v>-</v>
      </c>
      <c r="BC86" s="443" t="str">
        <f>IFERROR(INDEX(Scénarios!$B$2:$AV$232,MATCH($S86,Scénarios!$AI$2:$AI$232,0),MATCH(BC$4,Scénarios!$B$4:$AV$4,0)),"-")</f>
        <v>-</v>
      </c>
    </row>
    <row r="87" spans="15:55" ht="25.5" customHeight="1" x14ac:dyDescent="0.25">
      <c r="O87" s="604" t="str">
        <f t="shared" si="1"/>
        <v>Fiche R83 sans décision :
Veuillez ajouter une décision</v>
      </c>
      <c r="P87" s="609" t="s">
        <v>2188</v>
      </c>
      <c r="Q87" s="605" t="s">
        <v>2067</v>
      </c>
      <c r="R87" s="585" t="s">
        <v>2068</v>
      </c>
      <c r="S87" s="587" t="s">
        <v>2121</v>
      </c>
      <c r="T87" s="588" t="str">
        <f>IFERROR(INDEX(Tab_sel!$B$7:$C$18,MATCH($AB87,Tab_sel!$C$7:$C$18,0),1),"-")</f>
        <v>-</v>
      </c>
      <c r="U87" s="589" t="str">
        <f>IFERROR(INDEX(Scénarios!$B$2:$AI$232,MATCH($S87,Scénarios!$AI$2:$AI$232,0),MATCH(U$4,Scénarios!$B$4:$AI$4,0)),"-")</f>
        <v>-</v>
      </c>
      <c r="V87" s="588" t="str">
        <f>IFERROR(INDEX(Scénarios!$B$2:$AI$232,MATCH($S87,Scénarios!$AI$2:$AI$232,0),MATCH(V$4,Scénarios!$B$4:$AI$4,0)),"-")</f>
        <v>-</v>
      </c>
      <c r="W87" s="588" t="str">
        <f>IFERROR(INDEX(Scénarios!$B$2:$AI$232,MATCH($S87,Scénarios!$AI$2:$AI$232,0),MATCH(W$4,Scénarios!$B$4:$AI$4,0)),"-")</f>
        <v>-</v>
      </c>
      <c r="X87" s="588" t="str">
        <f>IFERROR(VLOOKUP(AD87,Expo!$D$4:$E$35,2,FALSE),"-")</f>
        <v>-</v>
      </c>
      <c r="Y87" s="859" t="str">
        <f>IFERROR(IF(INDEX(Scénarios!$B$2:$AI$232,MATCH($S87,Scénarios!$AI$2:$AI$232,0),MATCH(Y$4,Scénarios!$B$4:$AI$4,0))=0,"",INDEX(Scénarios!$B$2:$AI$232,MATCH($S87,Scénarios!$AI$2:$AI$232,0),MATCH(Y$4,Scénarios!$B$4:$AI$4,0))),"-")</f>
        <v>-</v>
      </c>
      <c r="Z87" s="589" t="str">
        <f>IFERROR(INDEX(Scénarios!$B$2:$AI$232,MATCH($S87,Scénarios!$AI$2:$AI$232,0),MATCH(Z$4,Scénarios!$B$4:$AI$4,0)),"-")</f>
        <v>-</v>
      </c>
      <c r="AA87" s="589" t="str">
        <f>IFERROR(INDEX(Scénarios!$B$2:$AI$232,MATCH($S87,Scénarios!$AI$2:$AI$232,0),MATCH(AA$4,Scénarios!$B$4:$AI$4,0)),"-")</f>
        <v>-</v>
      </c>
      <c r="AB87" s="586" t="str">
        <f>IFERROR(INDEX(Scénarios!$B$2:$AI$232,MATCH($S87,Scénarios!$AI$2:$AI$232,0),MATCH(AB$4,Scénarios!$B$4:$AI$4,0)),"-")</f>
        <v>-</v>
      </c>
      <c r="AC87" s="442" t="str">
        <f>IFERROR(INDEX(Tab_sel!$B$24:$C$27,MATCH($U87,Tab_sel!$C$24:$C$27,0),1),"-")</f>
        <v>-</v>
      </c>
      <c r="AD87" s="443" t="str">
        <f>IFERROR(INDEX(Scénarios!$B$2:$AI$232,MATCH($S87,Scénarios!$AI$2:$AI$232,0),MATCH(AD$4,Scénarios!$B$4:$AI$4,0)),"-")</f>
        <v>-</v>
      </c>
      <c r="AE87" s="460" t="str">
        <f>IFERROR(INDEX(Scénarios!$B$2:$AI$232,MATCH($S87,Scénarios!$AI$2:$AI$232,0),MATCH(AE$4,Scénarios!$B$4:$AI$4,0)),"-")</f>
        <v>-</v>
      </c>
      <c r="AF87" s="460" t="str">
        <f>IFERROR(INDEX(Scénarios!$B$2:$AI$232,MATCH($S87,Scénarios!$AI$2:$AI$232,0),MATCH(AF$4,Scénarios!$B$4:$AI$4,0)),"-")</f>
        <v>-</v>
      </c>
      <c r="AG87" s="460" t="str">
        <f>IFERROR(INDEX(Scénarios!$B$2:$AI$232,MATCH($S87,Scénarios!$AI$2:$AI$232,0),MATCH(AG$4,Scénarios!$B$4:$AI$4,0)),"-")</f>
        <v>-</v>
      </c>
      <c r="AH87" s="460" t="str">
        <f>IFERROR(INDEX(Scénarios!$B$2:$AI$232,MATCH($S87,Scénarios!$AI$2:$AI$232,0),MATCH(AH$4,Scénarios!$B$4:$AI$4,0)),"-")</f>
        <v>-</v>
      </c>
      <c r="AI87" s="443" t="str">
        <f>IFERROR(INDEX(Scénarios!$B$2:$AI$232,MATCH($S87,Scénarios!$AI$2:$AI$232,0),MATCH(AI$4,Scénarios!$B$4:$AI$4,0)),"-")</f>
        <v>-</v>
      </c>
      <c r="AJ87" s="443" t="str">
        <f>IFERROR(INDEX(Param!$A$3:$C$7,MATCH($AI87,Param!$C$3:$C$7,0),1),"-")</f>
        <v>-</v>
      </c>
      <c r="AK87" s="443" t="str">
        <f>IFERROR(INDEX(Scénarios!$B$2:$AI$232,MATCH($S87,Scénarios!$AI$2:$AI$232,0),MATCH(AK$4,Scénarios!$B$4:$AI$4,0)),"-")</f>
        <v>-</v>
      </c>
      <c r="AL87" s="443" t="str">
        <f>IFERROR(INDEX(Scénarios!$B$2:$AI$232,MATCH($S87,Scénarios!$AI$2:$AI$232,0),MATCH(AL$4,Scénarios!$B$4:$AI$4,0)),"-")</f>
        <v>-</v>
      </c>
      <c r="AM87" s="443" t="str">
        <f>IFERROR(INDEX(Param!$A$10:$C$14,MATCH($AL87,Param!$C$10:$C$14,0),1),"-")</f>
        <v>-</v>
      </c>
      <c r="AN87" s="443" t="str">
        <f>IFERROR(IF(INDEX(Scénarios!$B$2:$AI$232,MATCH($S87,Scénarios!$AI$2:$AI$232,0),MATCH(AN$4,Scénarios!$B$4:$AI$4,0))=0,"",INDEX(Scénarios!$B$2:$AI$232,MATCH($S87,Scénarios!$AI$2:$AI$232,0),MATCH(AN$4,Scénarios!$B$4:$AI$4,0))),"-")</f>
        <v>-</v>
      </c>
      <c r="AO87" s="443" t="str">
        <f>IFERROR(INDEX(Scénarios!$B$2:$AI$232,MATCH($S87,Scénarios!$AI$2:$AI$232,0),MATCH(AO$4,Scénarios!$B$4:$AI$4,0)),"-")</f>
        <v>-</v>
      </c>
      <c r="AP87" s="443" t="str">
        <f>IFERROR(INDEX(Param!$A$17:$C$21,MATCH($AO87,Param!$C$17:$C$21,0),1),"-")</f>
        <v>-</v>
      </c>
      <c r="AQ87" s="443" t="str">
        <f>IFERROR(IF(INDEX(Scénarios!$B$2:$AI$232,MATCH($S87,Scénarios!$AI$2:$AI$232,0),MATCH(AQ$4,Scénarios!$B$4:$AI$4,0))=0,"",INDEX(Scénarios!$B$2:$AI$232,MATCH($S87,Scénarios!$AI$2:$AI$232,0),MATCH(AQ$4,Scénarios!$B$4:$AI$4,0))),"-")</f>
        <v>-</v>
      </c>
      <c r="AR87" s="443" t="str">
        <f>IFERROR(INDEX(Scénarios!$B$2:$AI$232,MATCH($S87,Scénarios!$AI$2:$AI$232,0),MATCH(AR$4,Scénarios!$B$4:$AI$4,0)),"-")</f>
        <v>-</v>
      </c>
      <c r="AS87" s="443" t="str">
        <f>IFERROR(INDEX(Param!$A$24:$C$28,MATCH($AR87,Param!$C$24:$C$28,0),1),"-")</f>
        <v>-</v>
      </c>
      <c r="AT87" s="443" t="str">
        <f>IFERROR(IF(INDEX(Scénarios!$B$2:$AI$232,MATCH($S87,Scénarios!$AI$2:$AI$232,0),MATCH(AT$4,Scénarios!$B$4:$AI$4,0))=0,"",INDEX(Scénarios!$B$2:$AI$232,MATCH($S87,Scénarios!$AI$2:$AI$232,0),MATCH(AT$4,Scénarios!$B$4:$AI$4,0))),"-")</f>
        <v>-</v>
      </c>
      <c r="AU87" s="462" t="str">
        <f>IFERROR(INDEX(Scénarios!$B$2:$AI$232,MATCH($S87,Scénarios!$AI$2:$AI$232,0),MATCH(AU$4,Scénarios!$B$4:$AI$4,0)),"-")</f>
        <v>-</v>
      </c>
      <c r="AV87" s="462" t="str">
        <f>IFERROR(INDEX(Scénarios!$B$2:$AI$232,MATCH($S87,Scénarios!$AI$2:$AI$232,0),MATCH(AV$4,Scénarios!$B$4:$AI$4,0)),"-")</f>
        <v>-</v>
      </c>
      <c r="AW87" s="462" t="str">
        <f>IFERROR(INDEX(Scénarios!$B$2:$AI$232,MATCH($S87,Scénarios!$AI$2:$AI$232,0),MATCH(AW$4,Scénarios!$B$4:$AI$4,0)),"-")</f>
        <v>-</v>
      </c>
      <c r="AX87" s="462" t="str">
        <f>IFERROR(INDEX(Scénarios!$B$2:$AI$232,MATCH($S87,Scénarios!$AI$2:$AI$232,0),MATCH(AX$4,Scénarios!$B$4:$AI$4,0)),"-")</f>
        <v>-</v>
      </c>
      <c r="AY87" s="443" t="str">
        <f>IFERROR(INDEX(Scénarios!$B$2:$AI$232,MATCH($S87,Scénarios!$AI$2:$AI$232,0),MATCH(AY$4,Scénarios!$B$4:$AI$4,0)),"-")</f>
        <v>-</v>
      </c>
      <c r="AZ87" s="588" t="str">
        <f>IFERROR(INDEX(Param!$A$31:$C$35,MATCH($AY87,Param!$C$31:$C$35,0),1),"-")</f>
        <v>-</v>
      </c>
      <c r="BA87" s="588" t="str">
        <f>IFERROR(IF(INDEX(Scénarios!$B$2:$AI$232,MATCH($S87,Scénarios!$AI$2:$AI$232,0),MATCH(BA$4,Scénarios!$B$4:$AI$4,0))=0,"",INDEX(Scénarios!$B$2:$AI$232,MATCH($S87,Scénarios!$AI$2:$AI$232,0),MATCH(BA$4,Scénarios!$B$4:$AI$4,0))),"-")</f>
        <v>-</v>
      </c>
      <c r="BB87" s="443" t="str">
        <f>IFERROR(IF(INDEX(Scénarios!$B$2:$AK$237,MATCH($S87,Scénarios!$AI$2:$AI$237,0),MATCH(BB$4,Scénarios!$B$4:$AK$4,0))=0,"",INDEX(Scénarios!$B$2:$AK$237,MATCH($S87,Scénarios!$AI$2:$AI$237,0),MATCH(BB$4,Scénarios!$B$4:$AK$4,0))),"-")</f>
        <v>-</v>
      </c>
      <c r="BC87" s="443" t="str">
        <f>IFERROR(INDEX(Scénarios!$B$2:$AV$232,MATCH($S87,Scénarios!$AI$2:$AI$232,0),MATCH(BC$4,Scénarios!$B$4:$AV$4,0)),"-")</f>
        <v>-</v>
      </c>
    </row>
    <row r="88" spans="15:55" ht="25.5" customHeight="1" x14ac:dyDescent="0.25">
      <c r="O88" s="604" t="str">
        <f t="shared" si="1"/>
        <v>Fiche R84 sans décision :
Veuillez ajouter une décision</v>
      </c>
      <c r="P88" s="609" t="s">
        <v>2188</v>
      </c>
      <c r="Q88" s="605" t="s">
        <v>2067</v>
      </c>
      <c r="R88" s="585" t="s">
        <v>2068</v>
      </c>
      <c r="S88" s="587" t="s">
        <v>2122</v>
      </c>
      <c r="T88" s="588" t="str">
        <f>IFERROR(INDEX(Tab_sel!$B$7:$C$18,MATCH($AB88,Tab_sel!$C$7:$C$18,0),1),"-")</f>
        <v>-</v>
      </c>
      <c r="U88" s="589" t="str">
        <f>IFERROR(INDEX(Scénarios!$B$2:$AI$232,MATCH($S88,Scénarios!$AI$2:$AI$232,0),MATCH(U$4,Scénarios!$B$4:$AI$4,0)),"-")</f>
        <v>-</v>
      </c>
      <c r="V88" s="588" t="str">
        <f>IFERROR(INDEX(Scénarios!$B$2:$AI$232,MATCH($S88,Scénarios!$AI$2:$AI$232,0),MATCH(V$4,Scénarios!$B$4:$AI$4,0)),"-")</f>
        <v>-</v>
      </c>
      <c r="W88" s="588" t="str">
        <f>IFERROR(INDEX(Scénarios!$B$2:$AI$232,MATCH($S88,Scénarios!$AI$2:$AI$232,0),MATCH(W$4,Scénarios!$B$4:$AI$4,0)),"-")</f>
        <v>-</v>
      </c>
      <c r="X88" s="588" t="str">
        <f>IFERROR(VLOOKUP(AD88,Expo!$D$4:$E$35,2,FALSE),"-")</f>
        <v>-</v>
      </c>
      <c r="Y88" s="859" t="str">
        <f>IFERROR(IF(INDEX(Scénarios!$B$2:$AI$232,MATCH($S88,Scénarios!$AI$2:$AI$232,0),MATCH(Y$4,Scénarios!$B$4:$AI$4,0))=0,"",INDEX(Scénarios!$B$2:$AI$232,MATCH($S88,Scénarios!$AI$2:$AI$232,0),MATCH(Y$4,Scénarios!$B$4:$AI$4,0))),"-")</f>
        <v>-</v>
      </c>
      <c r="Z88" s="589" t="str">
        <f>IFERROR(INDEX(Scénarios!$B$2:$AI$232,MATCH($S88,Scénarios!$AI$2:$AI$232,0),MATCH(Z$4,Scénarios!$B$4:$AI$4,0)),"-")</f>
        <v>-</v>
      </c>
      <c r="AA88" s="589" t="str">
        <f>IFERROR(INDEX(Scénarios!$B$2:$AI$232,MATCH($S88,Scénarios!$AI$2:$AI$232,0),MATCH(AA$4,Scénarios!$B$4:$AI$4,0)),"-")</f>
        <v>-</v>
      </c>
      <c r="AB88" s="586" t="str">
        <f>IFERROR(INDEX(Scénarios!$B$2:$AI$232,MATCH($S88,Scénarios!$AI$2:$AI$232,0),MATCH(AB$4,Scénarios!$B$4:$AI$4,0)),"-")</f>
        <v>-</v>
      </c>
      <c r="AC88" s="442" t="str">
        <f>IFERROR(INDEX(Tab_sel!$B$24:$C$27,MATCH($U88,Tab_sel!$C$24:$C$27,0),1),"-")</f>
        <v>-</v>
      </c>
      <c r="AD88" s="443" t="str">
        <f>IFERROR(INDEX(Scénarios!$B$2:$AI$232,MATCH($S88,Scénarios!$AI$2:$AI$232,0),MATCH(AD$4,Scénarios!$B$4:$AI$4,0)),"-")</f>
        <v>-</v>
      </c>
      <c r="AE88" s="460" t="str">
        <f>IFERROR(INDEX(Scénarios!$B$2:$AI$232,MATCH($S88,Scénarios!$AI$2:$AI$232,0),MATCH(AE$4,Scénarios!$B$4:$AI$4,0)),"-")</f>
        <v>-</v>
      </c>
      <c r="AF88" s="460" t="str">
        <f>IFERROR(INDEX(Scénarios!$B$2:$AI$232,MATCH($S88,Scénarios!$AI$2:$AI$232,0),MATCH(AF$4,Scénarios!$B$4:$AI$4,0)),"-")</f>
        <v>-</v>
      </c>
      <c r="AG88" s="460" t="str">
        <f>IFERROR(INDEX(Scénarios!$B$2:$AI$232,MATCH($S88,Scénarios!$AI$2:$AI$232,0),MATCH(AG$4,Scénarios!$B$4:$AI$4,0)),"-")</f>
        <v>-</v>
      </c>
      <c r="AH88" s="460" t="str">
        <f>IFERROR(INDEX(Scénarios!$B$2:$AI$232,MATCH($S88,Scénarios!$AI$2:$AI$232,0),MATCH(AH$4,Scénarios!$B$4:$AI$4,0)),"-")</f>
        <v>-</v>
      </c>
      <c r="AI88" s="443" t="str">
        <f>IFERROR(INDEX(Scénarios!$B$2:$AI$232,MATCH($S88,Scénarios!$AI$2:$AI$232,0),MATCH(AI$4,Scénarios!$B$4:$AI$4,0)),"-")</f>
        <v>-</v>
      </c>
      <c r="AJ88" s="443" t="str">
        <f>IFERROR(INDEX(Param!$A$3:$C$7,MATCH($AI88,Param!$C$3:$C$7,0),1),"-")</f>
        <v>-</v>
      </c>
      <c r="AK88" s="443" t="str">
        <f>IFERROR(INDEX(Scénarios!$B$2:$AI$232,MATCH($S88,Scénarios!$AI$2:$AI$232,0),MATCH(AK$4,Scénarios!$B$4:$AI$4,0)),"-")</f>
        <v>-</v>
      </c>
      <c r="AL88" s="443" t="str">
        <f>IFERROR(INDEX(Scénarios!$B$2:$AI$232,MATCH($S88,Scénarios!$AI$2:$AI$232,0),MATCH(AL$4,Scénarios!$B$4:$AI$4,0)),"-")</f>
        <v>-</v>
      </c>
      <c r="AM88" s="443" t="str">
        <f>IFERROR(INDEX(Param!$A$10:$C$14,MATCH($AL88,Param!$C$10:$C$14,0),1),"-")</f>
        <v>-</v>
      </c>
      <c r="AN88" s="443" t="str">
        <f>IFERROR(IF(INDEX(Scénarios!$B$2:$AI$232,MATCH($S88,Scénarios!$AI$2:$AI$232,0),MATCH(AN$4,Scénarios!$B$4:$AI$4,0))=0,"",INDEX(Scénarios!$B$2:$AI$232,MATCH($S88,Scénarios!$AI$2:$AI$232,0),MATCH(AN$4,Scénarios!$B$4:$AI$4,0))),"-")</f>
        <v>-</v>
      </c>
      <c r="AO88" s="443" t="str">
        <f>IFERROR(INDEX(Scénarios!$B$2:$AI$232,MATCH($S88,Scénarios!$AI$2:$AI$232,0),MATCH(AO$4,Scénarios!$B$4:$AI$4,0)),"-")</f>
        <v>-</v>
      </c>
      <c r="AP88" s="443" t="str">
        <f>IFERROR(INDEX(Param!$A$17:$C$21,MATCH($AO88,Param!$C$17:$C$21,0),1),"-")</f>
        <v>-</v>
      </c>
      <c r="AQ88" s="443" t="str">
        <f>IFERROR(IF(INDEX(Scénarios!$B$2:$AI$232,MATCH($S88,Scénarios!$AI$2:$AI$232,0),MATCH(AQ$4,Scénarios!$B$4:$AI$4,0))=0,"",INDEX(Scénarios!$B$2:$AI$232,MATCH($S88,Scénarios!$AI$2:$AI$232,0),MATCH(AQ$4,Scénarios!$B$4:$AI$4,0))),"-")</f>
        <v>-</v>
      </c>
      <c r="AR88" s="443" t="str">
        <f>IFERROR(INDEX(Scénarios!$B$2:$AI$232,MATCH($S88,Scénarios!$AI$2:$AI$232,0),MATCH(AR$4,Scénarios!$B$4:$AI$4,0)),"-")</f>
        <v>-</v>
      </c>
      <c r="AS88" s="443" t="str">
        <f>IFERROR(INDEX(Param!$A$24:$C$28,MATCH($AR88,Param!$C$24:$C$28,0),1),"-")</f>
        <v>-</v>
      </c>
      <c r="AT88" s="443" t="str">
        <f>IFERROR(IF(INDEX(Scénarios!$B$2:$AI$232,MATCH($S88,Scénarios!$AI$2:$AI$232,0),MATCH(AT$4,Scénarios!$B$4:$AI$4,0))=0,"",INDEX(Scénarios!$B$2:$AI$232,MATCH($S88,Scénarios!$AI$2:$AI$232,0),MATCH(AT$4,Scénarios!$B$4:$AI$4,0))),"-")</f>
        <v>-</v>
      </c>
      <c r="AU88" s="462" t="str">
        <f>IFERROR(INDEX(Scénarios!$B$2:$AI$232,MATCH($S88,Scénarios!$AI$2:$AI$232,0),MATCH(AU$4,Scénarios!$B$4:$AI$4,0)),"-")</f>
        <v>-</v>
      </c>
      <c r="AV88" s="462" t="str">
        <f>IFERROR(INDEX(Scénarios!$B$2:$AI$232,MATCH($S88,Scénarios!$AI$2:$AI$232,0),MATCH(AV$4,Scénarios!$B$4:$AI$4,0)),"-")</f>
        <v>-</v>
      </c>
      <c r="AW88" s="462" t="str">
        <f>IFERROR(INDEX(Scénarios!$B$2:$AI$232,MATCH($S88,Scénarios!$AI$2:$AI$232,0),MATCH(AW$4,Scénarios!$B$4:$AI$4,0)),"-")</f>
        <v>-</v>
      </c>
      <c r="AX88" s="462" t="str">
        <f>IFERROR(INDEX(Scénarios!$B$2:$AI$232,MATCH($S88,Scénarios!$AI$2:$AI$232,0),MATCH(AX$4,Scénarios!$B$4:$AI$4,0)),"-")</f>
        <v>-</v>
      </c>
      <c r="AY88" s="443" t="str">
        <f>IFERROR(INDEX(Scénarios!$B$2:$AI$232,MATCH($S88,Scénarios!$AI$2:$AI$232,0),MATCH(AY$4,Scénarios!$B$4:$AI$4,0)),"-")</f>
        <v>-</v>
      </c>
      <c r="AZ88" s="588" t="str">
        <f>IFERROR(INDEX(Param!$A$31:$C$35,MATCH($AY88,Param!$C$31:$C$35,0),1),"-")</f>
        <v>-</v>
      </c>
      <c r="BA88" s="588" t="str">
        <f>IFERROR(IF(INDEX(Scénarios!$B$2:$AI$232,MATCH($S88,Scénarios!$AI$2:$AI$232,0),MATCH(BA$4,Scénarios!$B$4:$AI$4,0))=0,"",INDEX(Scénarios!$B$2:$AI$232,MATCH($S88,Scénarios!$AI$2:$AI$232,0),MATCH(BA$4,Scénarios!$B$4:$AI$4,0))),"-")</f>
        <v>-</v>
      </c>
      <c r="BB88" s="443" t="str">
        <f>IFERROR(IF(INDEX(Scénarios!$B$2:$AK$237,MATCH($S88,Scénarios!$AI$2:$AI$237,0),MATCH(BB$4,Scénarios!$B$4:$AK$4,0))=0,"",INDEX(Scénarios!$B$2:$AK$237,MATCH($S88,Scénarios!$AI$2:$AI$237,0),MATCH(BB$4,Scénarios!$B$4:$AK$4,0))),"-")</f>
        <v>-</v>
      </c>
      <c r="BC88" s="443" t="str">
        <f>IFERROR(INDEX(Scénarios!$B$2:$AV$232,MATCH($S88,Scénarios!$AI$2:$AI$232,0),MATCH(BC$4,Scénarios!$B$4:$AV$4,0)),"-")</f>
        <v>-</v>
      </c>
    </row>
    <row r="89" spans="15:55" ht="25.5" customHeight="1" x14ac:dyDescent="0.25">
      <c r="O89" s="604" t="str">
        <f t="shared" si="1"/>
        <v>Fiche R85 sans décision :
Veuillez ajouter une décision</v>
      </c>
      <c r="P89" s="609" t="s">
        <v>2188</v>
      </c>
      <c r="Q89" s="605" t="s">
        <v>2067</v>
      </c>
      <c r="R89" s="585" t="s">
        <v>2068</v>
      </c>
      <c r="S89" s="587" t="s">
        <v>2123</v>
      </c>
      <c r="T89" s="588" t="str">
        <f>IFERROR(INDEX(Tab_sel!$B$7:$C$18,MATCH($AB89,Tab_sel!$C$7:$C$18,0),1),"-")</f>
        <v>-</v>
      </c>
      <c r="U89" s="589" t="str">
        <f>IFERROR(INDEX(Scénarios!$B$2:$AI$232,MATCH($S89,Scénarios!$AI$2:$AI$232,0),MATCH(U$4,Scénarios!$B$4:$AI$4,0)),"-")</f>
        <v>-</v>
      </c>
      <c r="V89" s="588" t="str">
        <f>IFERROR(INDEX(Scénarios!$B$2:$AI$232,MATCH($S89,Scénarios!$AI$2:$AI$232,0),MATCH(V$4,Scénarios!$B$4:$AI$4,0)),"-")</f>
        <v>-</v>
      </c>
      <c r="W89" s="588" t="str">
        <f>IFERROR(INDEX(Scénarios!$B$2:$AI$232,MATCH($S89,Scénarios!$AI$2:$AI$232,0),MATCH(W$4,Scénarios!$B$4:$AI$4,0)),"-")</f>
        <v>-</v>
      </c>
      <c r="X89" s="588" t="str">
        <f>IFERROR(VLOOKUP(AD89,Expo!$D$4:$E$35,2,FALSE),"-")</f>
        <v>-</v>
      </c>
      <c r="Y89" s="859" t="str">
        <f>IFERROR(IF(INDEX(Scénarios!$B$2:$AI$232,MATCH($S89,Scénarios!$AI$2:$AI$232,0),MATCH(Y$4,Scénarios!$B$4:$AI$4,0))=0,"",INDEX(Scénarios!$B$2:$AI$232,MATCH($S89,Scénarios!$AI$2:$AI$232,0),MATCH(Y$4,Scénarios!$B$4:$AI$4,0))),"-")</f>
        <v>-</v>
      </c>
      <c r="Z89" s="589" t="str">
        <f>IFERROR(INDEX(Scénarios!$B$2:$AI$232,MATCH($S89,Scénarios!$AI$2:$AI$232,0),MATCH(Z$4,Scénarios!$B$4:$AI$4,0)),"-")</f>
        <v>-</v>
      </c>
      <c r="AA89" s="589" t="str">
        <f>IFERROR(INDEX(Scénarios!$B$2:$AI$232,MATCH($S89,Scénarios!$AI$2:$AI$232,0),MATCH(AA$4,Scénarios!$B$4:$AI$4,0)),"-")</f>
        <v>-</v>
      </c>
      <c r="AB89" s="586" t="str">
        <f>IFERROR(INDEX(Scénarios!$B$2:$AI$232,MATCH($S89,Scénarios!$AI$2:$AI$232,0),MATCH(AB$4,Scénarios!$B$4:$AI$4,0)),"-")</f>
        <v>-</v>
      </c>
      <c r="AC89" s="442" t="str">
        <f>IFERROR(INDEX(Tab_sel!$B$24:$C$27,MATCH($U89,Tab_sel!$C$24:$C$27,0),1),"-")</f>
        <v>-</v>
      </c>
      <c r="AD89" s="443" t="str">
        <f>IFERROR(INDEX(Scénarios!$B$2:$AI$232,MATCH($S89,Scénarios!$AI$2:$AI$232,0),MATCH(AD$4,Scénarios!$B$4:$AI$4,0)),"-")</f>
        <v>-</v>
      </c>
      <c r="AE89" s="460" t="str">
        <f>IFERROR(INDEX(Scénarios!$B$2:$AI$232,MATCH($S89,Scénarios!$AI$2:$AI$232,0),MATCH(AE$4,Scénarios!$B$4:$AI$4,0)),"-")</f>
        <v>-</v>
      </c>
      <c r="AF89" s="460" t="str">
        <f>IFERROR(INDEX(Scénarios!$B$2:$AI$232,MATCH($S89,Scénarios!$AI$2:$AI$232,0),MATCH(AF$4,Scénarios!$B$4:$AI$4,0)),"-")</f>
        <v>-</v>
      </c>
      <c r="AG89" s="460" t="str">
        <f>IFERROR(INDEX(Scénarios!$B$2:$AI$232,MATCH($S89,Scénarios!$AI$2:$AI$232,0),MATCH(AG$4,Scénarios!$B$4:$AI$4,0)),"-")</f>
        <v>-</v>
      </c>
      <c r="AH89" s="460" t="str">
        <f>IFERROR(INDEX(Scénarios!$B$2:$AI$232,MATCH($S89,Scénarios!$AI$2:$AI$232,0),MATCH(AH$4,Scénarios!$B$4:$AI$4,0)),"-")</f>
        <v>-</v>
      </c>
      <c r="AI89" s="443" t="str">
        <f>IFERROR(INDEX(Scénarios!$B$2:$AI$232,MATCH($S89,Scénarios!$AI$2:$AI$232,0),MATCH(AI$4,Scénarios!$B$4:$AI$4,0)),"-")</f>
        <v>-</v>
      </c>
      <c r="AJ89" s="443" t="str">
        <f>IFERROR(INDEX(Param!$A$3:$C$7,MATCH($AI89,Param!$C$3:$C$7,0),1),"-")</f>
        <v>-</v>
      </c>
      <c r="AK89" s="443" t="str">
        <f>IFERROR(INDEX(Scénarios!$B$2:$AI$232,MATCH($S89,Scénarios!$AI$2:$AI$232,0),MATCH(AK$4,Scénarios!$B$4:$AI$4,0)),"-")</f>
        <v>-</v>
      </c>
      <c r="AL89" s="443" t="str">
        <f>IFERROR(INDEX(Scénarios!$B$2:$AI$232,MATCH($S89,Scénarios!$AI$2:$AI$232,0),MATCH(AL$4,Scénarios!$B$4:$AI$4,0)),"-")</f>
        <v>-</v>
      </c>
      <c r="AM89" s="443" t="str">
        <f>IFERROR(INDEX(Param!$A$10:$C$14,MATCH($AL89,Param!$C$10:$C$14,0),1),"-")</f>
        <v>-</v>
      </c>
      <c r="AN89" s="443" t="str">
        <f>IFERROR(IF(INDEX(Scénarios!$B$2:$AI$232,MATCH($S89,Scénarios!$AI$2:$AI$232,0),MATCH(AN$4,Scénarios!$B$4:$AI$4,0))=0,"",INDEX(Scénarios!$B$2:$AI$232,MATCH($S89,Scénarios!$AI$2:$AI$232,0),MATCH(AN$4,Scénarios!$B$4:$AI$4,0))),"-")</f>
        <v>-</v>
      </c>
      <c r="AO89" s="443" t="str">
        <f>IFERROR(INDEX(Scénarios!$B$2:$AI$232,MATCH($S89,Scénarios!$AI$2:$AI$232,0),MATCH(AO$4,Scénarios!$B$4:$AI$4,0)),"-")</f>
        <v>-</v>
      </c>
      <c r="AP89" s="443" t="str">
        <f>IFERROR(INDEX(Param!$A$17:$C$21,MATCH($AO89,Param!$C$17:$C$21,0),1),"-")</f>
        <v>-</v>
      </c>
      <c r="AQ89" s="443" t="str">
        <f>IFERROR(IF(INDEX(Scénarios!$B$2:$AI$232,MATCH($S89,Scénarios!$AI$2:$AI$232,0),MATCH(AQ$4,Scénarios!$B$4:$AI$4,0))=0,"",INDEX(Scénarios!$B$2:$AI$232,MATCH($S89,Scénarios!$AI$2:$AI$232,0),MATCH(AQ$4,Scénarios!$B$4:$AI$4,0))),"-")</f>
        <v>-</v>
      </c>
      <c r="AR89" s="443" t="str">
        <f>IFERROR(INDEX(Scénarios!$B$2:$AI$232,MATCH($S89,Scénarios!$AI$2:$AI$232,0),MATCH(AR$4,Scénarios!$B$4:$AI$4,0)),"-")</f>
        <v>-</v>
      </c>
      <c r="AS89" s="443" t="str">
        <f>IFERROR(INDEX(Param!$A$24:$C$28,MATCH($AR89,Param!$C$24:$C$28,0),1),"-")</f>
        <v>-</v>
      </c>
      <c r="AT89" s="443" t="str">
        <f>IFERROR(IF(INDEX(Scénarios!$B$2:$AI$232,MATCH($S89,Scénarios!$AI$2:$AI$232,0),MATCH(AT$4,Scénarios!$B$4:$AI$4,0))=0,"",INDEX(Scénarios!$B$2:$AI$232,MATCH($S89,Scénarios!$AI$2:$AI$232,0),MATCH(AT$4,Scénarios!$B$4:$AI$4,0))),"-")</f>
        <v>-</v>
      </c>
      <c r="AU89" s="462" t="str">
        <f>IFERROR(INDEX(Scénarios!$B$2:$AI$232,MATCH($S89,Scénarios!$AI$2:$AI$232,0),MATCH(AU$4,Scénarios!$B$4:$AI$4,0)),"-")</f>
        <v>-</v>
      </c>
      <c r="AV89" s="462" t="str">
        <f>IFERROR(INDEX(Scénarios!$B$2:$AI$232,MATCH($S89,Scénarios!$AI$2:$AI$232,0),MATCH(AV$4,Scénarios!$B$4:$AI$4,0)),"-")</f>
        <v>-</v>
      </c>
      <c r="AW89" s="462" t="str">
        <f>IFERROR(INDEX(Scénarios!$B$2:$AI$232,MATCH($S89,Scénarios!$AI$2:$AI$232,0),MATCH(AW$4,Scénarios!$B$4:$AI$4,0)),"-")</f>
        <v>-</v>
      </c>
      <c r="AX89" s="462" t="str">
        <f>IFERROR(INDEX(Scénarios!$B$2:$AI$232,MATCH($S89,Scénarios!$AI$2:$AI$232,0),MATCH(AX$4,Scénarios!$B$4:$AI$4,0)),"-")</f>
        <v>-</v>
      </c>
      <c r="AY89" s="443" t="str">
        <f>IFERROR(INDEX(Scénarios!$B$2:$AI$232,MATCH($S89,Scénarios!$AI$2:$AI$232,0),MATCH(AY$4,Scénarios!$B$4:$AI$4,0)),"-")</f>
        <v>-</v>
      </c>
      <c r="AZ89" s="588" t="str">
        <f>IFERROR(INDEX(Param!$A$31:$C$35,MATCH($AY89,Param!$C$31:$C$35,0),1),"-")</f>
        <v>-</v>
      </c>
      <c r="BA89" s="588" t="str">
        <f>IFERROR(IF(INDEX(Scénarios!$B$2:$AI$232,MATCH($S89,Scénarios!$AI$2:$AI$232,0),MATCH(BA$4,Scénarios!$B$4:$AI$4,0))=0,"",INDEX(Scénarios!$B$2:$AI$232,MATCH($S89,Scénarios!$AI$2:$AI$232,0),MATCH(BA$4,Scénarios!$B$4:$AI$4,0))),"-")</f>
        <v>-</v>
      </c>
      <c r="BB89" s="443" t="str">
        <f>IFERROR(IF(INDEX(Scénarios!$B$2:$AK$237,MATCH($S89,Scénarios!$AI$2:$AI$237,0),MATCH(BB$4,Scénarios!$B$4:$AK$4,0))=0,"",INDEX(Scénarios!$B$2:$AK$237,MATCH($S89,Scénarios!$AI$2:$AI$237,0),MATCH(BB$4,Scénarios!$B$4:$AK$4,0))),"-")</f>
        <v>-</v>
      </c>
      <c r="BC89" s="443" t="str">
        <f>IFERROR(INDEX(Scénarios!$B$2:$AV$232,MATCH($S89,Scénarios!$AI$2:$AI$232,0),MATCH(BC$4,Scénarios!$B$4:$AV$4,0)),"-")</f>
        <v>-</v>
      </c>
    </row>
    <row r="90" spans="15:55" ht="25.5" customHeight="1" x14ac:dyDescent="0.25">
      <c r="O90" s="604" t="str">
        <f t="shared" si="1"/>
        <v>Fiche R86 sans décision :
Veuillez ajouter une décision</v>
      </c>
      <c r="P90" s="609" t="s">
        <v>2188</v>
      </c>
      <c r="Q90" s="605" t="s">
        <v>2067</v>
      </c>
      <c r="R90" s="585" t="s">
        <v>2068</v>
      </c>
      <c r="S90" s="587" t="s">
        <v>2124</v>
      </c>
      <c r="T90" s="588" t="str">
        <f>IFERROR(INDEX(Tab_sel!$B$7:$C$18,MATCH($AB90,Tab_sel!$C$7:$C$18,0),1),"-")</f>
        <v>-</v>
      </c>
      <c r="U90" s="589" t="str">
        <f>IFERROR(INDEX(Scénarios!$B$2:$AI$232,MATCH($S90,Scénarios!$AI$2:$AI$232,0),MATCH(U$4,Scénarios!$B$4:$AI$4,0)),"-")</f>
        <v>-</v>
      </c>
      <c r="V90" s="588" t="str">
        <f>IFERROR(INDEX(Scénarios!$B$2:$AI$232,MATCH($S90,Scénarios!$AI$2:$AI$232,0),MATCH(V$4,Scénarios!$B$4:$AI$4,0)),"-")</f>
        <v>-</v>
      </c>
      <c r="W90" s="588" t="str">
        <f>IFERROR(INDEX(Scénarios!$B$2:$AI$232,MATCH($S90,Scénarios!$AI$2:$AI$232,0),MATCH(W$4,Scénarios!$B$4:$AI$4,0)),"-")</f>
        <v>-</v>
      </c>
      <c r="X90" s="588" t="str">
        <f>IFERROR(VLOOKUP(AD90,Expo!$D$4:$E$35,2,FALSE),"-")</f>
        <v>-</v>
      </c>
      <c r="Y90" s="859" t="str">
        <f>IFERROR(IF(INDEX(Scénarios!$B$2:$AI$232,MATCH($S90,Scénarios!$AI$2:$AI$232,0),MATCH(Y$4,Scénarios!$B$4:$AI$4,0))=0,"",INDEX(Scénarios!$B$2:$AI$232,MATCH($S90,Scénarios!$AI$2:$AI$232,0),MATCH(Y$4,Scénarios!$B$4:$AI$4,0))),"-")</f>
        <v>-</v>
      </c>
      <c r="Z90" s="589" t="str">
        <f>IFERROR(INDEX(Scénarios!$B$2:$AI$232,MATCH($S90,Scénarios!$AI$2:$AI$232,0),MATCH(Z$4,Scénarios!$B$4:$AI$4,0)),"-")</f>
        <v>-</v>
      </c>
      <c r="AA90" s="589" t="str">
        <f>IFERROR(INDEX(Scénarios!$B$2:$AI$232,MATCH($S90,Scénarios!$AI$2:$AI$232,0),MATCH(AA$4,Scénarios!$B$4:$AI$4,0)),"-")</f>
        <v>-</v>
      </c>
      <c r="AB90" s="586" t="str">
        <f>IFERROR(INDEX(Scénarios!$B$2:$AI$232,MATCH($S90,Scénarios!$AI$2:$AI$232,0),MATCH(AB$4,Scénarios!$B$4:$AI$4,0)),"-")</f>
        <v>-</v>
      </c>
      <c r="AC90" s="442" t="str">
        <f>IFERROR(INDEX(Tab_sel!$B$24:$C$27,MATCH($U90,Tab_sel!$C$24:$C$27,0),1),"-")</f>
        <v>-</v>
      </c>
      <c r="AD90" s="443" t="str">
        <f>IFERROR(INDEX(Scénarios!$B$2:$AI$232,MATCH($S90,Scénarios!$AI$2:$AI$232,0),MATCH(AD$4,Scénarios!$B$4:$AI$4,0)),"-")</f>
        <v>-</v>
      </c>
      <c r="AE90" s="460" t="str">
        <f>IFERROR(INDEX(Scénarios!$B$2:$AI$232,MATCH($S90,Scénarios!$AI$2:$AI$232,0),MATCH(AE$4,Scénarios!$B$4:$AI$4,0)),"-")</f>
        <v>-</v>
      </c>
      <c r="AF90" s="460" t="str">
        <f>IFERROR(INDEX(Scénarios!$B$2:$AI$232,MATCH($S90,Scénarios!$AI$2:$AI$232,0),MATCH(AF$4,Scénarios!$B$4:$AI$4,0)),"-")</f>
        <v>-</v>
      </c>
      <c r="AG90" s="460" t="str">
        <f>IFERROR(INDEX(Scénarios!$B$2:$AI$232,MATCH($S90,Scénarios!$AI$2:$AI$232,0),MATCH(AG$4,Scénarios!$B$4:$AI$4,0)),"-")</f>
        <v>-</v>
      </c>
      <c r="AH90" s="460" t="str">
        <f>IFERROR(INDEX(Scénarios!$B$2:$AI$232,MATCH($S90,Scénarios!$AI$2:$AI$232,0),MATCH(AH$4,Scénarios!$B$4:$AI$4,0)),"-")</f>
        <v>-</v>
      </c>
      <c r="AI90" s="443" t="str">
        <f>IFERROR(INDEX(Scénarios!$B$2:$AI$232,MATCH($S90,Scénarios!$AI$2:$AI$232,0),MATCH(AI$4,Scénarios!$B$4:$AI$4,0)),"-")</f>
        <v>-</v>
      </c>
      <c r="AJ90" s="443" t="str">
        <f>IFERROR(INDEX(Param!$A$3:$C$7,MATCH($AI90,Param!$C$3:$C$7,0),1),"-")</f>
        <v>-</v>
      </c>
      <c r="AK90" s="443" t="str">
        <f>IFERROR(INDEX(Scénarios!$B$2:$AI$232,MATCH($S90,Scénarios!$AI$2:$AI$232,0),MATCH(AK$4,Scénarios!$B$4:$AI$4,0)),"-")</f>
        <v>-</v>
      </c>
      <c r="AL90" s="443" t="str">
        <f>IFERROR(INDEX(Scénarios!$B$2:$AI$232,MATCH($S90,Scénarios!$AI$2:$AI$232,0),MATCH(AL$4,Scénarios!$B$4:$AI$4,0)),"-")</f>
        <v>-</v>
      </c>
      <c r="AM90" s="443" t="str">
        <f>IFERROR(INDEX(Param!$A$10:$C$14,MATCH($AL90,Param!$C$10:$C$14,0),1),"-")</f>
        <v>-</v>
      </c>
      <c r="AN90" s="443" t="str">
        <f>IFERROR(IF(INDEX(Scénarios!$B$2:$AI$232,MATCH($S90,Scénarios!$AI$2:$AI$232,0),MATCH(AN$4,Scénarios!$B$4:$AI$4,0))=0,"",INDEX(Scénarios!$B$2:$AI$232,MATCH($S90,Scénarios!$AI$2:$AI$232,0),MATCH(AN$4,Scénarios!$B$4:$AI$4,0))),"-")</f>
        <v>-</v>
      </c>
      <c r="AO90" s="443" t="str">
        <f>IFERROR(INDEX(Scénarios!$B$2:$AI$232,MATCH($S90,Scénarios!$AI$2:$AI$232,0),MATCH(AO$4,Scénarios!$B$4:$AI$4,0)),"-")</f>
        <v>-</v>
      </c>
      <c r="AP90" s="443" t="str">
        <f>IFERROR(INDEX(Param!$A$17:$C$21,MATCH($AO90,Param!$C$17:$C$21,0),1),"-")</f>
        <v>-</v>
      </c>
      <c r="AQ90" s="443" t="str">
        <f>IFERROR(IF(INDEX(Scénarios!$B$2:$AI$232,MATCH($S90,Scénarios!$AI$2:$AI$232,0),MATCH(AQ$4,Scénarios!$B$4:$AI$4,0))=0,"",INDEX(Scénarios!$B$2:$AI$232,MATCH($S90,Scénarios!$AI$2:$AI$232,0),MATCH(AQ$4,Scénarios!$B$4:$AI$4,0))),"-")</f>
        <v>-</v>
      </c>
      <c r="AR90" s="443" t="str">
        <f>IFERROR(INDEX(Scénarios!$B$2:$AI$232,MATCH($S90,Scénarios!$AI$2:$AI$232,0),MATCH(AR$4,Scénarios!$B$4:$AI$4,0)),"-")</f>
        <v>-</v>
      </c>
      <c r="AS90" s="443" t="str">
        <f>IFERROR(INDEX(Param!$A$24:$C$28,MATCH($AR90,Param!$C$24:$C$28,0),1),"-")</f>
        <v>-</v>
      </c>
      <c r="AT90" s="443" t="str">
        <f>IFERROR(IF(INDEX(Scénarios!$B$2:$AI$232,MATCH($S90,Scénarios!$AI$2:$AI$232,0),MATCH(AT$4,Scénarios!$B$4:$AI$4,0))=0,"",INDEX(Scénarios!$B$2:$AI$232,MATCH($S90,Scénarios!$AI$2:$AI$232,0),MATCH(AT$4,Scénarios!$B$4:$AI$4,0))),"-")</f>
        <v>-</v>
      </c>
      <c r="AU90" s="462" t="str">
        <f>IFERROR(INDEX(Scénarios!$B$2:$AI$232,MATCH($S90,Scénarios!$AI$2:$AI$232,0),MATCH(AU$4,Scénarios!$B$4:$AI$4,0)),"-")</f>
        <v>-</v>
      </c>
      <c r="AV90" s="462" t="str">
        <f>IFERROR(INDEX(Scénarios!$B$2:$AI$232,MATCH($S90,Scénarios!$AI$2:$AI$232,0),MATCH(AV$4,Scénarios!$B$4:$AI$4,0)),"-")</f>
        <v>-</v>
      </c>
      <c r="AW90" s="462" t="str">
        <f>IFERROR(INDEX(Scénarios!$B$2:$AI$232,MATCH($S90,Scénarios!$AI$2:$AI$232,0),MATCH(AW$4,Scénarios!$B$4:$AI$4,0)),"-")</f>
        <v>-</v>
      </c>
      <c r="AX90" s="462" t="str">
        <f>IFERROR(INDEX(Scénarios!$B$2:$AI$232,MATCH($S90,Scénarios!$AI$2:$AI$232,0),MATCH(AX$4,Scénarios!$B$4:$AI$4,0)),"-")</f>
        <v>-</v>
      </c>
      <c r="AY90" s="443" t="str">
        <f>IFERROR(INDEX(Scénarios!$B$2:$AI$232,MATCH($S90,Scénarios!$AI$2:$AI$232,0),MATCH(AY$4,Scénarios!$B$4:$AI$4,0)),"-")</f>
        <v>-</v>
      </c>
      <c r="AZ90" s="588" t="str">
        <f>IFERROR(INDEX(Param!$A$31:$C$35,MATCH($AY90,Param!$C$31:$C$35,0),1),"-")</f>
        <v>-</v>
      </c>
      <c r="BA90" s="588" t="str">
        <f>IFERROR(IF(INDEX(Scénarios!$B$2:$AI$232,MATCH($S90,Scénarios!$AI$2:$AI$232,0),MATCH(BA$4,Scénarios!$B$4:$AI$4,0))=0,"",INDEX(Scénarios!$B$2:$AI$232,MATCH($S90,Scénarios!$AI$2:$AI$232,0),MATCH(BA$4,Scénarios!$B$4:$AI$4,0))),"-")</f>
        <v>-</v>
      </c>
      <c r="BB90" s="443" t="str">
        <f>IFERROR(IF(INDEX(Scénarios!$B$2:$AK$237,MATCH($S90,Scénarios!$AI$2:$AI$237,0),MATCH(BB$4,Scénarios!$B$4:$AK$4,0))=0,"",INDEX(Scénarios!$B$2:$AK$237,MATCH($S90,Scénarios!$AI$2:$AI$237,0),MATCH(BB$4,Scénarios!$B$4:$AK$4,0))),"-")</f>
        <v>-</v>
      </c>
      <c r="BC90" s="443" t="str">
        <f>IFERROR(INDEX(Scénarios!$B$2:$AV$232,MATCH($S90,Scénarios!$AI$2:$AI$232,0),MATCH(BC$4,Scénarios!$B$4:$AV$4,0)),"-")</f>
        <v>-</v>
      </c>
    </row>
    <row r="91" spans="15:55" ht="25.5" customHeight="1" x14ac:dyDescent="0.25">
      <c r="O91" s="604" t="str">
        <f t="shared" si="1"/>
        <v>Fiche R87 sans décision :
Veuillez ajouter une décision</v>
      </c>
      <c r="P91" s="609" t="s">
        <v>2188</v>
      </c>
      <c r="Q91" s="605" t="s">
        <v>2067</v>
      </c>
      <c r="R91" s="585" t="s">
        <v>2068</v>
      </c>
      <c r="S91" s="587" t="s">
        <v>2125</v>
      </c>
      <c r="T91" s="588" t="str">
        <f>IFERROR(INDEX(Tab_sel!$B$7:$C$18,MATCH($AB91,Tab_sel!$C$7:$C$18,0),1),"-")</f>
        <v>-</v>
      </c>
      <c r="U91" s="589" t="str">
        <f>IFERROR(INDEX(Scénarios!$B$2:$AI$232,MATCH($S91,Scénarios!$AI$2:$AI$232,0),MATCH(U$4,Scénarios!$B$4:$AI$4,0)),"-")</f>
        <v>-</v>
      </c>
      <c r="V91" s="588" t="str">
        <f>IFERROR(INDEX(Scénarios!$B$2:$AI$232,MATCH($S91,Scénarios!$AI$2:$AI$232,0),MATCH(V$4,Scénarios!$B$4:$AI$4,0)),"-")</f>
        <v>-</v>
      </c>
      <c r="W91" s="588" t="str">
        <f>IFERROR(INDEX(Scénarios!$B$2:$AI$232,MATCH($S91,Scénarios!$AI$2:$AI$232,0),MATCH(W$4,Scénarios!$B$4:$AI$4,0)),"-")</f>
        <v>-</v>
      </c>
      <c r="X91" s="588" t="str">
        <f>IFERROR(VLOOKUP(AD91,Expo!$D$4:$E$35,2,FALSE),"-")</f>
        <v>-</v>
      </c>
      <c r="Y91" s="859" t="str">
        <f>IFERROR(IF(INDEX(Scénarios!$B$2:$AI$232,MATCH($S91,Scénarios!$AI$2:$AI$232,0),MATCH(Y$4,Scénarios!$B$4:$AI$4,0))=0,"",INDEX(Scénarios!$B$2:$AI$232,MATCH($S91,Scénarios!$AI$2:$AI$232,0),MATCH(Y$4,Scénarios!$B$4:$AI$4,0))),"-")</f>
        <v>-</v>
      </c>
      <c r="Z91" s="589" t="str">
        <f>IFERROR(INDEX(Scénarios!$B$2:$AI$232,MATCH($S91,Scénarios!$AI$2:$AI$232,0),MATCH(Z$4,Scénarios!$B$4:$AI$4,0)),"-")</f>
        <v>-</v>
      </c>
      <c r="AA91" s="589" t="str">
        <f>IFERROR(INDEX(Scénarios!$B$2:$AI$232,MATCH($S91,Scénarios!$AI$2:$AI$232,0),MATCH(AA$4,Scénarios!$B$4:$AI$4,0)),"-")</f>
        <v>-</v>
      </c>
      <c r="AB91" s="586" t="str">
        <f>IFERROR(INDEX(Scénarios!$B$2:$AI$232,MATCH($S91,Scénarios!$AI$2:$AI$232,0),MATCH(AB$4,Scénarios!$B$4:$AI$4,0)),"-")</f>
        <v>-</v>
      </c>
      <c r="AC91" s="442" t="str">
        <f>IFERROR(INDEX(Tab_sel!$B$24:$C$27,MATCH($U91,Tab_sel!$C$24:$C$27,0),1),"-")</f>
        <v>-</v>
      </c>
      <c r="AD91" s="443" t="str">
        <f>IFERROR(INDEX(Scénarios!$B$2:$AI$232,MATCH($S91,Scénarios!$AI$2:$AI$232,0),MATCH(AD$4,Scénarios!$B$4:$AI$4,0)),"-")</f>
        <v>-</v>
      </c>
      <c r="AE91" s="460" t="str">
        <f>IFERROR(INDEX(Scénarios!$B$2:$AI$232,MATCH($S91,Scénarios!$AI$2:$AI$232,0),MATCH(AE$4,Scénarios!$B$4:$AI$4,0)),"-")</f>
        <v>-</v>
      </c>
      <c r="AF91" s="460" t="str">
        <f>IFERROR(INDEX(Scénarios!$B$2:$AI$232,MATCH($S91,Scénarios!$AI$2:$AI$232,0),MATCH(AF$4,Scénarios!$B$4:$AI$4,0)),"-")</f>
        <v>-</v>
      </c>
      <c r="AG91" s="460" t="str">
        <f>IFERROR(INDEX(Scénarios!$B$2:$AI$232,MATCH($S91,Scénarios!$AI$2:$AI$232,0),MATCH(AG$4,Scénarios!$B$4:$AI$4,0)),"-")</f>
        <v>-</v>
      </c>
      <c r="AH91" s="460" t="str">
        <f>IFERROR(INDEX(Scénarios!$B$2:$AI$232,MATCH($S91,Scénarios!$AI$2:$AI$232,0),MATCH(AH$4,Scénarios!$B$4:$AI$4,0)),"-")</f>
        <v>-</v>
      </c>
      <c r="AI91" s="443" t="str">
        <f>IFERROR(INDEX(Scénarios!$B$2:$AI$232,MATCH($S91,Scénarios!$AI$2:$AI$232,0),MATCH(AI$4,Scénarios!$B$4:$AI$4,0)),"-")</f>
        <v>-</v>
      </c>
      <c r="AJ91" s="443" t="str">
        <f>IFERROR(INDEX(Param!$A$3:$C$7,MATCH($AI91,Param!$C$3:$C$7,0),1),"-")</f>
        <v>-</v>
      </c>
      <c r="AK91" s="443" t="str">
        <f>IFERROR(INDEX(Scénarios!$B$2:$AI$232,MATCH($S91,Scénarios!$AI$2:$AI$232,0),MATCH(AK$4,Scénarios!$B$4:$AI$4,0)),"-")</f>
        <v>-</v>
      </c>
      <c r="AL91" s="443" t="str">
        <f>IFERROR(INDEX(Scénarios!$B$2:$AI$232,MATCH($S91,Scénarios!$AI$2:$AI$232,0),MATCH(AL$4,Scénarios!$B$4:$AI$4,0)),"-")</f>
        <v>-</v>
      </c>
      <c r="AM91" s="443" t="str">
        <f>IFERROR(INDEX(Param!$A$10:$C$14,MATCH($AL91,Param!$C$10:$C$14,0),1),"-")</f>
        <v>-</v>
      </c>
      <c r="AN91" s="443" t="str">
        <f>IFERROR(IF(INDEX(Scénarios!$B$2:$AI$232,MATCH($S91,Scénarios!$AI$2:$AI$232,0),MATCH(AN$4,Scénarios!$B$4:$AI$4,0))=0,"",INDEX(Scénarios!$B$2:$AI$232,MATCH($S91,Scénarios!$AI$2:$AI$232,0),MATCH(AN$4,Scénarios!$B$4:$AI$4,0))),"-")</f>
        <v>-</v>
      </c>
      <c r="AO91" s="443" t="str">
        <f>IFERROR(INDEX(Scénarios!$B$2:$AI$232,MATCH($S91,Scénarios!$AI$2:$AI$232,0),MATCH(AO$4,Scénarios!$B$4:$AI$4,0)),"-")</f>
        <v>-</v>
      </c>
      <c r="AP91" s="443" t="str">
        <f>IFERROR(INDEX(Param!$A$17:$C$21,MATCH($AO91,Param!$C$17:$C$21,0),1),"-")</f>
        <v>-</v>
      </c>
      <c r="AQ91" s="443" t="str">
        <f>IFERROR(IF(INDEX(Scénarios!$B$2:$AI$232,MATCH($S91,Scénarios!$AI$2:$AI$232,0),MATCH(AQ$4,Scénarios!$B$4:$AI$4,0))=0,"",INDEX(Scénarios!$B$2:$AI$232,MATCH($S91,Scénarios!$AI$2:$AI$232,0),MATCH(AQ$4,Scénarios!$B$4:$AI$4,0))),"-")</f>
        <v>-</v>
      </c>
      <c r="AR91" s="443" t="str">
        <f>IFERROR(INDEX(Scénarios!$B$2:$AI$232,MATCH($S91,Scénarios!$AI$2:$AI$232,0),MATCH(AR$4,Scénarios!$B$4:$AI$4,0)),"-")</f>
        <v>-</v>
      </c>
      <c r="AS91" s="443" t="str">
        <f>IFERROR(INDEX(Param!$A$24:$C$28,MATCH($AR91,Param!$C$24:$C$28,0),1),"-")</f>
        <v>-</v>
      </c>
      <c r="AT91" s="443" t="str">
        <f>IFERROR(IF(INDEX(Scénarios!$B$2:$AI$232,MATCH($S91,Scénarios!$AI$2:$AI$232,0),MATCH(AT$4,Scénarios!$B$4:$AI$4,0))=0,"",INDEX(Scénarios!$B$2:$AI$232,MATCH($S91,Scénarios!$AI$2:$AI$232,0),MATCH(AT$4,Scénarios!$B$4:$AI$4,0))),"-")</f>
        <v>-</v>
      </c>
      <c r="AU91" s="462" t="str">
        <f>IFERROR(INDEX(Scénarios!$B$2:$AI$232,MATCH($S91,Scénarios!$AI$2:$AI$232,0),MATCH(AU$4,Scénarios!$B$4:$AI$4,0)),"-")</f>
        <v>-</v>
      </c>
      <c r="AV91" s="462" t="str">
        <f>IFERROR(INDEX(Scénarios!$B$2:$AI$232,MATCH($S91,Scénarios!$AI$2:$AI$232,0),MATCH(AV$4,Scénarios!$B$4:$AI$4,0)),"-")</f>
        <v>-</v>
      </c>
      <c r="AW91" s="462" t="str">
        <f>IFERROR(INDEX(Scénarios!$B$2:$AI$232,MATCH($S91,Scénarios!$AI$2:$AI$232,0),MATCH(AW$4,Scénarios!$B$4:$AI$4,0)),"-")</f>
        <v>-</v>
      </c>
      <c r="AX91" s="462" t="str">
        <f>IFERROR(INDEX(Scénarios!$B$2:$AI$232,MATCH($S91,Scénarios!$AI$2:$AI$232,0),MATCH(AX$4,Scénarios!$B$4:$AI$4,0)),"-")</f>
        <v>-</v>
      </c>
      <c r="AY91" s="443" t="str">
        <f>IFERROR(INDEX(Scénarios!$B$2:$AI$232,MATCH($S91,Scénarios!$AI$2:$AI$232,0),MATCH(AY$4,Scénarios!$B$4:$AI$4,0)),"-")</f>
        <v>-</v>
      </c>
      <c r="AZ91" s="588" t="str">
        <f>IFERROR(INDEX(Param!$A$31:$C$35,MATCH($AY91,Param!$C$31:$C$35,0),1),"-")</f>
        <v>-</v>
      </c>
      <c r="BA91" s="588" t="str">
        <f>IFERROR(IF(INDEX(Scénarios!$B$2:$AI$232,MATCH($S91,Scénarios!$AI$2:$AI$232,0),MATCH(BA$4,Scénarios!$B$4:$AI$4,0))=0,"",INDEX(Scénarios!$B$2:$AI$232,MATCH($S91,Scénarios!$AI$2:$AI$232,0),MATCH(BA$4,Scénarios!$B$4:$AI$4,0))),"-")</f>
        <v>-</v>
      </c>
      <c r="BB91" s="443" t="str">
        <f>IFERROR(IF(INDEX(Scénarios!$B$2:$AK$237,MATCH($S91,Scénarios!$AI$2:$AI$237,0),MATCH(BB$4,Scénarios!$B$4:$AK$4,0))=0,"",INDEX(Scénarios!$B$2:$AK$237,MATCH($S91,Scénarios!$AI$2:$AI$237,0),MATCH(BB$4,Scénarios!$B$4:$AK$4,0))),"-")</f>
        <v>-</v>
      </c>
      <c r="BC91" s="443" t="str">
        <f>IFERROR(INDEX(Scénarios!$B$2:$AV$232,MATCH($S91,Scénarios!$AI$2:$AI$232,0),MATCH(BC$4,Scénarios!$B$4:$AV$4,0)),"-")</f>
        <v>-</v>
      </c>
    </row>
    <row r="92" spans="15:55" ht="25.5" customHeight="1" x14ac:dyDescent="0.25">
      <c r="O92" s="604" t="str">
        <f t="shared" si="1"/>
        <v>Fiche R88 sans décision :
Veuillez ajouter une décision</v>
      </c>
      <c r="P92" s="609" t="s">
        <v>2188</v>
      </c>
      <c r="Q92" s="605" t="s">
        <v>2067</v>
      </c>
      <c r="R92" s="585" t="s">
        <v>2068</v>
      </c>
      <c r="S92" s="587" t="s">
        <v>2126</v>
      </c>
      <c r="T92" s="588" t="str">
        <f>IFERROR(INDEX(Tab_sel!$B$7:$C$18,MATCH($AB92,Tab_sel!$C$7:$C$18,0),1),"-")</f>
        <v>-</v>
      </c>
      <c r="U92" s="589" t="str">
        <f>IFERROR(INDEX(Scénarios!$B$2:$AI$232,MATCH($S92,Scénarios!$AI$2:$AI$232,0),MATCH(U$4,Scénarios!$B$4:$AI$4,0)),"-")</f>
        <v>-</v>
      </c>
      <c r="V92" s="588" t="str">
        <f>IFERROR(INDEX(Scénarios!$B$2:$AI$232,MATCH($S92,Scénarios!$AI$2:$AI$232,0),MATCH(V$4,Scénarios!$B$4:$AI$4,0)),"-")</f>
        <v>-</v>
      </c>
      <c r="W92" s="588" t="str">
        <f>IFERROR(INDEX(Scénarios!$B$2:$AI$232,MATCH($S92,Scénarios!$AI$2:$AI$232,0),MATCH(W$4,Scénarios!$B$4:$AI$4,0)),"-")</f>
        <v>-</v>
      </c>
      <c r="X92" s="588" t="str">
        <f>IFERROR(VLOOKUP(AD92,Expo!$D$4:$E$35,2,FALSE),"-")</f>
        <v>-</v>
      </c>
      <c r="Y92" s="859" t="str">
        <f>IFERROR(IF(INDEX(Scénarios!$B$2:$AI$232,MATCH($S92,Scénarios!$AI$2:$AI$232,0),MATCH(Y$4,Scénarios!$B$4:$AI$4,0))=0,"",INDEX(Scénarios!$B$2:$AI$232,MATCH($S92,Scénarios!$AI$2:$AI$232,0),MATCH(Y$4,Scénarios!$B$4:$AI$4,0))),"-")</f>
        <v>-</v>
      </c>
      <c r="Z92" s="589" t="str">
        <f>IFERROR(INDEX(Scénarios!$B$2:$AI$232,MATCH($S92,Scénarios!$AI$2:$AI$232,0),MATCH(Z$4,Scénarios!$B$4:$AI$4,0)),"-")</f>
        <v>-</v>
      </c>
      <c r="AA92" s="589" t="str">
        <f>IFERROR(INDEX(Scénarios!$B$2:$AI$232,MATCH($S92,Scénarios!$AI$2:$AI$232,0),MATCH(AA$4,Scénarios!$B$4:$AI$4,0)),"-")</f>
        <v>-</v>
      </c>
      <c r="AB92" s="586" t="str">
        <f>IFERROR(INDEX(Scénarios!$B$2:$AI$232,MATCH($S92,Scénarios!$AI$2:$AI$232,0),MATCH(AB$4,Scénarios!$B$4:$AI$4,0)),"-")</f>
        <v>-</v>
      </c>
      <c r="AC92" s="442" t="str">
        <f>IFERROR(INDEX(Tab_sel!$B$24:$C$27,MATCH($U92,Tab_sel!$C$24:$C$27,0),1),"-")</f>
        <v>-</v>
      </c>
      <c r="AD92" s="443" t="str">
        <f>IFERROR(INDEX(Scénarios!$B$2:$AI$232,MATCH($S92,Scénarios!$AI$2:$AI$232,0),MATCH(AD$4,Scénarios!$B$4:$AI$4,0)),"-")</f>
        <v>-</v>
      </c>
      <c r="AE92" s="460" t="str">
        <f>IFERROR(INDEX(Scénarios!$B$2:$AI$232,MATCH($S92,Scénarios!$AI$2:$AI$232,0),MATCH(AE$4,Scénarios!$B$4:$AI$4,0)),"-")</f>
        <v>-</v>
      </c>
      <c r="AF92" s="460" t="str">
        <f>IFERROR(INDEX(Scénarios!$B$2:$AI$232,MATCH($S92,Scénarios!$AI$2:$AI$232,0),MATCH(AF$4,Scénarios!$B$4:$AI$4,0)),"-")</f>
        <v>-</v>
      </c>
      <c r="AG92" s="460" t="str">
        <f>IFERROR(INDEX(Scénarios!$B$2:$AI$232,MATCH($S92,Scénarios!$AI$2:$AI$232,0),MATCH(AG$4,Scénarios!$B$4:$AI$4,0)),"-")</f>
        <v>-</v>
      </c>
      <c r="AH92" s="460" t="str">
        <f>IFERROR(INDEX(Scénarios!$B$2:$AI$232,MATCH($S92,Scénarios!$AI$2:$AI$232,0),MATCH(AH$4,Scénarios!$B$4:$AI$4,0)),"-")</f>
        <v>-</v>
      </c>
      <c r="AI92" s="443" t="str">
        <f>IFERROR(INDEX(Scénarios!$B$2:$AI$232,MATCH($S92,Scénarios!$AI$2:$AI$232,0),MATCH(AI$4,Scénarios!$B$4:$AI$4,0)),"-")</f>
        <v>-</v>
      </c>
      <c r="AJ92" s="443" t="str">
        <f>IFERROR(INDEX(Param!$A$3:$C$7,MATCH($AI92,Param!$C$3:$C$7,0),1),"-")</f>
        <v>-</v>
      </c>
      <c r="AK92" s="443" t="str">
        <f>IFERROR(INDEX(Scénarios!$B$2:$AI$232,MATCH($S92,Scénarios!$AI$2:$AI$232,0),MATCH(AK$4,Scénarios!$B$4:$AI$4,0)),"-")</f>
        <v>-</v>
      </c>
      <c r="AL92" s="443" t="str">
        <f>IFERROR(INDEX(Scénarios!$B$2:$AI$232,MATCH($S92,Scénarios!$AI$2:$AI$232,0),MATCH(AL$4,Scénarios!$B$4:$AI$4,0)),"-")</f>
        <v>-</v>
      </c>
      <c r="AM92" s="443" t="str">
        <f>IFERROR(INDEX(Param!$A$10:$C$14,MATCH($AL92,Param!$C$10:$C$14,0),1),"-")</f>
        <v>-</v>
      </c>
      <c r="AN92" s="443" t="str">
        <f>IFERROR(IF(INDEX(Scénarios!$B$2:$AI$232,MATCH($S92,Scénarios!$AI$2:$AI$232,0),MATCH(AN$4,Scénarios!$B$4:$AI$4,0))=0,"",INDEX(Scénarios!$B$2:$AI$232,MATCH($S92,Scénarios!$AI$2:$AI$232,0),MATCH(AN$4,Scénarios!$B$4:$AI$4,0))),"-")</f>
        <v>-</v>
      </c>
      <c r="AO92" s="443" t="str">
        <f>IFERROR(INDEX(Scénarios!$B$2:$AI$232,MATCH($S92,Scénarios!$AI$2:$AI$232,0),MATCH(AO$4,Scénarios!$B$4:$AI$4,0)),"-")</f>
        <v>-</v>
      </c>
      <c r="AP92" s="443" t="str">
        <f>IFERROR(INDEX(Param!$A$17:$C$21,MATCH($AO92,Param!$C$17:$C$21,0),1),"-")</f>
        <v>-</v>
      </c>
      <c r="AQ92" s="443" t="str">
        <f>IFERROR(IF(INDEX(Scénarios!$B$2:$AI$232,MATCH($S92,Scénarios!$AI$2:$AI$232,0),MATCH(AQ$4,Scénarios!$B$4:$AI$4,0))=0,"",INDEX(Scénarios!$B$2:$AI$232,MATCH($S92,Scénarios!$AI$2:$AI$232,0),MATCH(AQ$4,Scénarios!$B$4:$AI$4,0))),"-")</f>
        <v>-</v>
      </c>
      <c r="AR92" s="443" t="str">
        <f>IFERROR(INDEX(Scénarios!$B$2:$AI$232,MATCH($S92,Scénarios!$AI$2:$AI$232,0),MATCH(AR$4,Scénarios!$B$4:$AI$4,0)),"-")</f>
        <v>-</v>
      </c>
      <c r="AS92" s="443" t="str">
        <f>IFERROR(INDEX(Param!$A$24:$C$28,MATCH($AR92,Param!$C$24:$C$28,0),1),"-")</f>
        <v>-</v>
      </c>
      <c r="AT92" s="443" t="str">
        <f>IFERROR(IF(INDEX(Scénarios!$B$2:$AI$232,MATCH($S92,Scénarios!$AI$2:$AI$232,0),MATCH(AT$4,Scénarios!$B$4:$AI$4,0))=0,"",INDEX(Scénarios!$B$2:$AI$232,MATCH($S92,Scénarios!$AI$2:$AI$232,0),MATCH(AT$4,Scénarios!$B$4:$AI$4,0))),"-")</f>
        <v>-</v>
      </c>
      <c r="AU92" s="462" t="str">
        <f>IFERROR(INDEX(Scénarios!$B$2:$AI$232,MATCH($S92,Scénarios!$AI$2:$AI$232,0),MATCH(AU$4,Scénarios!$B$4:$AI$4,0)),"-")</f>
        <v>-</v>
      </c>
      <c r="AV92" s="462" t="str">
        <f>IFERROR(INDEX(Scénarios!$B$2:$AI$232,MATCH($S92,Scénarios!$AI$2:$AI$232,0),MATCH(AV$4,Scénarios!$B$4:$AI$4,0)),"-")</f>
        <v>-</v>
      </c>
      <c r="AW92" s="462" t="str">
        <f>IFERROR(INDEX(Scénarios!$B$2:$AI$232,MATCH($S92,Scénarios!$AI$2:$AI$232,0),MATCH(AW$4,Scénarios!$B$4:$AI$4,0)),"-")</f>
        <v>-</v>
      </c>
      <c r="AX92" s="462" t="str">
        <f>IFERROR(INDEX(Scénarios!$B$2:$AI$232,MATCH($S92,Scénarios!$AI$2:$AI$232,0),MATCH(AX$4,Scénarios!$B$4:$AI$4,0)),"-")</f>
        <v>-</v>
      </c>
      <c r="AY92" s="443" t="str">
        <f>IFERROR(INDEX(Scénarios!$B$2:$AI$232,MATCH($S92,Scénarios!$AI$2:$AI$232,0),MATCH(AY$4,Scénarios!$B$4:$AI$4,0)),"-")</f>
        <v>-</v>
      </c>
      <c r="AZ92" s="588" t="str">
        <f>IFERROR(INDEX(Param!$A$31:$C$35,MATCH($AY92,Param!$C$31:$C$35,0),1),"-")</f>
        <v>-</v>
      </c>
      <c r="BA92" s="588" t="str">
        <f>IFERROR(IF(INDEX(Scénarios!$B$2:$AI$232,MATCH($S92,Scénarios!$AI$2:$AI$232,0),MATCH(BA$4,Scénarios!$B$4:$AI$4,0))=0,"",INDEX(Scénarios!$B$2:$AI$232,MATCH($S92,Scénarios!$AI$2:$AI$232,0),MATCH(BA$4,Scénarios!$B$4:$AI$4,0))),"-")</f>
        <v>-</v>
      </c>
      <c r="BB92" s="443" t="str">
        <f>IFERROR(IF(INDEX(Scénarios!$B$2:$AK$237,MATCH($S92,Scénarios!$AI$2:$AI$237,0),MATCH(BB$4,Scénarios!$B$4:$AK$4,0))=0,"",INDEX(Scénarios!$B$2:$AK$237,MATCH($S92,Scénarios!$AI$2:$AI$237,0),MATCH(BB$4,Scénarios!$B$4:$AK$4,0))),"-")</f>
        <v>-</v>
      </c>
      <c r="BC92" s="443" t="str">
        <f>IFERROR(INDEX(Scénarios!$B$2:$AV$232,MATCH($S92,Scénarios!$AI$2:$AI$232,0),MATCH(BC$4,Scénarios!$B$4:$AV$4,0)),"-")</f>
        <v>-</v>
      </c>
    </row>
    <row r="93" spans="15:55" ht="25.5" customHeight="1" x14ac:dyDescent="0.25">
      <c r="O93" s="604" t="str">
        <f t="shared" si="1"/>
        <v>Fiche R89 sans décision :
Veuillez ajouter une décision</v>
      </c>
      <c r="P93" s="609" t="s">
        <v>2188</v>
      </c>
      <c r="Q93" s="605" t="s">
        <v>2067</v>
      </c>
      <c r="R93" s="585" t="s">
        <v>2068</v>
      </c>
      <c r="S93" s="587" t="s">
        <v>2127</v>
      </c>
      <c r="T93" s="588" t="str">
        <f>IFERROR(INDEX(Tab_sel!$B$7:$C$18,MATCH($AB93,Tab_sel!$C$7:$C$18,0),1),"-")</f>
        <v>-</v>
      </c>
      <c r="U93" s="589" t="str">
        <f>IFERROR(INDEX(Scénarios!$B$2:$AI$232,MATCH($S93,Scénarios!$AI$2:$AI$232,0),MATCH(U$4,Scénarios!$B$4:$AI$4,0)),"-")</f>
        <v>-</v>
      </c>
      <c r="V93" s="588" t="str">
        <f>IFERROR(INDEX(Scénarios!$B$2:$AI$232,MATCH($S93,Scénarios!$AI$2:$AI$232,0),MATCH(V$4,Scénarios!$B$4:$AI$4,0)),"-")</f>
        <v>-</v>
      </c>
      <c r="W93" s="588" t="str">
        <f>IFERROR(INDEX(Scénarios!$B$2:$AI$232,MATCH($S93,Scénarios!$AI$2:$AI$232,0),MATCH(W$4,Scénarios!$B$4:$AI$4,0)),"-")</f>
        <v>-</v>
      </c>
      <c r="X93" s="588" t="str">
        <f>IFERROR(VLOOKUP(AD93,Expo!$D$4:$E$35,2,FALSE),"-")</f>
        <v>-</v>
      </c>
      <c r="Y93" s="859" t="str">
        <f>IFERROR(IF(INDEX(Scénarios!$B$2:$AI$232,MATCH($S93,Scénarios!$AI$2:$AI$232,0),MATCH(Y$4,Scénarios!$B$4:$AI$4,0))=0,"",INDEX(Scénarios!$B$2:$AI$232,MATCH($S93,Scénarios!$AI$2:$AI$232,0),MATCH(Y$4,Scénarios!$B$4:$AI$4,0))),"-")</f>
        <v>-</v>
      </c>
      <c r="Z93" s="589" t="str">
        <f>IFERROR(INDEX(Scénarios!$B$2:$AI$232,MATCH($S93,Scénarios!$AI$2:$AI$232,0),MATCH(Z$4,Scénarios!$B$4:$AI$4,0)),"-")</f>
        <v>-</v>
      </c>
      <c r="AA93" s="589" t="str">
        <f>IFERROR(INDEX(Scénarios!$B$2:$AI$232,MATCH($S93,Scénarios!$AI$2:$AI$232,0),MATCH(AA$4,Scénarios!$B$4:$AI$4,0)),"-")</f>
        <v>-</v>
      </c>
      <c r="AB93" s="586" t="str">
        <f>IFERROR(INDEX(Scénarios!$B$2:$AI$232,MATCH($S93,Scénarios!$AI$2:$AI$232,0),MATCH(AB$4,Scénarios!$B$4:$AI$4,0)),"-")</f>
        <v>-</v>
      </c>
      <c r="AC93" s="442" t="str">
        <f>IFERROR(INDEX(Tab_sel!$B$24:$C$27,MATCH($U93,Tab_sel!$C$24:$C$27,0),1),"-")</f>
        <v>-</v>
      </c>
      <c r="AD93" s="443" t="str">
        <f>IFERROR(INDEX(Scénarios!$B$2:$AI$232,MATCH($S93,Scénarios!$AI$2:$AI$232,0),MATCH(AD$4,Scénarios!$B$4:$AI$4,0)),"-")</f>
        <v>-</v>
      </c>
      <c r="AE93" s="460" t="str">
        <f>IFERROR(INDEX(Scénarios!$B$2:$AI$232,MATCH($S93,Scénarios!$AI$2:$AI$232,0),MATCH(AE$4,Scénarios!$B$4:$AI$4,0)),"-")</f>
        <v>-</v>
      </c>
      <c r="AF93" s="460" t="str">
        <f>IFERROR(INDEX(Scénarios!$B$2:$AI$232,MATCH($S93,Scénarios!$AI$2:$AI$232,0),MATCH(AF$4,Scénarios!$B$4:$AI$4,0)),"-")</f>
        <v>-</v>
      </c>
      <c r="AG93" s="460" t="str">
        <f>IFERROR(INDEX(Scénarios!$B$2:$AI$232,MATCH($S93,Scénarios!$AI$2:$AI$232,0),MATCH(AG$4,Scénarios!$B$4:$AI$4,0)),"-")</f>
        <v>-</v>
      </c>
      <c r="AH93" s="460" t="str">
        <f>IFERROR(INDEX(Scénarios!$B$2:$AI$232,MATCH($S93,Scénarios!$AI$2:$AI$232,0),MATCH(AH$4,Scénarios!$B$4:$AI$4,0)),"-")</f>
        <v>-</v>
      </c>
      <c r="AI93" s="443" t="str">
        <f>IFERROR(INDEX(Scénarios!$B$2:$AI$232,MATCH($S93,Scénarios!$AI$2:$AI$232,0),MATCH(AI$4,Scénarios!$B$4:$AI$4,0)),"-")</f>
        <v>-</v>
      </c>
      <c r="AJ93" s="443" t="str">
        <f>IFERROR(INDEX(Param!$A$3:$C$7,MATCH($AI93,Param!$C$3:$C$7,0),1),"-")</f>
        <v>-</v>
      </c>
      <c r="AK93" s="443" t="str">
        <f>IFERROR(INDEX(Scénarios!$B$2:$AI$232,MATCH($S93,Scénarios!$AI$2:$AI$232,0),MATCH(AK$4,Scénarios!$B$4:$AI$4,0)),"-")</f>
        <v>-</v>
      </c>
      <c r="AL93" s="443" t="str">
        <f>IFERROR(INDEX(Scénarios!$B$2:$AI$232,MATCH($S93,Scénarios!$AI$2:$AI$232,0),MATCH(AL$4,Scénarios!$B$4:$AI$4,0)),"-")</f>
        <v>-</v>
      </c>
      <c r="AM93" s="443" t="str">
        <f>IFERROR(INDEX(Param!$A$10:$C$14,MATCH($AL93,Param!$C$10:$C$14,0),1),"-")</f>
        <v>-</v>
      </c>
      <c r="AN93" s="443" t="str">
        <f>IFERROR(IF(INDEX(Scénarios!$B$2:$AI$232,MATCH($S93,Scénarios!$AI$2:$AI$232,0),MATCH(AN$4,Scénarios!$B$4:$AI$4,0))=0,"",INDEX(Scénarios!$B$2:$AI$232,MATCH($S93,Scénarios!$AI$2:$AI$232,0),MATCH(AN$4,Scénarios!$B$4:$AI$4,0))),"-")</f>
        <v>-</v>
      </c>
      <c r="AO93" s="443" t="str">
        <f>IFERROR(INDEX(Scénarios!$B$2:$AI$232,MATCH($S93,Scénarios!$AI$2:$AI$232,0),MATCH(AO$4,Scénarios!$B$4:$AI$4,0)),"-")</f>
        <v>-</v>
      </c>
      <c r="AP93" s="443" t="str">
        <f>IFERROR(INDEX(Param!$A$17:$C$21,MATCH($AO93,Param!$C$17:$C$21,0),1),"-")</f>
        <v>-</v>
      </c>
      <c r="AQ93" s="443" t="str">
        <f>IFERROR(IF(INDEX(Scénarios!$B$2:$AI$232,MATCH($S93,Scénarios!$AI$2:$AI$232,0),MATCH(AQ$4,Scénarios!$B$4:$AI$4,0))=0,"",INDEX(Scénarios!$B$2:$AI$232,MATCH($S93,Scénarios!$AI$2:$AI$232,0),MATCH(AQ$4,Scénarios!$B$4:$AI$4,0))),"-")</f>
        <v>-</v>
      </c>
      <c r="AR93" s="443" t="str">
        <f>IFERROR(INDEX(Scénarios!$B$2:$AI$232,MATCH($S93,Scénarios!$AI$2:$AI$232,0),MATCH(AR$4,Scénarios!$B$4:$AI$4,0)),"-")</f>
        <v>-</v>
      </c>
      <c r="AS93" s="443" t="str">
        <f>IFERROR(INDEX(Param!$A$24:$C$28,MATCH($AR93,Param!$C$24:$C$28,0),1),"-")</f>
        <v>-</v>
      </c>
      <c r="AT93" s="443" t="str">
        <f>IFERROR(IF(INDEX(Scénarios!$B$2:$AI$232,MATCH($S93,Scénarios!$AI$2:$AI$232,0),MATCH(AT$4,Scénarios!$B$4:$AI$4,0))=0,"",INDEX(Scénarios!$B$2:$AI$232,MATCH($S93,Scénarios!$AI$2:$AI$232,0),MATCH(AT$4,Scénarios!$B$4:$AI$4,0))),"-")</f>
        <v>-</v>
      </c>
      <c r="AU93" s="462" t="str">
        <f>IFERROR(INDEX(Scénarios!$B$2:$AI$232,MATCH($S93,Scénarios!$AI$2:$AI$232,0),MATCH(AU$4,Scénarios!$B$4:$AI$4,0)),"-")</f>
        <v>-</v>
      </c>
      <c r="AV93" s="462" t="str">
        <f>IFERROR(INDEX(Scénarios!$B$2:$AI$232,MATCH($S93,Scénarios!$AI$2:$AI$232,0),MATCH(AV$4,Scénarios!$B$4:$AI$4,0)),"-")</f>
        <v>-</v>
      </c>
      <c r="AW93" s="462" t="str">
        <f>IFERROR(INDEX(Scénarios!$B$2:$AI$232,MATCH($S93,Scénarios!$AI$2:$AI$232,0),MATCH(AW$4,Scénarios!$B$4:$AI$4,0)),"-")</f>
        <v>-</v>
      </c>
      <c r="AX93" s="462" t="str">
        <f>IFERROR(INDEX(Scénarios!$B$2:$AI$232,MATCH($S93,Scénarios!$AI$2:$AI$232,0),MATCH(AX$4,Scénarios!$B$4:$AI$4,0)),"-")</f>
        <v>-</v>
      </c>
      <c r="AY93" s="443" t="str">
        <f>IFERROR(INDEX(Scénarios!$B$2:$AI$232,MATCH($S93,Scénarios!$AI$2:$AI$232,0),MATCH(AY$4,Scénarios!$B$4:$AI$4,0)),"-")</f>
        <v>-</v>
      </c>
      <c r="AZ93" s="588" t="str">
        <f>IFERROR(INDEX(Param!$A$31:$C$35,MATCH($AY93,Param!$C$31:$C$35,0),1),"-")</f>
        <v>-</v>
      </c>
      <c r="BA93" s="588" t="str">
        <f>IFERROR(IF(INDEX(Scénarios!$B$2:$AI$232,MATCH($S93,Scénarios!$AI$2:$AI$232,0),MATCH(BA$4,Scénarios!$B$4:$AI$4,0))=0,"",INDEX(Scénarios!$B$2:$AI$232,MATCH($S93,Scénarios!$AI$2:$AI$232,0),MATCH(BA$4,Scénarios!$B$4:$AI$4,0))),"-")</f>
        <v>-</v>
      </c>
      <c r="BB93" s="443" t="str">
        <f>IFERROR(IF(INDEX(Scénarios!$B$2:$AK$237,MATCH($S93,Scénarios!$AI$2:$AI$237,0),MATCH(BB$4,Scénarios!$B$4:$AK$4,0))=0,"",INDEX(Scénarios!$B$2:$AK$237,MATCH($S93,Scénarios!$AI$2:$AI$237,0),MATCH(BB$4,Scénarios!$B$4:$AK$4,0))),"-")</f>
        <v>-</v>
      </c>
      <c r="BC93" s="443" t="str">
        <f>IFERROR(INDEX(Scénarios!$B$2:$AV$232,MATCH($S93,Scénarios!$AI$2:$AI$232,0),MATCH(BC$4,Scénarios!$B$4:$AV$4,0)),"-")</f>
        <v>-</v>
      </c>
    </row>
    <row r="94" spans="15:55" ht="25.5" customHeight="1" x14ac:dyDescent="0.25">
      <c r="O94" s="604" t="str">
        <f t="shared" si="1"/>
        <v>Fiche R90 sans décision :
Veuillez ajouter une décision</v>
      </c>
      <c r="P94" s="609" t="s">
        <v>2188</v>
      </c>
      <c r="Q94" s="605" t="s">
        <v>2067</v>
      </c>
      <c r="R94" s="585" t="s">
        <v>2068</v>
      </c>
      <c r="S94" s="587" t="s">
        <v>2128</v>
      </c>
      <c r="T94" s="588" t="str">
        <f>IFERROR(INDEX(Tab_sel!$B$7:$C$18,MATCH($AB94,Tab_sel!$C$7:$C$18,0),1),"-")</f>
        <v>-</v>
      </c>
      <c r="U94" s="589" t="str">
        <f>IFERROR(INDEX(Scénarios!$B$2:$AI$232,MATCH($S94,Scénarios!$AI$2:$AI$232,0),MATCH(U$4,Scénarios!$B$4:$AI$4,0)),"-")</f>
        <v>-</v>
      </c>
      <c r="V94" s="588" t="str">
        <f>IFERROR(INDEX(Scénarios!$B$2:$AI$232,MATCH($S94,Scénarios!$AI$2:$AI$232,0),MATCH(V$4,Scénarios!$B$4:$AI$4,0)),"-")</f>
        <v>-</v>
      </c>
      <c r="W94" s="588" t="str">
        <f>IFERROR(INDEX(Scénarios!$B$2:$AI$232,MATCH($S94,Scénarios!$AI$2:$AI$232,0),MATCH(W$4,Scénarios!$B$4:$AI$4,0)),"-")</f>
        <v>-</v>
      </c>
      <c r="X94" s="588" t="str">
        <f>IFERROR(VLOOKUP(AD94,Expo!$D$4:$E$35,2,FALSE),"-")</f>
        <v>-</v>
      </c>
      <c r="Y94" s="859" t="str">
        <f>IFERROR(IF(INDEX(Scénarios!$B$2:$AI$232,MATCH($S94,Scénarios!$AI$2:$AI$232,0),MATCH(Y$4,Scénarios!$B$4:$AI$4,0))=0,"",INDEX(Scénarios!$B$2:$AI$232,MATCH($S94,Scénarios!$AI$2:$AI$232,0),MATCH(Y$4,Scénarios!$B$4:$AI$4,0))),"-")</f>
        <v>-</v>
      </c>
      <c r="Z94" s="589" t="str">
        <f>IFERROR(INDEX(Scénarios!$B$2:$AI$232,MATCH($S94,Scénarios!$AI$2:$AI$232,0),MATCH(Z$4,Scénarios!$B$4:$AI$4,0)),"-")</f>
        <v>-</v>
      </c>
      <c r="AA94" s="589" t="str">
        <f>IFERROR(INDEX(Scénarios!$B$2:$AI$232,MATCH($S94,Scénarios!$AI$2:$AI$232,0),MATCH(AA$4,Scénarios!$B$4:$AI$4,0)),"-")</f>
        <v>-</v>
      </c>
      <c r="AB94" s="586" t="str">
        <f>IFERROR(INDEX(Scénarios!$B$2:$AI$232,MATCH($S94,Scénarios!$AI$2:$AI$232,0),MATCH(AB$4,Scénarios!$B$4:$AI$4,0)),"-")</f>
        <v>-</v>
      </c>
      <c r="AC94" s="442" t="str">
        <f>IFERROR(INDEX(Tab_sel!$B$24:$C$27,MATCH($U94,Tab_sel!$C$24:$C$27,0),1),"-")</f>
        <v>-</v>
      </c>
      <c r="AD94" s="443" t="str">
        <f>IFERROR(INDEX(Scénarios!$B$2:$AI$232,MATCH($S94,Scénarios!$AI$2:$AI$232,0),MATCH(AD$4,Scénarios!$B$4:$AI$4,0)),"-")</f>
        <v>-</v>
      </c>
      <c r="AE94" s="460" t="str">
        <f>IFERROR(INDEX(Scénarios!$B$2:$AI$232,MATCH($S94,Scénarios!$AI$2:$AI$232,0),MATCH(AE$4,Scénarios!$B$4:$AI$4,0)),"-")</f>
        <v>-</v>
      </c>
      <c r="AF94" s="460" t="str">
        <f>IFERROR(INDEX(Scénarios!$B$2:$AI$232,MATCH($S94,Scénarios!$AI$2:$AI$232,0),MATCH(AF$4,Scénarios!$B$4:$AI$4,0)),"-")</f>
        <v>-</v>
      </c>
      <c r="AG94" s="460" t="str">
        <f>IFERROR(INDEX(Scénarios!$B$2:$AI$232,MATCH($S94,Scénarios!$AI$2:$AI$232,0),MATCH(AG$4,Scénarios!$B$4:$AI$4,0)),"-")</f>
        <v>-</v>
      </c>
      <c r="AH94" s="460" t="str">
        <f>IFERROR(INDEX(Scénarios!$B$2:$AI$232,MATCH($S94,Scénarios!$AI$2:$AI$232,0),MATCH(AH$4,Scénarios!$B$4:$AI$4,0)),"-")</f>
        <v>-</v>
      </c>
      <c r="AI94" s="443" t="str">
        <f>IFERROR(INDEX(Scénarios!$B$2:$AI$232,MATCH($S94,Scénarios!$AI$2:$AI$232,0),MATCH(AI$4,Scénarios!$B$4:$AI$4,0)),"-")</f>
        <v>-</v>
      </c>
      <c r="AJ94" s="443" t="str">
        <f>IFERROR(INDEX(Param!$A$3:$C$7,MATCH($AI94,Param!$C$3:$C$7,0),1),"-")</f>
        <v>-</v>
      </c>
      <c r="AK94" s="443" t="str">
        <f>IFERROR(INDEX(Scénarios!$B$2:$AI$232,MATCH($S94,Scénarios!$AI$2:$AI$232,0),MATCH(AK$4,Scénarios!$B$4:$AI$4,0)),"-")</f>
        <v>-</v>
      </c>
      <c r="AL94" s="443" t="str">
        <f>IFERROR(INDEX(Scénarios!$B$2:$AI$232,MATCH($S94,Scénarios!$AI$2:$AI$232,0),MATCH(AL$4,Scénarios!$B$4:$AI$4,0)),"-")</f>
        <v>-</v>
      </c>
      <c r="AM94" s="443" t="str">
        <f>IFERROR(INDEX(Param!$A$10:$C$14,MATCH($AL94,Param!$C$10:$C$14,0),1),"-")</f>
        <v>-</v>
      </c>
      <c r="AN94" s="443" t="str">
        <f>IFERROR(IF(INDEX(Scénarios!$B$2:$AI$232,MATCH($S94,Scénarios!$AI$2:$AI$232,0),MATCH(AN$4,Scénarios!$B$4:$AI$4,0))=0,"",INDEX(Scénarios!$B$2:$AI$232,MATCH($S94,Scénarios!$AI$2:$AI$232,0),MATCH(AN$4,Scénarios!$B$4:$AI$4,0))),"-")</f>
        <v>-</v>
      </c>
      <c r="AO94" s="443" t="str">
        <f>IFERROR(INDEX(Scénarios!$B$2:$AI$232,MATCH($S94,Scénarios!$AI$2:$AI$232,0),MATCH(AO$4,Scénarios!$B$4:$AI$4,0)),"-")</f>
        <v>-</v>
      </c>
      <c r="AP94" s="443" t="str">
        <f>IFERROR(INDEX(Param!$A$17:$C$21,MATCH($AO94,Param!$C$17:$C$21,0),1),"-")</f>
        <v>-</v>
      </c>
      <c r="AQ94" s="443" t="str">
        <f>IFERROR(IF(INDEX(Scénarios!$B$2:$AI$232,MATCH($S94,Scénarios!$AI$2:$AI$232,0),MATCH(AQ$4,Scénarios!$B$4:$AI$4,0))=0,"",INDEX(Scénarios!$B$2:$AI$232,MATCH($S94,Scénarios!$AI$2:$AI$232,0),MATCH(AQ$4,Scénarios!$B$4:$AI$4,0))),"-")</f>
        <v>-</v>
      </c>
      <c r="AR94" s="443" t="str">
        <f>IFERROR(INDEX(Scénarios!$B$2:$AI$232,MATCH($S94,Scénarios!$AI$2:$AI$232,0),MATCH(AR$4,Scénarios!$B$4:$AI$4,0)),"-")</f>
        <v>-</v>
      </c>
      <c r="AS94" s="443" t="str">
        <f>IFERROR(INDEX(Param!$A$24:$C$28,MATCH($AR94,Param!$C$24:$C$28,0),1),"-")</f>
        <v>-</v>
      </c>
      <c r="AT94" s="443" t="str">
        <f>IFERROR(IF(INDEX(Scénarios!$B$2:$AI$232,MATCH($S94,Scénarios!$AI$2:$AI$232,0),MATCH(AT$4,Scénarios!$B$4:$AI$4,0))=0,"",INDEX(Scénarios!$B$2:$AI$232,MATCH($S94,Scénarios!$AI$2:$AI$232,0),MATCH(AT$4,Scénarios!$B$4:$AI$4,0))),"-")</f>
        <v>-</v>
      </c>
      <c r="AU94" s="462" t="str">
        <f>IFERROR(INDEX(Scénarios!$B$2:$AI$232,MATCH($S94,Scénarios!$AI$2:$AI$232,0),MATCH(AU$4,Scénarios!$B$4:$AI$4,0)),"-")</f>
        <v>-</v>
      </c>
      <c r="AV94" s="462" t="str">
        <f>IFERROR(INDEX(Scénarios!$B$2:$AI$232,MATCH($S94,Scénarios!$AI$2:$AI$232,0),MATCH(AV$4,Scénarios!$B$4:$AI$4,0)),"-")</f>
        <v>-</v>
      </c>
      <c r="AW94" s="462" t="str">
        <f>IFERROR(INDEX(Scénarios!$B$2:$AI$232,MATCH($S94,Scénarios!$AI$2:$AI$232,0),MATCH(AW$4,Scénarios!$B$4:$AI$4,0)),"-")</f>
        <v>-</v>
      </c>
      <c r="AX94" s="462" t="str">
        <f>IFERROR(INDEX(Scénarios!$B$2:$AI$232,MATCH($S94,Scénarios!$AI$2:$AI$232,0),MATCH(AX$4,Scénarios!$B$4:$AI$4,0)),"-")</f>
        <v>-</v>
      </c>
      <c r="AY94" s="443" t="str">
        <f>IFERROR(INDEX(Scénarios!$B$2:$AI$232,MATCH($S94,Scénarios!$AI$2:$AI$232,0),MATCH(AY$4,Scénarios!$B$4:$AI$4,0)),"-")</f>
        <v>-</v>
      </c>
      <c r="AZ94" s="588" t="str">
        <f>IFERROR(INDEX(Param!$A$31:$C$35,MATCH($AY94,Param!$C$31:$C$35,0),1),"-")</f>
        <v>-</v>
      </c>
      <c r="BA94" s="588" t="str">
        <f>IFERROR(IF(INDEX(Scénarios!$B$2:$AI$232,MATCH($S94,Scénarios!$AI$2:$AI$232,0),MATCH(BA$4,Scénarios!$B$4:$AI$4,0))=0,"",INDEX(Scénarios!$B$2:$AI$232,MATCH($S94,Scénarios!$AI$2:$AI$232,0),MATCH(BA$4,Scénarios!$B$4:$AI$4,0))),"-")</f>
        <v>-</v>
      </c>
      <c r="BB94" s="443" t="str">
        <f>IFERROR(IF(INDEX(Scénarios!$B$2:$AK$237,MATCH($S94,Scénarios!$AI$2:$AI$237,0),MATCH(BB$4,Scénarios!$B$4:$AK$4,0))=0,"",INDEX(Scénarios!$B$2:$AK$237,MATCH($S94,Scénarios!$AI$2:$AI$237,0),MATCH(BB$4,Scénarios!$B$4:$AK$4,0))),"-")</f>
        <v>-</v>
      </c>
      <c r="BC94" s="443" t="str">
        <f>IFERROR(INDEX(Scénarios!$B$2:$AV$232,MATCH($S94,Scénarios!$AI$2:$AI$232,0),MATCH(BC$4,Scénarios!$B$4:$AV$4,0)),"-")</f>
        <v>-</v>
      </c>
    </row>
    <row r="95" spans="15:55" ht="25.5" customHeight="1" x14ac:dyDescent="0.25">
      <c r="O95" s="604" t="str">
        <f t="shared" si="1"/>
        <v>Fiche R91 sans décision :
Veuillez ajouter une décision</v>
      </c>
      <c r="P95" s="609" t="s">
        <v>2188</v>
      </c>
      <c r="Q95" s="605" t="s">
        <v>2067</v>
      </c>
      <c r="R95" s="585" t="s">
        <v>2068</v>
      </c>
      <c r="S95" s="587" t="s">
        <v>2129</v>
      </c>
      <c r="T95" s="588" t="str">
        <f>IFERROR(INDEX(Tab_sel!$B$7:$C$18,MATCH($AB95,Tab_sel!$C$7:$C$18,0),1),"-")</f>
        <v>-</v>
      </c>
      <c r="U95" s="589" t="str">
        <f>IFERROR(INDEX(Scénarios!$B$2:$AI$232,MATCH($S95,Scénarios!$AI$2:$AI$232,0),MATCH(U$4,Scénarios!$B$4:$AI$4,0)),"-")</f>
        <v>-</v>
      </c>
      <c r="V95" s="588" t="str">
        <f>IFERROR(INDEX(Scénarios!$B$2:$AI$232,MATCH($S95,Scénarios!$AI$2:$AI$232,0),MATCH(V$4,Scénarios!$B$4:$AI$4,0)),"-")</f>
        <v>-</v>
      </c>
      <c r="W95" s="588" t="str">
        <f>IFERROR(INDEX(Scénarios!$B$2:$AI$232,MATCH($S95,Scénarios!$AI$2:$AI$232,0),MATCH(W$4,Scénarios!$B$4:$AI$4,0)),"-")</f>
        <v>-</v>
      </c>
      <c r="X95" s="588" t="str">
        <f>IFERROR(VLOOKUP(AD95,Expo!$D$4:$E$35,2,FALSE),"-")</f>
        <v>-</v>
      </c>
      <c r="Y95" s="859" t="str">
        <f>IFERROR(IF(INDEX(Scénarios!$B$2:$AI$232,MATCH($S95,Scénarios!$AI$2:$AI$232,0),MATCH(Y$4,Scénarios!$B$4:$AI$4,0))=0,"",INDEX(Scénarios!$B$2:$AI$232,MATCH($S95,Scénarios!$AI$2:$AI$232,0),MATCH(Y$4,Scénarios!$B$4:$AI$4,0))),"-")</f>
        <v>-</v>
      </c>
      <c r="Z95" s="589" t="str">
        <f>IFERROR(INDEX(Scénarios!$B$2:$AI$232,MATCH($S95,Scénarios!$AI$2:$AI$232,0),MATCH(Z$4,Scénarios!$B$4:$AI$4,0)),"-")</f>
        <v>-</v>
      </c>
      <c r="AA95" s="589" t="str">
        <f>IFERROR(INDEX(Scénarios!$B$2:$AI$232,MATCH($S95,Scénarios!$AI$2:$AI$232,0),MATCH(AA$4,Scénarios!$B$4:$AI$4,0)),"-")</f>
        <v>-</v>
      </c>
      <c r="AB95" s="586" t="str">
        <f>IFERROR(INDEX(Scénarios!$B$2:$AI$232,MATCH($S95,Scénarios!$AI$2:$AI$232,0),MATCH(AB$4,Scénarios!$B$4:$AI$4,0)),"-")</f>
        <v>-</v>
      </c>
      <c r="AC95" s="442" t="str">
        <f>IFERROR(INDEX(Tab_sel!$B$24:$C$27,MATCH($U95,Tab_sel!$C$24:$C$27,0),1),"-")</f>
        <v>-</v>
      </c>
      <c r="AD95" s="443" t="str">
        <f>IFERROR(INDEX(Scénarios!$B$2:$AI$232,MATCH($S95,Scénarios!$AI$2:$AI$232,0),MATCH(AD$4,Scénarios!$B$4:$AI$4,0)),"-")</f>
        <v>-</v>
      </c>
      <c r="AE95" s="460" t="str">
        <f>IFERROR(INDEX(Scénarios!$B$2:$AI$232,MATCH($S95,Scénarios!$AI$2:$AI$232,0),MATCH(AE$4,Scénarios!$B$4:$AI$4,0)),"-")</f>
        <v>-</v>
      </c>
      <c r="AF95" s="460" t="str">
        <f>IFERROR(INDEX(Scénarios!$B$2:$AI$232,MATCH($S95,Scénarios!$AI$2:$AI$232,0),MATCH(AF$4,Scénarios!$B$4:$AI$4,0)),"-")</f>
        <v>-</v>
      </c>
      <c r="AG95" s="460" t="str">
        <f>IFERROR(INDEX(Scénarios!$B$2:$AI$232,MATCH($S95,Scénarios!$AI$2:$AI$232,0),MATCH(AG$4,Scénarios!$B$4:$AI$4,0)),"-")</f>
        <v>-</v>
      </c>
      <c r="AH95" s="460" t="str">
        <f>IFERROR(INDEX(Scénarios!$B$2:$AI$232,MATCH($S95,Scénarios!$AI$2:$AI$232,0),MATCH(AH$4,Scénarios!$B$4:$AI$4,0)),"-")</f>
        <v>-</v>
      </c>
      <c r="AI95" s="443" t="str">
        <f>IFERROR(INDEX(Scénarios!$B$2:$AI$232,MATCH($S95,Scénarios!$AI$2:$AI$232,0),MATCH(AI$4,Scénarios!$B$4:$AI$4,0)),"-")</f>
        <v>-</v>
      </c>
      <c r="AJ95" s="443" t="str">
        <f>IFERROR(INDEX(Param!$A$3:$C$7,MATCH($AI95,Param!$C$3:$C$7,0),1),"-")</f>
        <v>-</v>
      </c>
      <c r="AK95" s="443" t="str">
        <f>IFERROR(INDEX(Scénarios!$B$2:$AI$232,MATCH($S95,Scénarios!$AI$2:$AI$232,0),MATCH(AK$4,Scénarios!$B$4:$AI$4,0)),"-")</f>
        <v>-</v>
      </c>
      <c r="AL95" s="443" t="str">
        <f>IFERROR(INDEX(Scénarios!$B$2:$AI$232,MATCH($S95,Scénarios!$AI$2:$AI$232,0),MATCH(AL$4,Scénarios!$B$4:$AI$4,0)),"-")</f>
        <v>-</v>
      </c>
      <c r="AM95" s="443" t="str">
        <f>IFERROR(INDEX(Param!$A$10:$C$14,MATCH($AL95,Param!$C$10:$C$14,0),1),"-")</f>
        <v>-</v>
      </c>
      <c r="AN95" s="443" t="str">
        <f>IFERROR(IF(INDEX(Scénarios!$B$2:$AI$232,MATCH($S95,Scénarios!$AI$2:$AI$232,0),MATCH(AN$4,Scénarios!$B$4:$AI$4,0))=0,"",INDEX(Scénarios!$B$2:$AI$232,MATCH($S95,Scénarios!$AI$2:$AI$232,0),MATCH(AN$4,Scénarios!$B$4:$AI$4,0))),"-")</f>
        <v>-</v>
      </c>
      <c r="AO95" s="443" t="str">
        <f>IFERROR(INDEX(Scénarios!$B$2:$AI$232,MATCH($S95,Scénarios!$AI$2:$AI$232,0),MATCH(AO$4,Scénarios!$B$4:$AI$4,0)),"-")</f>
        <v>-</v>
      </c>
      <c r="AP95" s="443" t="str">
        <f>IFERROR(INDEX(Param!$A$17:$C$21,MATCH($AO95,Param!$C$17:$C$21,0),1),"-")</f>
        <v>-</v>
      </c>
      <c r="AQ95" s="443" t="str">
        <f>IFERROR(IF(INDEX(Scénarios!$B$2:$AI$232,MATCH($S95,Scénarios!$AI$2:$AI$232,0),MATCH(AQ$4,Scénarios!$B$4:$AI$4,0))=0,"",INDEX(Scénarios!$B$2:$AI$232,MATCH($S95,Scénarios!$AI$2:$AI$232,0),MATCH(AQ$4,Scénarios!$B$4:$AI$4,0))),"-")</f>
        <v>-</v>
      </c>
      <c r="AR95" s="443" t="str">
        <f>IFERROR(INDEX(Scénarios!$B$2:$AI$232,MATCH($S95,Scénarios!$AI$2:$AI$232,0),MATCH(AR$4,Scénarios!$B$4:$AI$4,0)),"-")</f>
        <v>-</v>
      </c>
      <c r="AS95" s="443" t="str">
        <f>IFERROR(INDEX(Param!$A$24:$C$28,MATCH($AR95,Param!$C$24:$C$28,0),1),"-")</f>
        <v>-</v>
      </c>
      <c r="AT95" s="443" t="str">
        <f>IFERROR(IF(INDEX(Scénarios!$B$2:$AI$232,MATCH($S95,Scénarios!$AI$2:$AI$232,0),MATCH(AT$4,Scénarios!$B$4:$AI$4,0))=0,"",INDEX(Scénarios!$B$2:$AI$232,MATCH($S95,Scénarios!$AI$2:$AI$232,0),MATCH(AT$4,Scénarios!$B$4:$AI$4,0))),"-")</f>
        <v>-</v>
      </c>
      <c r="AU95" s="462" t="str">
        <f>IFERROR(INDEX(Scénarios!$B$2:$AI$232,MATCH($S95,Scénarios!$AI$2:$AI$232,0),MATCH(AU$4,Scénarios!$B$4:$AI$4,0)),"-")</f>
        <v>-</v>
      </c>
      <c r="AV95" s="462" t="str">
        <f>IFERROR(INDEX(Scénarios!$B$2:$AI$232,MATCH($S95,Scénarios!$AI$2:$AI$232,0),MATCH(AV$4,Scénarios!$B$4:$AI$4,0)),"-")</f>
        <v>-</v>
      </c>
      <c r="AW95" s="462" t="str">
        <f>IFERROR(INDEX(Scénarios!$B$2:$AI$232,MATCH($S95,Scénarios!$AI$2:$AI$232,0),MATCH(AW$4,Scénarios!$B$4:$AI$4,0)),"-")</f>
        <v>-</v>
      </c>
      <c r="AX95" s="462" t="str">
        <f>IFERROR(INDEX(Scénarios!$B$2:$AI$232,MATCH($S95,Scénarios!$AI$2:$AI$232,0),MATCH(AX$4,Scénarios!$B$4:$AI$4,0)),"-")</f>
        <v>-</v>
      </c>
      <c r="AY95" s="443" t="str">
        <f>IFERROR(INDEX(Scénarios!$B$2:$AI$232,MATCH($S95,Scénarios!$AI$2:$AI$232,0),MATCH(AY$4,Scénarios!$B$4:$AI$4,0)),"-")</f>
        <v>-</v>
      </c>
      <c r="AZ95" s="588" t="str">
        <f>IFERROR(INDEX(Param!$A$31:$C$35,MATCH($AY95,Param!$C$31:$C$35,0),1),"-")</f>
        <v>-</v>
      </c>
      <c r="BA95" s="588" t="str">
        <f>IFERROR(IF(INDEX(Scénarios!$B$2:$AI$232,MATCH($S95,Scénarios!$AI$2:$AI$232,0),MATCH(BA$4,Scénarios!$B$4:$AI$4,0))=0,"",INDEX(Scénarios!$B$2:$AI$232,MATCH($S95,Scénarios!$AI$2:$AI$232,0),MATCH(BA$4,Scénarios!$B$4:$AI$4,0))),"-")</f>
        <v>-</v>
      </c>
      <c r="BB95" s="443" t="str">
        <f>IFERROR(IF(INDEX(Scénarios!$B$2:$AK$237,MATCH($S95,Scénarios!$AI$2:$AI$237,0),MATCH(BB$4,Scénarios!$B$4:$AK$4,0))=0,"",INDEX(Scénarios!$B$2:$AK$237,MATCH($S95,Scénarios!$AI$2:$AI$237,0),MATCH(BB$4,Scénarios!$B$4:$AK$4,0))),"-")</f>
        <v>-</v>
      </c>
      <c r="BC95" s="443" t="str">
        <f>IFERROR(INDEX(Scénarios!$B$2:$AV$232,MATCH($S95,Scénarios!$AI$2:$AI$232,0),MATCH(BC$4,Scénarios!$B$4:$AV$4,0)),"-")</f>
        <v>-</v>
      </c>
    </row>
    <row r="96" spans="15:55" ht="25.5" customHeight="1" x14ac:dyDescent="0.25">
      <c r="O96" s="604" t="str">
        <f t="shared" si="1"/>
        <v>Fiche R92 sans décision :
Veuillez ajouter une décision</v>
      </c>
      <c r="P96" s="609" t="s">
        <v>2188</v>
      </c>
      <c r="Q96" s="605" t="s">
        <v>2067</v>
      </c>
      <c r="R96" s="585" t="s">
        <v>2068</v>
      </c>
      <c r="S96" s="587" t="s">
        <v>2130</v>
      </c>
      <c r="T96" s="588" t="str">
        <f>IFERROR(INDEX(Tab_sel!$B$7:$C$18,MATCH($AB96,Tab_sel!$C$7:$C$18,0),1),"-")</f>
        <v>-</v>
      </c>
      <c r="U96" s="589" t="str">
        <f>IFERROR(INDEX(Scénarios!$B$2:$AI$232,MATCH($S96,Scénarios!$AI$2:$AI$232,0),MATCH(U$4,Scénarios!$B$4:$AI$4,0)),"-")</f>
        <v>-</v>
      </c>
      <c r="V96" s="588" t="str">
        <f>IFERROR(INDEX(Scénarios!$B$2:$AI$232,MATCH($S96,Scénarios!$AI$2:$AI$232,0),MATCH(V$4,Scénarios!$B$4:$AI$4,0)),"-")</f>
        <v>-</v>
      </c>
      <c r="W96" s="588" t="str">
        <f>IFERROR(INDEX(Scénarios!$B$2:$AI$232,MATCH($S96,Scénarios!$AI$2:$AI$232,0),MATCH(W$4,Scénarios!$B$4:$AI$4,0)),"-")</f>
        <v>-</v>
      </c>
      <c r="X96" s="588" t="str">
        <f>IFERROR(VLOOKUP(AD96,Expo!$D$4:$E$35,2,FALSE),"-")</f>
        <v>-</v>
      </c>
      <c r="Y96" s="859" t="str">
        <f>IFERROR(IF(INDEX(Scénarios!$B$2:$AI$232,MATCH($S96,Scénarios!$AI$2:$AI$232,0),MATCH(Y$4,Scénarios!$B$4:$AI$4,0))=0,"",INDEX(Scénarios!$B$2:$AI$232,MATCH($S96,Scénarios!$AI$2:$AI$232,0),MATCH(Y$4,Scénarios!$B$4:$AI$4,0))),"-")</f>
        <v>-</v>
      </c>
      <c r="Z96" s="589" t="str">
        <f>IFERROR(INDEX(Scénarios!$B$2:$AI$232,MATCH($S96,Scénarios!$AI$2:$AI$232,0),MATCH(Z$4,Scénarios!$B$4:$AI$4,0)),"-")</f>
        <v>-</v>
      </c>
      <c r="AA96" s="589" t="str">
        <f>IFERROR(INDEX(Scénarios!$B$2:$AI$232,MATCH($S96,Scénarios!$AI$2:$AI$232,0),MATCH(AA$4,Scénarios!$B$4:$AI$4,0)),"-")</f>
        <v>-</v>
      </c>
      <c r="AB96" s="586" t="str">
        <f>IFERROR(INDEX(Scénarios!$B$2:$AI$232,MATCH($S96,Scénarios!$AI$2:$AI$232,0),MATCH(AB$4,Scénarios!$B$4:$AI$4,0)),"-")</f>
        <v>-</v>
      </c>
      <c r="AC96" s="442" t="str">
        <f>IFERROR(INDEX(Tab_sel!$B$24:$C$27,MATCH($U96,Tab_sel!$C$24:$C$27,0),1),"-")</f>
        <v>-</v>
      </c>
      <c r="AD96" s="443" t="str">
        <f>IFERROR(INDEX(Scénarios!$B$2:$AI$232,MATCH($S96,Scénarios!$AI$2:$AI$232,0),MATCH(AD$4,Scénarios!$B$4:$AI$4,0)),"-")</f>
        <v>-</v>
      </c>
      <c r="AE96" s="460" t="str">
        <f>IFERROR(INDEX(Scénarios!$B$2:$AI$232,MATCH($S96,Scénarios!$AI$2:$AI$232,0),MATCH(AE$4,Scénarios!$B$4:$AI$4,0)),"-")</f>
        <v>-</v>
      </c>
      <c r="AF96" s="460" t="str">
        <f>IFERROR(INDEX(Scénarios!$B$2:$AI$232,MATCH($S96,Scénarios!$AI$2:$AI$232,0),MATCH(AF$4,Scénarios!$B$4:$AI$4,0)),"-")</f>
        <v>-</v>
      </c>
      <c r="AG96" s="460" t="str">
        <f>IFERROR(INDEX(Scénarios!$B$2:$AI$232,MATCH($S96,Scénarios!$AI$2:$AI$232,0),MATCH(AG$4,Scénarios!$B$4:$AI$4,0)),"-")</f>
        <v>-</v>
      </c>
      <c r="AH96" s="460" t="str">
        <f>IFERROR(INDEX(Scénarios!$B$2:$AI$232,MATCH($S96,Scénarios!$AI$2:$AI$232,0),MATCH(AH$4,Scénarios!$B$4:$AI$4,0)),"-")</f>
        <v>-</v>
      </c>
      <c r="AI96" s="443" t="str">
        <f>IFERROR(INDEX(Scénarios!$B$2:$AI$232,MATCH($S96,Scénarios!$AI$2:$AI$232,0),MATCH(AI$4,Scénarios!$B$4:$AI$4,0)),"-")</f>
        <v>-</v>
      </c>
      <c r="AJ96" s="443" t="str">
        <f>IFERROR(INDEX(Param!$A$3:$C$7,MATCH($AI96,Param!$C$3:$C$7,0),1),"-")</f>
        <v>-</v>
      </c>
      <c r="AK96" s="443" t="str">
        <f>IFERROR(INDEX(Scénarios!$B$2:$AI$232,MATCH($S96,Scénarios!$AI$2:$AI$232,0),MATCH(AK$4,Scénarios!$B$4:$AI$4,0)),"-")</f>
        <v>-</v>
      </c>
      <c r="AL96" s="443" t="str">
        <f>IFERROR(INDEX(Scénarios!$B$2:$AI$232,MATCH($S96,Scénarios!$AI$2:$AI$232,0),MATCH(AL$4,Scénarios!$B$4:$AI$4,0)),"-")</f>
        <v>-</v>
      </c>
      <c r="AM96" s="443" t="str">
        <f>IFERROR(INDEX(Param!$A$10:$C$14,MATCH($AL96,Param!$C$10:$C$14,0),1),"-")</f>
        <v>-</v>
      </c>
      <c r="AN96" s="443" t="str">
        <f>IFERROR(IF(INDEX(Scénarios!$B$2:$AI$232,MATCH($S96,Scénarios!$AI$2:$AI$232,0),MATCH(AN$4,Scénarios!$B$4:$AI$4,0))=0,"",INDEX(Scénarios!$B$2:$AI$232,MATCH($S96,Scénarios!$AI$2:$AI$232,0),MATCH(AN$4,Scénarios!$B$4:$AI$4,0))),"-")</f>
        <v>-</v>
      </c>
      <c r="AO96" s="443" t="str">
        <f>IFERROR(INDEX(Scénarios!$B$2:$AI$232,MATCH($S96,Scénarios!$AI$2:$AI$232,0),MATCH(AO$4,Scénarios!$B$4:$AI$4,0)),"-")</f>
        <v>-</v>
      </c>
      <c r="AP96" s="443" t="str">
        <f>IFERROR(INDEX(Param!$A$17:$C$21,MATCH($AO96,Param!$C$17:$C$21,0),1),"-")</f>
        <v>-</v>
      </c>
      <c r="AQ96" s="443" t="str">
        <f>IFERROR(IF(INDEX(Scénarios!$B$2:$AI$232,MATCH($S96,Scénarios!$AI$2:$AI$232,0),MATCH(AQ$4,Scénarios!$B$4:$AI$4,0))=0,"",INDEX(Scénarios!$B$2:$AI$232,MATCH($S96,Scénarios!$AI$2:$AI$232,0),MATCH(AQ$4,Scénarios!$B$4:$AI$4,0))),"-")</f>
        <v>-</v>
      </c>
      <c r="AR96" s="443" t="str">
        <f>IFERROR(INDEX(Scénarios!$B$2:$AI$232,MATCH($S96,Scénarios!$AI$2:$AI$232,0),MATCH(AR$4,Scénarios!$B$4:$AI$4,0)),"-")</f>
        <v>-</v>
      </c>
      <c r="AS96" s="443" t="str">
        <f>IFERROR(INDEX(Param!$A$24:$C$28,MATCH($AR96,Param!$C$24:$C$28,0),1),"-")</f>
        <v>-</v>
      </c>
      <c r="AT96" s="443" t="str">
        <f>IFERROR(IF(INDEX(Scénarios!$B$2:$AI$232,MATCH($S96,Scénarios!$AI$2:$AI$232,0),MATCH(AT$4,Scénarios!$B$4:$AI$4,0))=0,"",INDEX(Scénarios!$B$2:$AI$232,MATCH($S96,Scénarios!$AI$2:$AI$232,0),MATCH(AT$4,Scénarios!$B$4:$AI$4,0))),"-")</f>
        <v>-</v>
      </c>
      <c r="AU96" s="462" t="str">
        <f>IFERROR(INDEX(Scénarios!$B$2:$AI$232,MATCH($S96,Scénarios!$AI$2:$AI$232,0),MATCH(AU$4,Scénarios!$B$4:$AI$4,0)),"-")</f>
        <v>-</v>
      </c>
      <c r="AV96" s="462" t="str">
        <f>IFERROR(INDEX(Scénarios!$B$2:$AI$232,MATCH($S96,Scénarios!$AI$2:$AI$232,0),MATCH(AV$4,Scénarios!$B$4:$AI$4,0)),"-")</f>
        <v>-</v>
      </c>
      <c r="AW96" s="462" t="str">
        <f>IFERROR(INDEX(Scénarios!$B$2:$AI$232,MATCH($S96,Scénarios!$AI$2:$AI$232,0),MATCH(AW$4,Scénarios!$B$4:$AI$4,0)),"-")</f>
        <v>-</v>
      </c>
      <c r="AX96" s="462" t="str">
        <f>IFERROR(INDEX(Scénarios!$B$2:$AI$232,MATCH($S96,Scénarios!$AI$2:$AI$232,0),MATCH(AX$4,Scénarios!$B$4:$AI$4,0)),"-")</f>
        <v>-</v>
      </c>
      <c r="AY96" s="443" t="str">
        <f>IFERROR(INDEX(Scénarios!$B$2:$AI$232,MATCH($S96,Scénarios!$AI$2:$AI$232,0),MATCH(AY$4,Scénarios!$B$4:$AI$4,0)),"-")</f>
        <v>-</v>
      </c>
      <c r="AZ96" s="588" t="str">
        <f>IFERROR(INDEX(Param!$A$31:$C$35,MATCH($AY96,Param!$C$31:$C$35,0),1),"-")</f>
        <v>-</v>
      </c>
      <c r="BA96" s="588" t="str">
        <f>IFERROR(IF(INDEX(Scénarios!$B$2:$AI$232,MATCH($S96,Scénarios!$AI$2:$AI$232,0),MATCH(BA$4,Scénarios!$B$4:$AI$4,0))=0,"",INDEX(Scénarios!$B$2:$AI$232,MATCH($S96,Scénarios!$AI$2:$AI$232,0),MATCH(BA$4,Scénarios!$B$4:$AI$4,0))),"-")</f>
        <v>-</v>
      </c>
      <c r="BB96" s="443" t="str">
        <f>IFERROR(IF(INDEX(Scénarios!$B$2:$AK$237,MATCH($S96,Scénarios!$AI$2:$AI$237,0),MATCH(BB$4,Scénarios!$B$4:$AK$4,0))=0,"",INDEX(Scénarios!$B$2:$AK$237,MATCH($S96,Scénarios!$AI$2:$AI$237,0),MATCH(BB$4,Scénarios!$B$4:$AK$4,0))),"-")</f>
        <v>-</v>
      </c>
      <c r="BC96" s="443" t="str">
        <f>IFERROR(INDEX(Scénarios!$B$2:$AV$232,MATCH($S96,Scénarios!$AI$2:$AI$232,0),MATCH(BC$4,Scénarios!$B$4:$AV$4,0)),"-")</f>
        <v>-</v>
      </c>
    </row>
    <row r="97" spans="15:55" ht="25.5" customHeight="1" x14ac:dyDescent="0.25">
      <c r="O97" s="604" t="str">
        <f t="shared" si="1"/>
        <v>Fiche R93 sans décision :
Veuillez ajouter une décision</v>
      </c>
      <c r="P97" s="609" t="s">
        <v>2188</v>
      </c>
      <c r="Q97" s="605" t="s">
        <v>2067</v>
      </c>
      <c r="R97" s="585" t="s">
        <v>2068</v>
      </c>
      <c r="S97" s="587" t="s">
        <v>2131</v>
      </c>
      <c r="T97" s="588" t="str">
        <f>IFERROR(INDEX(Tab_sel!$B$7:$C$18,MATCH($AB97,Tab_sel!$C$7:$C$18,0),1),"-")</f>
        <v>-</v>
      </c>
      <c r="U97" s="589" t="str">
        <f>IFERROR(INDEX(Scénarios!$B$2:$AI$232,MATCH($S97,Scénarios!$AI$2:$AI$232,0),MATCH(U$4,Scénarios!$B$4:$AI$4,0)),"-")</f>
        <v>-</v>
      </c>
      <c r="V97" s="588" t="str">
        <f>IFERROR(INDEX(Scénarios!$B$2:$AI$232,MATCH($S97,Scénarios!$AI$2:$AI$232,0),MATCH(V$4,Scénarios!$B$4:$AI$4,0)),"-")</f>
        <v>-</v>
      </c>
      <c r="W97" s="588" t="str">
        <f>IFERROR(INDEX(Scénarios!$B$2:$AI$232,MATCH($S97,Scénarios!$AI$2:$AI$232,0),MATCH(W$4,Scénarios!$B$4:$AI$4,0)),"-")</f>
        <v>-</v>
      </c>
      <c r="X97" s="588" t="str">
        <f>IFERROR(VLOOKUP(AD97,Expo!$D$4:$E$35,2,FALSE),"-")</f>
        <v>-</v>
      </c>
      <c r="Y97" s="859" t="str">
        <f>IFERROR(IF(INDEX(Scénarios!$B$2:$AI$232,MATCH($S97,Scénarios!$AI$2:$AI$232,0),MATCH(Y$4,Scénarios!$B$4:$AI$4,0))=0,"",INDEX(Scénarios!$B$2:$AI$232,MATCH($S97,Scénarios!$AI$2:$AI$232,0),MATCH(Y$4,Scénarios!$B$4:$AI$4,0))),"-")</f>
        <v>-</v>
      </c>
      <c r="Z97" s="589" t="str">
        <f>IFERROR(INDEX(Scénarios!$B$2:$AI$232,MATCH($S97,Scénarios!$AI$2:$AI$232,0),MATCH(Z$4,Scénarios!$B$4:$AI$4,0)),"-")</f>
        <v>-</v>
      </c>
      <c r="AA97" s="589" t="str">
        <f>IFERROR(INDEX(Scénarios!$B$2:$AI$232,MATCH($S97,Scénarios!$AI$2:$AI$232,0),MATCH(AA$4,Scénarios!$B$4:$AI$4,0)),"-")</f>
        <v>-</v>
      </c>
      <c r="AB97" s="586" t="str">
        <f>IFERROR(INDEX(Scénarios!$B$2:$AI$232,MATCH($S97,Scénarios!$AI$2:$AI$232,0),MATCH(AB$4,Scénarios!$B$4:$AI$4,0)),"-")</f>
        <v>-</v>
      </c>
      <c r="AC97" s="442" t="str">
        <f>IFERROR(INDEX(Tab_sel!$B$24:$C$27,MATCH($U97,Tab_sel!$C$24:$C$27,0),1),"-")</f>
        <v>-</v>
      </c>
      <c r="AD97" s="443" t="str">
        <f>IFERROR(INDEX(Scénarios!$B$2:$AI$232,MATCH($S97,Scénarios!$AI$2:$AI$232,0),MATCH(AD$4,Scénarios!$B$4:$AI$4,0)),"-")</f>
        <v>-</v>
      </c>
      <c r="AE97" s="460" t="str">
        <f>IFERROR(INDEX(Scénarios!$B$2:$AI$232,MATCH($S97,Scénarios!$AI$2:$AI$232,0),MATCH(AE$4,Scénarios!$B$4:$AI$4,0)),"-")</f>
        <v>-</v>
      </c>
      <c r="AF97" s="460" t="str">
        <f>IFERROR(INDEX(Scénarios!$B$2:$AI$232,MATCH($S97,Scénarios!$AI$2:$AI$232,0),MATCH(AF$4,Scénarios!$B$4:$AI$4,0)),"-")</f>
        <v>-</v>
      </c>
      <c r="AG97" s="460" t="str">
        <f>IFERROR(INDEX(Scénarios!$B$2:$AI$232,MATCH($S97,Scénarios!$AI$2:$AI$232,0),MATCH(AG$4,Scénarios!$B$4:$AI$4,0)),"-")</f>
        <v>-</v>
      </c>
      <c r="AH97" s="460" t="str">
        <f>IFERROR(INDEX(Scénarios!$B$2:$AI$232,MATCH($S97,Scénarios!$AI$2:$AI$232,0),MATCH(AH$4,Scénarios!$B$4:$AI$4,0)),"-")</f>
        <v>-</v>
      </c>
      <c r="AI97" s="443" t="str">
        <f>IFERROR(INDEX(Scénarios!$B$2:$AI$232,MATCH($S97,Scénarios!$AI$2:$AI$232,0),MATCH(AI$4,Scénarios!$B$4:$AI$4,0)),"-")</f>
        <v>-</v>
      </c>
      <c r="AJ97" s="443" t="str">
        <f>IFERROR(INDEX(Param!$A$3:$C$7,MATCH($AI97,Param!$C$3:$C$7,0),1),"-")</f>
        <v>-</v>
      </c>
      <c r="AK97" s="443" t="str">
        <f>IFERROR(INDEX(Scénarios!$B$2:$AI$232,MATCH($S97,Scénarios!$AI$2:$AI$232,0),MATCH(AK$4,Scénarios!$B$4:$AI$4,0)),"-")</f>
        <v>-</v>
      </c>
      <c r="AL97" s="443" t="str">
        <f>IFERROR(INDEX(Scénarios!$B$2:$AI$232,MATCH($S97,Scénarios!$AI$2:$AI$232,0),MATCH(AL$4,Scénarios!$B$4:$AI$4,0)),"-")</f>
        <v>-</v>
      </c>
      <c r="AM97" s="443" t="str">
        <f>IFERROR(INDEX(Param!$A$10:$C$14,MATCH($AL97,Param!$C$10:$C$14,0),1),"-")</f>
        <v>-</v>
      </c>
      <c r="AN97" s="443" t="str">
        <f>IFERROR(IF(INDEX(Scénarios!$B$2:$AI$232,MATCH($S97,Scénarios!$AI$2:$AI$232,0),MATCH(AN$4,Scénarios!$B$4:$AI$4,0))=0,"",INDEX(Scénarios!$B$2:$AI$232,MATCH($S97,Scénarios!$AI$2:$AI$232,0),MATCH(AN$4,Scénarios!$B$4:$AI$4,0))),"-")</f>
        <v>-</v>
      </c>
      <c r="AO97" s="443" t="str">
        <f>IFERROR(INDEX(Scénarios!$B$2:$AI$232,MATCH($S97,Scénarios!$AI$2:$AI$232,0),MATCH(AO$4,Scénarios!$B$4:$AI$4,0)),"-")</f>
        <v>-</v>
      </c>
      <c r="AP97" s="443" t="str">
        <f>IFERROR(INDEX(Param!$A$17:$C$21,MATCH($AO97,Param!$C$17:$C$21,0),1),"-")</f>
        <v>-</v>
      </c>
      <c r="AQ97" s="443" t="str">
        <f>IFERROR(IF(INDEX(Scénarios!$B$2:$AI$232,MATCH($S97,Scénarios!$AI$2:$AI$232,0),MATCH(AQ$4,Scénarios!$B$4:$AI$4,0))=0,"",INDEX(Scénarios!$B$2:$AI$232,MATCH($S97,Scénarios!$AI$2:$AI$232,0),MATCH(AQ$4,Scénarios!$B$4:$AI$4,0))),"-")</f>
        <v>-</v>
      </c>
      <c r="AR97" s="443" t="str">
        <f>IFERROR(INDEX(Scénarios!$B$2:$AI$232,MATCH($S97,Scénarios!$AI$2:$AI$232,0),MATCH(AR$4,Scénarios!$B$4:$AI$4,0)),"-")</f>
        <v>-</v>
      </c>
      <c r="AS97" s="443" t="str">
        <f>IFERROR(INDEX(Param!$A$24:$C$28,MATCH($AR97,Param!$C$24:$C$28,0),1),"-")</f>
        <v>-</v>
      </c>
      <c r="AT97" s="443" t="str">
        <f>IFERROR(IF(INDEX(Scénarios!$B$2:$AI$232,MATCH($S97,Scénarios!$AI$2:$AI$232,0),MATCH(AT$4,Scénarios!$B$4:$AI$4,0))=0,"",INDEX(Scénarios!$B$2:$AI$232,MATCH($S97,Scénarios!$AI$2:$AI$232,0),MATCH(AT$4,Scénarios!$B$4:$AI$4,0))),"-")</f>
        <v>-</v>
      </c>
      <c r="AU97" s="462" t="str">
        <f>IFERROR(INDEX(Scénarios!$B$2:$AI$232,MATCH($S97,Scénarios!$AI$2:$AI$232,0),MATCH(AU$4,Scénarios!$B$4:$AI$4,0)),"-")</f>
        <v>-</v>
      </c>
      <c r="AV97" s="462" t="str">
        <f>IFERROR(INDEX(Scénarios!$B$2:$AI$232,MATCH($S97,Scénarios!$AI$2:$AI$232,0),MATCH(AV$4,Scénarios!$B$4:$AI$4,0)),"-")</f>
        <v>-</v>
      </c>
      <c r="AW97" s="462" t="str">
        <f>IFERROR(INDEX(Scénarios!$B$2:$AI$232,MATCH($S97,Scénarios!$AI$2:$AI$232,0),MATCH(AW$4,Scénarios!$B$4:$AI$4,0)),"-")</f>
        <v>-</v>
      </c>
      <c r="AX97" s="462" t="str">
        <f>IFERROR(INDEX(Scénarios!$B$2:$AI$232,MATCH($S97,Scénarios!$AI$2:$AI$232,0),MATCH(AX$4,Scénarios!$B$4:$AI$4,0)),"-")</f>
        <v>-</v>
      </c>
      <c r="AY97" s="443" t="str">
        <f>IFERROR(INDEX(Scénarios!$B$2:$AI$232,MATCH($S97,Scénarios!$AI$2:$AI$232,0),MATCH(AY$4,Scénarios!$B$4:$AI$4,0)),"-")</f>
        <v>-</v>
      </c>
      <c r="AZ97" s="588" t="str">
        <f>IFERROR(INDEX(Param!$A$31:$C$35,MATCH($AY97,Param!$C$31:$C$35,0),1),"-")</f>
        <v>-</v>
      </c>
      <c r="BA97" s="588" t="str">
        <f>IFERROR(IF(INDEX(Scénarios!$B$2:$AI$232,MATCH($S97,Scénarios!$AI$2:$AI$232,0),MATCH(BA$4,Scénarios!$B$4:$AI$4,0))=0,"",INDEX(Scénarios!$B$2:$AI$232,MATCH($S97,Scénarios!$AI$2:$AI$232,0),MATCH(BA$4,Scénarios!$B$4:$AI$4,0))),"-")</f>
        <v>-</v>
      </c>
      <c r="BB97" s="443" t="str">
        <f>IFERROR(IF(INDEX(Scénarios!$B$2:$AK$237,MATCH($S97,Scénarios!$AI$2:$AI$237,0),MATCH(BB$4,Scénarios!$B$4:$AK$4,0))=0,"",INDEX(Scénarios!$B$2:$AK$237,MATCH($S97,Scénarios!$AI$2:$AI$237,0),MATCH(BB$4,Scénarios!$B$4:$AK$4,0))),"-")</f>
        <v>-</v>
      </c>
      <c r="BC97" s="443" t="str">
        <f>IFERROR(INDEX(Scénarios!$B$2:$AV$232,MATCH($S97,Scénarios!$AI$2:$AI$232,0),MATCH(BC$4,Scénarios!$B$4:$AV$4,0)),"-")</f>
        <v>-</v>
      </c>
    </row>
    <row r="98" spans="15:55" ht="25.5" customHeight="1" x14ac:dyDescent="0.25">
      <c r="O98" s="604" t="str">
        <f t="shared" si="1"/>
        <v>Fiche R94 sans décision :
Veuillez ajouter une décision</v>
      </c>
      <c r="P98" s="609" t="s">
        <v>2188</v>
      </c>
      <c r="Q98" s="605" t="s">
        <v>2067</v>
      </c>
      <c r="R98" s="585" t="s">
        <v>2068</v>
      </c>
      <c r="S98" s="587" t="s">
        <v>2132</v>
      </c>
      <c r="T98" s="588" t="str">
        <f>IFERROR(INDEX(Tab_sel!$B$7:$C$18,MATCH($AB98,Tab_sel!$C$7:$C$18,0),1),"-")</f>
        <v>-</v>
      </c>
      <c r="U98" s="589" t="str">
        <f>IFERROR(INDEX(Scénarios!$B$2:$AI$232,MATCH($S98,Scénarios!$AI$2:$AI$232,0),MATCH(U$4,Scénarios!$B$4:$AI$4,0)),"-")</f>
        <v>-</v>
      </c>
      <c r="V98" s="588" t="str">
        <f>IFERROR(INDEX(Scénarios!$B$2:$AI$232,MATCH($S98,Scénarios!$AI$2:$AI$232,0),MATCH(V$4,Scénarios!$B$4:$AI$4,0)),"-")</f>
        <v>-</v>
      </c>
      <c r="W98" s="588" t="str">
        <f>IFERROR(INDEX(Scénarios!$B$2:$AI$232,MATCH($S98,Scénarios!$AI$2:$AI$232,0),MATCH(W$4,Scénarios!$B$4:$AI$4,0)),"-")</f>
        <v>-</v>
      </c>
      <c r="X98" s="588" t="str">
        <f>IFERROR(VLOOKUP(AD98,Expo!$D$4:$E$35,2,FALSE),"-")</f>
        <v>-</v>
      </c>
      <c r="Y98" s="859" t="str">
        <f>IFERROR(IF(INDEX(Scénarios!$B$2:$AI$232,MATCH($S98,Scénarios!$AI$2:$AI$232,0),MATCH(Y$4,Scénarios!$B$4:$AI$4,0))=0,"",INDEX(Scénarios!$B$2:$AI$232,MATCH($S98,Scénarios!$AI$2:$AI$232,0),MATCH(Y$4,Scénarios!$B$4:$AI$4,0))),"-")</f>
        <v>-</v>
      </c>
      <c r="Z98" s="589" t="str">
        <f>IFERROR(INDEX(Scénarios!$B$2:$AI$232,MATCH($S98,Scénarios!$AI$2:$AI$232,0),MATCH(Z$4,Scénarios!$B$4:$AI$4,0)),"-")</f>
        <v>-</v>
      </c>
      <c r="AA98" s="589" t="str">
        <f>IFERROR(INDEX(Scénarios!$B$2:$AI$232,MATCH($S98,Scénarios!$AI$2:$AI$232,0),MATCH(AA$4,Scénarios!$B$4:$AI$4,0)),"-")</f>
        <v>-</v>
      </c>
      <c r="AB98" s="586" t="str">
        <f>IFERROR(INDEX(Scénarios!$B$2:$AI$232,MATCH($S98,Scénarios!$AI$2:$AI$232,0),MATCH(AB$4,Scénarios!$B$4:$AI$4,0)),"-")</f>
        <v>-</v>
      </c>
      <c r="AC98" s="442" t="str">
        <f>IFERROR(INDEX(Tab_sel!$B$24:$C$27,MATCH($U98,Tab_sel!$C$24:$C$27,0),1),"-")</f>
        <v>-</v>
      </c>
      <c r="AD98" s="443" t="str">
        <f>IFERROR(INDEX(Scénarios!$B$2:$AI$232,MATCH($S98,Scénarios!$AI$2:$AI$232,0),MATCH(AD$4,Scénarios!$B$4:$AI$4,0)),"-")</f>
        <v>-</v>
      </c>
      <c r="AE98" s="460" t="str">
        <f>IFERROR(INDEX(Scénarios!$B$2:$AI$232,MATCH($S98,Scénarios!$AI$2:$AI$232,0),MATCH(AE$4,Scénarios!$B$4:$AI$4,0)),"-")</f>
        <v>-</v>
      </c>
      <c r="AF98" s="460" t="str">
        <f>IFERROR(INDEX(Scénarios!$B$2:$AI$232,MATCH($S98,Scénarios!$AI$2:$AI$232,0),MATCH(AF$4,Scénarios!$B$4:$AI$4,0)),"-")</f>
        <v>-</v>
      </c>
      <c r="AG98" s="460" t="str">
        <f>IFERROR(INDEX(Scénarios!$B$2:$AI$232,MATCH($S98,Scénarios!$AI$2:$AI$232,0),MATCH(AG$4,Scénarios!$B$4:$AI$4,0)),"-")</f>
        <v>-</v>
      </c>
      <c r="AH98" s="460" t="str">
        <f>IFERROR(INDEX(Scénarios!$B$2:$AI$232,MATCH($S98,Scénarios!$AI$2:$AI$232,0),MATCH(AH$4,Scénarios!$B$4:$AI$4,0)),"-")</f>
        <v>-</v>
      </c>
      <c r="AI98" s="443" t="str">
        <f>IFERROR(INDEX(Scénarios!$B$2:$AI$232,MATCH($S98,Scénarios!$AI$2:$AI$232,0),MATCH(AI$4,Scénarios!$B$4:$AI$4,0)),"-")</f>
        <v>-</v>
      </c>
      <c r="AJ98" s="443" t="str">
        <f>IFERROR(INDEX(Param!$A$3:$C$7,MATCH($AI98,Param!$C$3:$C$7,0),1),"-")</f>
        <v>-</v>
      </c>
      <c r="AK98" s="443" t="str">
        <f>IFERROR(INDEX(Scénarios!$B$2:$AI$232,MATCH($S98,Scénarios!$AI$2:$AI$232,0),MATCH(AK$4,Scénarios!$B$4:$AI$4,0)),"-")</f>
        <v>-</v>
      </c>
      <c r="AL98" s="443" t="str">
        <f>IFERROR(INDEX(Scénarios!$B$2:$AI$232,MATCH($S98,Scénarios!$AI$2:$AI$232,0),MATCH(AL$4,Scénarios!$B$4:$AI$4,0)),"-")</f>
        <v>-</v>
      </c>
      <c r="AM98" s="443" t="str">
        <f>IFERROR(INDEX(Param!$A$10:$C$14,MATCH($AL98,Param!$C$10:$C$14,0),1),"-")</f>
        <v>-</v>
      </c>
      <c r="AN98" s="443" t="str">
        <f>IFERROR(IF(INDEX(Scénarios!$B$2:$AI$232,MATCH($S98,Scénarios!$AI$2:$AI$232,0),MATCH(AN$4,Scénarios!$B$4:$AI$4,0))=0,"",INDEX(Scénarios!$B$2:$AI$232,MATCH($S98,Scénarios!$AI$2:$AI$232,0),MATCH(AN$4,Scénarios!$B$4:$AI$4,0))),"-")</f>
        <v>-</v>
      </c>
      <c r="AO98" s="443" t="str">
        <f>IFERROR(INDEX(Scénarios!$B$2:$AI$232,MATCH($S98,Scénarios!$AI$2:$AI$232,0),MATCH(AO$4,Scénarios!$B$4:$AI$4,0)),"-")</f>
        <v>-</v>
      </c>
      <c r="AP98" s="443" t="str">
        <f>IFERROR(INDEX(Param!$A$17:$C$21,MATCH($AO98,Param!$C$17:$C$21,0),1),"-")</f>
        <v>-</v>
      </c>
      <c r="AQ98" s="443" t="str">
        <f>IFERROR(IF(INDEX(Scénarios!$B$2:$AI$232,MATCH($S98,Scénarios!$AI$2:$AI$232,0),MATCH(AQ$4,Scénarios!$B$4:$AI$4,0))=0,"",INDEX(Scénarios!$B$2:$AI$232,MATCH($S98,Scénarios!$AI$2:$AI$232,0),MATCH(AQ$4,Scénarios!$B$4:$AI$4,0))),"-")</f>
        <v>-</v>
      </c>
      <c r="AR98" s="443" t="str">
        <f>IFERROR(INDEX(Scénarios!$B$2:$AI$232,MATCH($S98,Scénarios!$AI$2:$AI$232,0),MATCH(AR$4,Scénarios!$B$4:$AI$4,0)),"-")</f>
        <v>-</v>
      </c>
      <c r="AS98" s="443" t="str">
        <f>IFERROR(INDEX(Param!$A$24:$C$28,MATCH($AR98,Param!$C$24:$C$28,0),1),"-")</f>
        <v>-</v>
      </c>
      <c r="AT98" s="443" t="str">
        <f>IFERROR(IF(INDEX(Scénarios!$B$2:$AI$232,MATCH($S98,Scénarios!$AI$2:$AI$232,0),MATCH(AT$4,Scénarios!$B$4:$AI$4,0))=0,"",INDEX(Scénarios!$B$2:$AI$232,MATCH($S98,Scénarios!$AI$2:$AI$232,0),MATCH(AT$4,Scénarios!$B$4:$AI$4,0))),"-")</f>
        <v>-</v>
      </c>
      <c r="AU98" s="462" t="str">
        <f>IFERROR(INDEX(Scénarios!$B$2:$AI$232,MATCH($S98,Scénarios!$AI$2:$AI$232,0),MATCH(AU$4,Scénarios!$B$4:$AI$4,0)),"-")</f>
        <v>-</v>
      </c>
      <c r="AV98" s="462" t="str">
        <f>IFERROR(INDEX(Scénarios!$B$2:$AI$232,MATCH($S98,Scénarios!$AI$2:$AI$232,0),MATCH(AV$4,Scénarios!$B$4:$AI$4,0)),"-")</f>
        <v>-</v>
      </c>
      <c r="AW98" s="462" t="str">
        <f>IFERROR(INDEX(Scénarios!$B$2:$AI$232,MATCH($S98,Scénarios!$AI$2:$AI$232,0),MATCH(AW$4,Scénarios!$B$4:$AI$4,0)),"-")</f>
        <v>-</v>
      </c>
      <c r="AX98" s="462" t="str">
        <f>IFERROR(INDEX(Scénarios!$B$2:$AI$232,MATCH($S98,Scénarios!$AI$2:$AI$232,0),MATCH(AX$4,Scénarios!$B$4:$AI$4,0)),"-")</f>
        <v>-</v>
      </c>
      <c r="AY98" s="443" t="str">
        <f>IFERROR(INDEX(Scénarios!$B$2:$AI$232,MATCH($S98,Scénarios!$AI$2:$AI$232,0),MATCH(AY$4,Scénarios!$B$4:$AI$4,0)),"-")</f>
        <v>-</v>
      </c>
      <c r="AZ98" s="588" t="str">
        <f>IFERROR(INDEX(Param!$A$31:$C$35,MATCH($AY98,Param!$C$31:$C$35,0),1),"-")</f>
        <v>-</v>
      </c>
      <c r="BA98" s="588" t="str">
        <f>IFERROR(IF(INDEX(Scénarios!$B$2:$AI$232,MATCH($S98,Scénarios!$AI$2:$AI$232,0),MATCH(BA$4,Scénarios!$B$4:$AI$4,0))=0,"",INDEX(Scénarios!$B$2:$AI$232,MATCH($S98,Scénarios!$AI$2:$AI$232,0),MATCH(BA$4,Scénarios!$B$4:$AI$4,0))),"-")</f>
        <v>-</v>
      </c>
      <c r="BB98" s="443" t="str">
        <f>IFERROR(IF(INDEX(Scénarios!$B$2:$AK$237,MATCH($S98,Scénarios!$AI$2:$AI$237,0),MATCH(BB$4,Scénarios!$B$4:$AK$4,0))=0,"",INDEX(Scénarios!$B$2:$AK$237,MATCH($S98,Scénarios!$AI$2:$AI$237,0),MATCH(BB$4,Scénarios!$B$4:$AK$4,0))),"-")</f>
        <v>-</v>
      </c>
      <c r="BC98" s="443" t="str">
        <f>IFERROR(INDEX(Scénarios!$B$2:$AV$232,MATCH($S98,Scénarios!$AI$2:$AI$232,0),MATCH(BC$4,Scénarios!$B$4:$AV$4,0)),"-")</f>
        <v>-</v>
      </c>
    </row>
    <row r="99" spans="15:55" ht="25.5" customHeight="1" x14ac:dyDescent="0.25">
      <c r="O99" s="604" t="str">
        <f t="shared" si="1"/>
        <v>Fiche R95 sans décision :
Veuillez ajouter une décision</v>
      </c>
      <c r="P99" s="609" t="s">
        <v>2188</v>
      </c>
      <c r="Q99" s="605" t="s">
        <v>2067</v>
      </c>
      <c r="R99" s="585" t="s">
        <v>2068</v>
      </c>
      <c r="S99" s="587" t="s">
        <v>2133</v>
      </c>
      <c r="T99" s="588" t="str">
        <f>IFERROR(INDEX(Tab_sel!$B$7:$C$18,MATCH($AB99,Tab_sel!$C$7:$C$18,0),1),"-")</f>
        <v>-</v>
      </c>
      <c r="U99" s="589" t="str">
        <f>IFERROR(INDEX(Scénarios!$B$2:$AI$232,MATCH($S99,Scénarios!$AI$2:$AI$232,0),MATCH(U$4,Scénarios!$B$4:$AI$4,0)),"-")</f>
        <v>-</v>
      </c>
      <c r="V99" s="588" t="str">
        <f>IFERROR(INDEX(Scénarios!$B$2:$AI$232,MATCH($S99,Scénarios!$AI$2:$AI$232,0),MATCH(V$4,Scénarios!$B$4:$AI$4,0)),"-")</f>
        <v>-</v>
      </c>
      <c r="W99" s="588" t="str">
        <f>IFERROR(INDEX(Scénarios!$B$2:$AI$232,MATCH($S99,Scénarios!$AI$2:$AI$232,0),MATCH(W$4,Scénarios!$B$4:$AI$4,0)),"-")</f>
        <v>-</v>
      </c>
      <c r="X99" s="588" t="str">
        <f>IFERROR(VLOOKUP(AD99,Expo!$D$4:$E$35,2,FALSE),"-")</f>
        <v>-</v>
      </c>
      <c r="Y99" s="859" t="str">
        <f>IFERROR(IF(INDEX(Scénarios!$B$2:$AI$232,MATCH($S99,Scénarios!$AI$2:$AI$232,0),MATCH(Y$4,Scénarios!$B$4:$AI$4,0))=0,"",INDEX(Scénarios!$B$2:$AI$232,MATCH($S99,Scénarios!$AI$2:$AI$232,0),MATCH(Y$4,Scénarios!$B$4:$AI$4,0))),"-")</f>
        <v>-</v>
      </c>
      <c r="Z99" s="589" t="str">
        <f>IFERROR(INDEX(Scénarios!$B$2:$AI$232,MATCH($S99,Scénarios!$AI$2:$AI$232,0),MATCH(Z$4,Scénarios!$B$4:$AI$4,0)),"-")</f>
        <v>-</v>
      </c>
      <c r="AA99" s="589" t="str">
        <f>IFERROR(INDEX(Scénarios!$B$2:$AI$232,MATCH($S99,Scénarios!$AI$2:$AI$232,0),MATCH(AA$4,Scénarios!$B$4:$AI$4,0)),"-")</f>
        <v>-</v>
      </c>
      <c r="AB99" s="586" t="str">
        <f>IFERROR(INDEX(Scénarios!$B$2:$AI$232,MATCH($S99,Scénarios!$AI$2:$AI$232,0),MATCH(AB$4,Scénarios!$B$4:$AI$4,0)),"-")</f>
        <v>-</v>
      </c>
      <c r="AC99" s="442" t="str">
        <f>IFERROR(INDEX(Tab_sel!$B$24:$C$27,MATCH($U99,Tab_sel!$C$24:$C$27,0),1),"-")</f>
        <v>-</v>
      </c>
      <c r="AD99" s="443" t="str">
        <f>IFERROR(INDEX(Scénarios!$B$2:$AI$232,MATCH($S99,Scénarios!$AI$2:$AI$232,0),MATCH(AD$4,Scénarios!$B$4:$AI$4,0)),"-")</f>
        <v>-</v>
      </c>
      <c r="AE99" s="460" t="str">
        <f>IFERROR(INDEX(Scénarios!$B$2:$AI$232,MATCH($S99,Scénarios!$AI$2:$AI$232,0),MATCH(AE$4,Scénarios!$B$4:$AI$4,0)),"-")</f>
        <v>-</v>
      </c>
      <c r="AF99" s="460" t="str">
        <f>IFERROR(INDEX(Scénarios!$B$2:$AI$232,MATCH($S99,Scénarios!$AI$2:$AI$232,0),MATCH(AF$4,Scénarios!$B$4:$AI$4,0)),"-")</f>
        <v>-</v>
      </c>
      <c r="AG99" s="460" t="str">
        <f>IFERROR(INDEX(Scénarios!$B$2:$AI$232,MATCH($S99,Scénarios!$AI$2:$AI$232,0),MATCH(AG$4,Scénarios!$B$4:$AI$4,0)),"-")</f>
        <v>-</v>
      </c>
      <c r="AH99" s="460" t="str">
        <f>IFERROR(INDEX(Scénarios!$B$2:$AI$232,MATCH($S99,Scénarios!$AI$2:$AI$232,0),MATCH(AH$4,Scénarios!$B$4:$AI$4,0)),"-")</f>
        <v>-</v>
      </c>
      <c r="AI99" s="443" t="str">
        <f>IFERROR(INDEX(Scénarios!$B$2:$AI$232,MATCH($S99,Scénarios!$AI$2:$AI$232,0),MATCH(AI$4,Scénarios!$B$4:$AI$4,0)),"-")</f>
        <v>-</v>
      </c>
      <c r="AJ99" s="443" t="str">
        <f>IFERROR(INDEX(Param!$A$3:$C$7,MATCH($AI99,Param!$C$3:$C$7,0),1),"-")</f>
        <v>-</v>
      </c>
      <c r="AK99" s="443" t="str">
        <f>IFERROR(INDEX(Scénarios!$B$2:$AI$232,MATCH($S99,Scénarios!$AI$2:$AI$232,0),MATCH(AK$4,Scénarios!$B$4:$AI$4,0)),"-")</f>
        <v>-</v>
      </c>
      <c r="AL99" s="443" t="str">
        <f>IFERROR(INDEX(Scénarios!$B$2:$AI$232,MATCH($S99,Scénarios!$AI$2:$AI$232,0),MATCH(AL$4,Scénarios!$B$4:$AI$4,0)),"-")</f>
        <v>-</v>
      </c>
      <c r="AM99" s="443" t="str">
        <f>IFERROR(INDEX(Param!$A$10:$C$14,MATCH($AL99,Param!$C$10:$C$14,0),1),"-")</f>
        <v>-</v>
      </c>
      <c r="AN99" s="443" t="str">
        <f>IFERROR(IF(INDEX(Scénarios!$B$2:$AI$232,MATCH($S99,Scénarios!$AI$2:$AI$232,0),MATCH(AN$4,Scénarios!$B$4:$AI$4,0))=0,"",INDEX(Scénarios!$B$2:$AI$232,MATCH($S99,Scénarios!$AI$2:$AI$232,0),MATCH(AN$4,Scénarios!$B$4:$AI$4,0))),"-")</f>
        <v>-</v>
      </c>
      <c r="AO99" s="443" t="str">
        <f>IFERROR(INDEX(Scénarios!$B$2:$AI$232,MATCH($S99,Scénarios!$AI$2:$AI$232,0),MATCH(AO$4,Scénarios!$B$4:$AI$4,0)),"-")</f>
        <v>-</v>
      </c>
      <c r="AP99" s="443" t="str">
        <f>IFERROR(INDEX(Param!$A$17:$C$21,MATCH($AO99,Param!$C$17:$C$21,0),1),"-")</f>
        <v>-</v>
      </c>
      <c r="AQ99" s="443" t="str">
        <f>IFERROR(IF(INDEX(Scénarios!$B$2:$AI$232,MATCH($S99,Scénarios!$AI$2:$AI$232,0),MATCH(AQ$4,Scénarios!$B$4:$AI$4,0))=0,"",INDEX(Scénarios!$B$2:$AI$232,MATCH($S99,Scénarios!$AI$2:$AI$232,0),MATCH(AQ$4,Scénarios!$B$4:$AI$4,0))),"-")</f>
        <v>-</v>
      </c>
      <c r="AR99" s="443" t="str">
        <f>IFERROR(INDEX(Scénarios!$B$2:$AI$232,MATCH($S99,Scénarios!$AI$2:$AI$232,0),MATCH(AR$4,Scénarios!$B$4:$AI$4,0)),"-")</f>
        <v>-</v>
      </c>
      <c r="AS99" s="443" t="str">
        <f>IFERROR(INDEX(Param!$A$24:$C$28,MATCH($AR99,Param!$C$24:$C$28,0),1),"-")</f>
        <v>-</v>
      </c>
      <c r="AT99" s="443" t="str">
        <f>IFERROR(IF(INDEX(Scénarios!$B$2:$AI$232,MATCH($S99,Scénarios!$AI$2:$AI$232,0),MATCH(AT$4,Scénarios!$B$4:$AI$4,0))=0,"",INDEX(Scénarios!$B$2:$AI$232,MATCH($S99,Scénarios!$AI$2:$AI$232,0),MATCH(AT$4,Scénarios!$B$4:$AI$4,0))),"-")</f>
        <v>-</v>
      </c>
      <c r="AU99" s="462" t="str">
        <f>IFERROR(INDEX(Scénarios!$B$2:$AI$232,MATCH($S99,Scénarios!$AI$2:$AI$232,0),MATCH(AU$4,Scénarios!$B$4:$AI$4,0)),"-")</f>
        <v>-</v>
      </c>
      <c r="AV99" s="462" t="str">
        <f>IFERROR(INDEX(Scénarios!$B$2:$AI$232,MATCH($S99,Scénarios!$AI$2:$AI$232,0),MATCH(AV$4,Scénarios!$B$4:$AI$4,0)),"-")</f>
        <v>-</v>
      </c>
      <c r="AW99" s="462" t="str">
        <f>IFERROR(INDEX(Scénarios!$B$2:$AI$232,MATCH($S99,Scénarios!$AI$2:$AI$232,0),MATCH(AW$4,Scénarios!$B$4:$AI$4,0)),"-")</f>
        <v>-</v>
      </c>
      <c r="AX99" s="462" t="str">
        <f>IFERROR(INDEX(Scénarios!$B$2:$AI$232,MATCH($S99,Scénarios!$AI$2:$AI$232,0),MATCH(AX$4,Scénarios!$B$4:$AI$4,0)),"-")</f>
        <v>-</v>
      </c>
      <c r="AY99" s="443" t="str">
        <f>IFERROR(INDEX(Scénarios!$B$2:$AI$232,MATCH($S99,Scénarios!$AI$2:$AI$232,0),MATCH(AY$4,Scénarios!$B$4:$AI$4,0)),"-")</f>
        <v>-</v>
      </c>
      <c r="AZ99" s="588" t="str">
        <f>IFERROR(INDEX(Param!$A$31:$C$35,MATCH($AY99,Param!$C$31:$C$35,0),1),"-")</f>
        <v>-</v>
      </c>
      <c r="BA99" s="588" t="str">
        <f>IFERROR(IF(INDEX(Scénarios!$B$2:$AI$232,MATCH($S99,Scénarios!$AI$2:$AI$232,0),MATCH(BA$4,Scénarios!$B$4:$AI$4,0))=0,"",INDEX(Scénarios!$B$2:$AI$232,MATCH($S99,Scénarios!$AI$2:$AI$232,0),MATCH(BA$4,Scénarios!$B$4:$AI$4,0))),"-")</f>
        <v>-</v>
      </c>
      <c r="BB99" s="443" t="str">
        <f>IFERROR(IF(INDEX(Scénarios!$B$2:$AK$237,MATCH($S99,Scénarios!$AI$2:$AI$237,0),MATCH(BB$4,Scénarios!$B$4:$AK$4,0))=0,"",INDEX(Scénarios!$B$2:$AK$237,MATCH($S99,Scénarios!$AI$2:$AI$237,0),MATCH(BB$4,Scénarios!$B$4:$AK$4,0))),"-")</f>
        <v>-</v>
      </c>
      <c r="BC99" s="443" t="str">
        <f>IFERROR(INDEX(Scénarios!$B$2:$AV$232,MATCH($S99,Scénarios!$AI$2:$AI$232,0),MATCH(BC$4,Scénarios!$B$4:$AV$4,0)),"-")</f>
        <v>-</v>
      </c>
    </row>
    <row r="100" spans="15:55" ht="25.5" customHeight="1" x14ac:dyDescent="0.25">
      <c r="O100" s="604" t="str">
        <f t="shared" si="1"/>
        <v>Fiche R96 sans décision :
Veuillez ajouter une décision</v>
      </c>
      <c r="P100" s="609" t="s">
        <v>2188</v>
      </c>
      <c r="Q100" s="605" t="s">
        <v>2067</v>
      </c>
      <c r="R100" s="585" t="s">
        <v>2068</v>
      </c>
      <c r="S100" s="587" t="s">
        <v>2134</v>
      </c>
      <c r="T100" s="588" t="str">
        <f>IFERROR(INDEX(Tab_sel!$B$7:$C$18,MATCH($AB100,Tab_sel!$C$7:$C$18,0),1),"-")</f>
        <v>-</v>
      </c>
      <c r="U100" s="589" t="str">
        <f>IFERROR(INDEX(Scénarios!$B$2:$AI$232,MATCH($S100,Scénarios!$AI$2:$AI$232,0),MATCH(U$4,Scénarios!$B$4:$AI$4,0)),"-")</f>
        <v>-</v>
      </c>
      <c r="V100" s="588" t="str">
        <f>IFERROR(INDEX(Scénarios!$B$2:$AI$232,MATCH($S100,Scénarios!$AI$2:$AI$232,0),MATCH(V$4,Scénarios!$B$4:$AI$4,0)),"-")</f>
        <v>-</v>
      </c>
      <c r="W100" s="588" t="str">
        <f>IFERROR(INDEX(Scénarios!$B$2:$AI$232,MATCH($S100,Scénarios!$AI$2:$AI$232,0),MATCH(W$4,Scénarios!$B$4:$AI$4,0)),"-")</f>
        <v>-</v>
      </c>
      <c r="X100" s="588" t="str">
        <f>IFERROR(VLOOKUP(AD100,Expo!$D$4:$E$35,2,FALSE),"-")</f>
        <v>-</v>
      </c>
      <c r="Y100" s="859" t="str">
        <f>IFERROR(IF(INDEX(Scénarios!$B$2:$AI$232,MATCH($S100,Scénarios!$AI$2:$AI$232,0),MATCH(Y$4,Scénarios!$B$4:$AI$4,0))=0,"",INDEX(Scénarios!$B$2:$AI$232,MATCH($S100,Scénarios!$AI$2:$AI$232,0),MATCH(Y$4,Scénarios!$B$4:$AI$4,0))),"-")</f>
        <v>-</v>
      </c>
      <c r="Z100" s="589" t="str">
        <f>IFERROR(INDEX(Scénarios!$B$2:$AI$232,MATCH($S100,Scénarios!$AI$2:$AI$232,0),MATCH(Z$4,Scénarios!$B$4:$AI$4,0)),"-")</f>
        <v>-</v>
      </c>
      <c r="AA100" s="589" t="str">
        <f>IFERROR(INDEX(Scénarios!$B$2:$AI$232,MATCH($S100,Scénarios!$AI$2:$AI$232,0),MATCH(AA$4,Scénarios!$B$4:$AI$4,0)),"-")</f>
        <v>-</v>
      </c>
      <c r="AB100" s="586" t="str">
        <f>IFERROR(INDEX(Scénarios!$B$2:$AI$232,MATCH($S100,Scénarios!$AI$2:$AI$232,0),MATCH(AB$4,Scénarios!$B$4:$AI$4,0)),"-")</f>
        <v>-</v>
      </c>
      <c r="AC100" s="442" t="str">
        <f>IFERROR(INDEX(Tab_sel!$B$24:$C$27,MATCH($U100,Tab_sel!$C$24:$C$27,0),1),"-")</f>
        <v>-</v>
      </c>
      <c r="AD100" s="443" t="str">
        <f>IFERROR(INDEX(Scénarios!$B$2:$AI$232,MATCH($S100,Scénarios!$AI$2:$AI$232,0),MATCH(AD$4,Scénarios!$B$4:$AI$4,0)),"-")</f>
        <v>-</v>
      </c>
      <c r="AE100" s="460" t="str">
        <f>IFERROR(INDEX(Scénarios!$B$2:$AI$232,MATCH($S100,Scénarios!$AI$2:$AI$232,0),MATCH(AE$4,Scénarios!$B$4:$AI$4,0)),"-")</f>
        <v>-</v>
      </c>
      <c r="AF100" s="460" t="str">
        <f>IFERROR(INDEX(Scénarios!$B$2:$AI$232,MATCH($S100,Scénarios!$AI$2:$AI$232,0),MATCH(AF$4,Scénarios!$B$4:$AI$4,0)),"-")</f>
        <v>-</v>
      </c>
      <c r="AG100" s="460" t="str">
        <f>IFERROR(INDEX(Scénarios!$B$2:$AI$232,MATCH($S100,Scénarios!$AI$2:$AI$232,0),MATCH(AG$4,Scénarios!$B$4:$AI$4,0)),"-")</f>
        <v>-</v>
      </c>
      <c r="AH100" s="460" t="str">
        <f>IFERROR(INDEX(Scénarios!$B$2:$AI$232,MATCH($S100,Scénarios!$AI$2:$AI$232,0),MATCH(AH$4,Scénarios!$B$4:$AI$4,0)),"-")</f>
        <v>-</v>
      </c>
      <c r="AI100" s="443" t="str">
        <f>IFERROR(INDEX(Scénarios!$B$2:$AI$232,MATCH($S100,Scénarios!$AI$2:$AI$232,0),MATCH(AI$4,Scénarios!$B$4:$AI$4,0)),"-")</f>
        <v>-</v>
      </c>
      <c r="AJ100" s="443" t="str">
        <f>IFERROR(INDEX(Param!$A$3:$C$7,MATCH($AI100,Param!$C$3:$C$7,0),1),"-")</f>
        <v>-</v>
      </c>
      <c r="AK100" s="443" t="str">
        <f>IFERROR(INDEX(Scénarios!$B$2:$AI$232,MATCH($S100,Scénarios!$AI$2:$AI$232,0),MATCH(AK$4,Scénarios!$B$4:$AI$4,0)),"-")</f>
        <v>-</v>
      </c>
      <c r="AL100" s="443" t="str">
        <f>IFERROR(INDEX(Scénarios!$B$2:$AI$232,MATCH($S100,Scénarios!$AI$2:$AI$232,0),MATCH(AL$4,Scénarios!$B$4:$AI$4,0)),"-")</f>
        <v>-</v>
      </c>
      <c r="AM100" s="443" t="str">
        <f>IFERROR(INDEX(Param!$A$10:$C$14,MATCH($AL100,Param!$C$10:$C$14,0),1),"-")</f>
        <v>-</v>
      </c>
      <c r="AN100" s="443" t="str">
        <f>IFERROR(IF(INDEX(Scénarios!$B$2:$AI$232,MATCH($S100,Scénarios!$AI$2:$AI$232,0),MATCH(AN$4,Scénarios!$B$4:$AI$4,0))=0,"",INDEX(Scénarios!$B$2:$AI$232,MATCH($S100,Scénarios!$AI$2:$AI$232,0),MATCH(AN$4,Scénarios!$B$4:$AI$4,0))),"-")</f>
        <v>-</v>
      </c>
      <c r="AO100" s="443" t="str">
        <f>IFERROR(INDEX(Scénarios!$B$2:$AI$232,MATCH($S100,Scénarios!$AI$2:$AI$232,0),MATCH(AO$4,Scénarios!$B$4:$AI$4,0)),"-")</f>
        <v>-</v>
      </c>
      <c r="AP100" s="443" t="str">
        <f>IFERROR(INDEX(Param!$A$17:$C$21,MATCH($AO100,Param!$C$17:$C$21,0),1),"-")</f>
        <v>-</v>
      </c>
      <c r="AQ100" s="443" t="str">
        <f>IFERROR(IF(INDEX(Scénarios!$B$2:$AI$232,MATCH($S100,Scénarios!$AI$2:$AI$232,0),MATCH(AQ$4,Scénarios!$B$4:$AI$4,0))=0,"",INDEX(Scénarios!$B$2:$AI$232,MATCH($S100,Scénarios!$AI$2:$AI$232,0),MATCH(AQ$4,Scénarios!$B$4:$AI$4,0))),"-")</f>
        <v>-</v>
      </c>
      <c r="AR100" s="443" t="str">
        <f>IFERROR(INDEX(Scénarios!$B$2:$AI$232,MATCH($S100,Scénarios!$AI$2:$AI$232,0),MATCH(AR$4,Scénarios!$B$4:$AI$4,0)),"-")</f>
        <v>-</v>
      </c>
      <c r="AS100" s="443" t="str">
        <f>IFERROR(INDEX(Param!$A$24:$C$28,MATCH($AR100,Param!$C$24:$C$28,0),1),"-")</f>
        <v>-</v>
      </c>
      <c r="AT100" s="443" t="str">
        <f>IFERROR(IF(INDEX(Scénarios!$B$2:$AI$232,MATCH($S100,Scénarios!$AI$2:$AI$232,0),MATCH(AT$4,Scénarios!$B$4:$AI$4,0))=0,"",INDEX(Scénarios!$B$2:$AI$232,MATCH($S100,Scénarios!$AI$2:$AI$232,0),MATCH(AT$4,Scénarios!$B$4:$AI$4,0))),"-")</f>
        <v>-</v>
      </c>
      <c r="AU100" s="462" t="str">
        <f>IFERROR(INDEX(Scénarios!$B$2:$AI$232,MATCH($S100,Scénarios!$AI$2:$AI$232,0),MATCH(AU$4,Scénarios!$B$4:$AI$4,0)),"-")</f>
        <v>-</v>
      </c>
      <c r="AV100" s="462" t="str">
        <f>IFERROR(INDEX(Scénarios!$B$2:$AI$232,MATCH($S100,Scénarios!$AI$2:$AI$232,0),MATCH(AV$4,Scénarios!$B$4:$AI$4,0)),"-")</f>
        <v>-</v>
      </c>
      <c r="AW100" s="462" t="str">
        <f>IFERROR(INDEX(Scénarios!$B$2:$AI$232,MATCH($S100,Scénarios!$AI$2:$AI$232,0),MATCH(AW$4,Scénarios!$B$4:$AI$4,0)),"-")</f>
        <v>-</v>
      </c>
      <c r="AX100" s="462" t="str">
        <f>IFERROR(INDEX(Scénarios!$B$2:$AI$232,MATCH($S100,Scénarios!$AI$2:$AI$232,0),MATCH(AX$4,Scénarios!$B$4:$AI$4,0)),"-")</f>
        <v>-</v>
      </c>
      <c r="AY100" s="443" t="str">
        <f>IFERROR(INDEX(Scénarios!$B$2:$AI$232,MATCH($S100,Scénarios!$AI$2:$AI$232,0),MATCH(AY$4,Scénarios!$B$4:$AI$4,0)),"-")</f>
        <v>-</v>
      </c>
      <c r="AZ100" s="588" t="str">
        <f>IFERROR(INDEX(Param!$A$31:$C$35,MATCH($AY100,Param!$C$31:$C$35,0),1),"-")</f>
        <v>-</v>
      </c>
      <c r="BA100" s="588" t="str">
        <f>IFERROR(IF(INDEX(Scénarios!$B$2:$AI$232,MATCH($S100,Scénarios!$AI$2:$AI$232,0),MATCH(BA$4,Scénarios!$B$4:$AI$4,0))=0,"",INDEX(Scénarios!$B$2:$AI$232,MATCH($S100,Scénarios!$AI$2:$AI$232,0),MATCH(BA$4,Scénarios!$B$4:$AI$4,0))),"-")</f>
        <v>-</v>
      </c>
      <c r="BB100" s="443" t="str">
        <f>IFERROR(IF(INDEX(Scénarios!$B$2:$AK$237,MATCH($S100,Scénarios!$AI$2:$AI$237,0),MATCH(BB$4,Scénarios!$B$4:$AK$4,0))=0,"",INDEX(Scénarios!$B$2:$AK$237,MATCH($S100,Scénarios!$AI$2:$AI$237,0),MATCH(BB$4,Scénarios!$B$4:$AK$4,0))),"-")</f>
        <v>-</v>
      </c>
      <c r="BC100" s="443" t="str">
        <f>IFERROR(INDEX(Scénarios!$B$2:$AV$232,MATCH($S100,Scénarios!$AI$2:$AI$232,0),MATCH(BC$4,Scénarios!$B$4:$AV$4,0)),"-")</f>
        <v>-</v>
      </c>
    </row>
    <row r="101" spans="15:55" ht="25.5" customHeight="1" x14ac:dyDescent="0.25">
      <c r="O101" s="604" t="str">
        <f t="shared" si="1"/>
        <v>Fiche R97 sans décision :
Veuillez ajouter une décision</v>
      </c>
      <c r="P101" s="609" t="s">
        <v>2188</v>
      </c>
      <c r="Q101" s="605" t="s">
        <v>2067</v>
      </c>
      <c r="R101" s="585" t="s">
        <v>2068</v>
      </c>
      <c r="S101" s="587" t="s">
        <v>2135</v>
      </c>
      <c r="T101" s="588" t="str">
        <f>IFERROR(INDEX(Tab_sel!$B$7:$C$18,MATCH($AB101,Tab_sel!$C$7:$C$18,0),1),"-")</f>
        <v>-</v>
      </c>
      <c r="U101" s="589" t="str">
        <f>IFERROR(INDEX(Scénarios!$B$2:$AI$232,MATCH($S101,Scénarios!$AI$2:$AI$232,0),MATCH(U$4,Scénarios!$B$4:$AI$4,0)),"-")</f>
        <v>-</v>
      </c>
      <c r="V101" s="588" t="str">
        <f>IFERROR(INDEX(Scénarios!$B$2:$AI$232,MATCH($S101,Scénarios!$AI$2:$AI$232,0),MATCH(V$4,Scénarios!$B$4:$AI$4,0)),"-")</f>
        <v>-</v>
      </c>
      <c r="W101" s="588" t="str">
        <f>IFERROR(INDEX(Scénarios!$B$2:$AI$232,MATCH($S101,Scénarios!$AI$2:$AI$232,0),MATCH(W$4,Scénarios!$B$4:$AI$4,0)),"-")</f>
        <v>-</v>
      </c>
      <c r="X101" s="588" t="str">
        <f>IFERROR(VLOOKUP(AD101,Expo!$D$4:$E$35,2,FALSE),"-")</f>
        <v>-</v>
      </c>
      <c r="Y101" s="859" t="str">
        <f>IFERROR(IF(INDEX(Scénarios!$B$2:$AI$232,MATCH($S101,Scénarios!$AI$2:$AI$232,0),MATCH(Y$4,Scénarios!$B$4:$AI$4,0))=0,"",INDEX(Scénarios!$B$2:$AI$232,MATCH($S101,Scénarios!$AI$2:$AI$232,0),MATCH(Y$4,Scénarios!$B$4:$AI$4,0))),"-")</f>
        <v>-</v>
      </c>
      <c r="Z101" s="589" t="str">
        <f>IFERROR(INDEX(Scénarios!$B$2:$AI$232,MATCH($S101,Scénarios!$AI$2:$AI$232,0),MATCH(Z$4,Scénarios!$B$4:$AI$4,0)),"-")</f>
        <v>-</v>
      </c>
      <c r="AA101" s="589" t="str">
        <f>IFERROR(INDEX(Scénarios!$B$2:$AI$232,MATCH($S101,Scénarios!$AI$2:$AI$232,0),MATCH(AA$4,Scénarios!$B$4:$AI$4,0)),"-")</f>
        <v>-</v>
      </c>
      <c r="AB101" s="586" t="str">
        <f>IFERROR(INDEX(Scénarios!$B$2:$AI$232,MATCH($S101,Scénarios!$AI$2:$AI$232,0),MATCH(AB$4,Scénarios!$B$4:$AI$4,0)),"-")</f>
        <v>-</v>
      </c>
      <c r="AC101" s="442" t="str">
        <f>IFERROR(INDEX(Tab_sel!$B$24:$C$27,MATCH($U101,Tab_sel!$C$24:$C$27,0),1),"-")</f>
        <v>-</v>
      </c>
      <c r="AD101" s="443" t="str">
        <f>IFERROR(INDEX(Scénarios!$B$2:$AI$232,MATCH($S101,Scénarios!$AI$2:$AI$232,0),MATCH(AD$4,Scénarios!$B$4:$AI$4,0)),"-")</f>
        <v>-</v>
      </c>
      <c r="AE101" s="460" t="str">
        <f>IFERROR(INDEX(Scénarios!$B$2:$AI$232,MATCH($S101,Scénarios!$AI$2:$AI$232,0),MATCH(AE$4,Scénarios!$B$4:$AI$4,0)),"-")</f>
        <v>-</v>
      </c>
      <c r="AF101" s="460" t="str">
        <f>IFERROR(INDEX(Scénarios!$B$2:$AI$232,MATCH($S101,Scénarios!$AI$2:$AI$232,0),MATCH(AF$4,Scénarios!$B$4:$AI$4,0)),"-")</f>
        <v>-</v>
      </c>
      <c r="AG101" s="460" t="str">
        <f>IFERROR(INDEX(Scénarios!$B$2:$AI$232,MATCH($S101,Scénarios!$AI$2:$AI$232,0),MATCH(AG$4,Scénarios!$B$4:$AI$4,0)),"-")</f>
        <v>-</v>
      </c>
      <c r="AH101" s="460" t="str">
        <f>IFERROR(INDEX(Scénarios!$B$2:$AI$232,MATCH($S101,Scénarios!$AI$2:$AI$232,0),MATCH(AH$4,Scénarios!$B$4:$AI$4,0)),"-")</f>
        <v>-</v>
      </c>
      <c r="AI101" s="443" t="str">
        <f>IFERROR(INDEX(Scénarios!$B$2:$AI$232,MATCH($S101,Scénarios!$AI$2:$AI$232,0),MATCH(AI$4,Scénarios!$B$4:$AI$4,0)),"-")</f>
        <v>-</v>
      </c>
      <c r="AJ101" s="443" t="str">
        <f>IFERROR(INDEX(Param!$A$3:$C$7,MATCH($AI101,Param!$C$3:$C$7,0),1),"-")</f>
        <v>-</v>
      </c>
      <c r="AK101" s="443" t="str">
        <f>IFERROR(INDEX(Scénarios!$B$2:$AI$232,MATCH($S101,Scénarios!$AI$2:$AI$232,0),MATCH(AK$4,Scénarios!$B$4:$AI$4,0)),"-")</f>
        <v>-</v>
      </c>
      <c r="AL101" s="443" t="str">
        <f>IFERROR(INDEX(Scénarios!$B$2:$AI$232,MATCH($S101,Scénarios!$AI$2:$AI$232,0),MATCH(AL$4,Scénarios!$B$4:$AI$4,0)),"-")</f>
        <v>-</v>
      </c>
      <c r="AM101" s="443" t="str">
        <f>IFERROR(INDEX(Param!$A$10:$C$14,MATCH($AL101,Param!$C$10:$C$14,0),1),"-")</f>
        <v>-</v>
      </c>
      <c r="AN101" s="443" t="str">
        <f>IFERROR(IF(INDEX(Scénarios!$B$2:$AI$232,MATCH($S101,Scénarios!$AI$2:$AI$232,0),MATCH(AN$4,Scénarios!$B$4:$AI$4,0))=0,"",INDEX(Scénarios!$B$2:$AI$232,MATCH($S101,Scénarios!$AI$2:$AI$232,0),MATCH(AN$4,Scénarios!$B$4:$AI$4,0))),"-")</f>
        <v>-</v>
      </c>
      <c r="AO101" s="443" t="str">
        <f>IFERROR(INDEX(Scénarios!$B$2:$AI$232,MATCH($S101,Scénarios!$AI$2:$AI$232,0),MATCH(AO$4,Scénarios!$B$4:$AI$4,0)),"-")</f>
        <v>-</v>
      </c>
      <c r="AP101" s="443" t="str">
        <f>IFERROR(INDEX(Param!$A$17:$C$21,MATCH($AO101,Param!$C$17:$C$21,0),1),"-")</f>
        <v>-</v>
      </c>
      <c r="AQ101" s="443" t="str">
        <f>IFERROR(IF(INDEX(Scénarios!$B$2:$AI$232,MATCH($S101,Scénarios!$AI$2:$AI$232,0),MATCH(AQ$4,Scénarios!$B$4:$AI$4,0))=0,"",INDEX(Scénarios!$B$2:$AI$232,MATCH($S101,Scénarios!$AI$2:$AI$232,0),MATCH(AQ$4,Scénarios!$B$4:$AI$4,0))),"-")</f>
        <v>-</v>
      </c>
      <c r="AR101" s="443" t="str">
        <f>IFERROR(INDEX(Scénarios!$B$2:$AI$232,MATCH($S101,Scénarios!$AI$2:$AI$232,0),MATCH(AR$4,Scénarios!$B$4:$AI$4,0)),"-")</f>
        <v>-</v>
      </c>
      <c r="AS101" s="443" t="str">
        <f>IFERROR(INDEX(Param!$A$24:$C$28,MATCH($AR101,Param!$C$24:$C$28,0),1),"-")</f>
        <v>-</v>
      </c>
      <c r="AT101" s="443" t="str">
        <f>IFERROR(IF(INDEX(Scénarios!$B$2:$AI$232,MATCH($S101,Scénarios!$AI$2:$AI$232,0),MATCH(AT$4,Scénarios!$B$4:$AI$4,0))=0,"",INDEX(Scénarios!$B$2:$AI$232,MATCH($S101,Scénarios!$AI$2:$AI$232,0),MATCH(AT$4,Scénarios!$B$4:$AI$4,0))),"-")</f>
        <v>-</v>
      </c>
      <c r="AU101" s="462" t="str">
        <f>IFERROR(INDEX(Scénarios!$B$2:$AI$232,MATCH($S101,Scénarios!$AI$2:$AI$232,0),MATCH(AU$4,Scénarios!$B$4:$AI$4,0)),"-")</f>
        <v>-</v>
      </c>
      <c r="AV101" s="462" t="str">
        <f>IFERROR(INDEX(Scénarios!$B$2:$AI$232,MATCH($S101,Scénarios!$AI$2:$AI$232,0),MATCH(AV$4,Scénarios!$B$4:$AI$4,0)),"-")</f>
        <v>-</v>
      </c>
      <c r="AW101" s="462" t="str">
        <f>IFERROR(INDEX(Scénarios!$B$2:$AI$232,MATCH($S101,Scénarios!$AI$2:$AI$232,0),MATCH(AW$4,Scénarios!$B$4:$AI$4,0)),"-")</f>
        <v>-</v>
      </c>
      <c r="AX101" s="462" t="str">
        <f>IFERROR(INDEX(Scénarios!$B$2:$AI$232,MATCH($S101,Scénarios!$AI$2:$AI$232,0),MATCH(AX$4,Scénarios!$B$4:$AI$4,0)),"-")</f>
        <v>-</v>
      </c>
      <c r="AY101" s="443" t="str">
        <f>IFERROR(INDEX(Scénarios!$B$2:$AI$232,MATCH($S101,Scénarios!$AI$2:$AI$232,0),MATCH(AY$4,Scénarios!$B$4:$AI$4,0)),"-")</f>
        <v>-</v>
      </c>
      <c r="AZ101" s="588" t="str">
        <f>IFERROR(INDEX(Param!$A$31:$C$35,MATCH($AY101,Param!$C$31:$C$35,0),1),"-")</f>
        <v>-</v>
      </c>
      <c r="BA101" s="588" t="str">
        <f>IFERROR(IF(INDEX(Scénarios!$B$2:$AI$232,MATCH($S101,Scénarios!$AI$2:$AI$232,0),MATCH(BA$4,Scénarios!$B$4:$AI$4,0))=0,"",INDEX(Scénarios!$B$2:$AI$232,MATCH($S101,Scénarios!$AI$2:$AI$232,0),MATCH(BA$4,Scénarios!$B$4:$AI$4,0))),"-")</f>
        <v>-</v>
      </c>
      <c r="BB101" s="443" t="str">
        <f>IFERROR(IF(INDEX(Scénarios!$B$2:$AK$237,MATCH($S101,Scénarios!$AI$2:$AI$237,0),MATCH(BB$4,Scénarios!$B$4:$AK$4,0))=0,"",INDEX(Scénarios!$B$2:$AK$237,MATCH($S101,Scénarios!$AI$2:$AI$237,0),MATCH(BB$4,Scénarios!$B$4:$AK$4,0))),"-")</f>
        <v>-</v>
      </c>
      <c r="BC101" s="443" t="str">
        <f>IFERROR(INDEX(Scénarios!$B$2:$AV$232,MATCH($S101,Scénarios!$AI$2:$AI$232,0),MATCH(BC$4,Scénarios!$B$4:$AV$4,0)),"-")</f>
        <v>-</v>
      </c>
    </row>
    <row r="102" spans="15:55" ht="25.5" customHeight="1" x14ac:dyDescent="0.25">
      <c r="O102" s="604" t="str">
        <f t="shared" si="1"/>
        <v>Fiche R98 sans décision :
Veuillez ajouter une décision</v>
      </c>
      <c r="P102" s="609" t="s">
        <v>2188</v>
      </c>
      <c r="Q102" s="605" t="s">
        <v>2067</v>
      </c>
      <c r="R102" s="585" t="s">
        <v>2068</v>
      </c>
      <c r="S102" s="587" t="s">
        <v>2136</v>
      </c>
      <c r="T102" s="588" t="str">
        <f>IFERROR(INDEX(Tab_sel!$B$7:$C$18,MATCH($AB102,Tab_sel!$C$7:$C$18,0),1),"-")</f>
        <v>-</v>
      </c>
      <c r="U102" s="589" t="str">
        <f>IFERROR(INDEX(Scénarios!$B$2:$AI$232,MATCH($S102,Scénarios!$AI$2:$AI$232,0),MATCH(U$4,Scénarios!$B$4:$AI$4,0)),"-")</f>
        <v>-</v>
      </c>
      <c r="V102" s="588" t="str">
        <f>IFERROR(INDEX(Scénarios!$B$2:$AI$232,MATCH($S102,Scénarios!$AI$2:$AI$232,0),MATCH(V$4,Scénarios!$B$4:$AI$4,0)),"-")</f>
        <v>-</v>
      </c>
      <c r="W102" s="588" t="str">
        <f>IFERROR(INDEX(Scénarios!$B$2:$AI$232,MATCH($S102,Scénarios!$AI$2:$AI$232,0),MATCH(W$4,Scénarios!$B$4:$AI$4,0)),"-")</f>
        <v>-</v>
      </c>
      <c r="X102" s="588" t="str">
        <f>IFERROR(VLOOKUP(AD102,Expo!$D$4:$E$35,2,FALSE),"-")</f>
        <v>-</v>
      </c>
      <c r="Y102" s="859" t="str">
        <f>IFERROR(IF(INDEX(Scénarios!$B$2:$AI$232,MATCH($S102,Scénarios!$AI$2:$AI$232,0),MATCH(Y$4,Scénarios!$B$4:$AI$4,0))=0,"",INDEX(Scénarios!$B$2:$AI$232,MATCH($S102,Scénarios!$AI$2:$AI$232,0),MATCH(Y$4,Scénarios!$B$4:$AI$4,0))),"-")</f>
        <v>-</v>
      </c>
      <c r="Z102" s="589" t="str">
        <f>IFERROR(INDEX(Scénarios!$B$2:$AI$232,MATCH($S102,Scénarios!$AI$2:$AI$232,0),MATCH(Z$4,Scénarios!$B$4:$AI$4,0)),"-")</f>
        <v>-</v>
      </c>
      <c r="AA102" s="589" t="str">
        <f>IFERROR(INDEX(Scénarios!$B$2:$AI$232,MATCH($S102,Scénarios!$AI$2:$AI$232,0),MATCH(AA$4,Scénarios!$B$4:$AI$4,0)),"-")</f>
        <v>-</v>
      </c>
      <c r="AB102" s="586" t="str">
        <f>IFERROR(INDEX(Scénarios!$B$2:$AI$232,MATCH($S102,Scénarios!$AI$2:$AI$232,0),MATCH(AB$4,Scénarios!$B$4:$AI$4,0)),"-")</f>
        <v>-</v>
      </c>
      <c r="AC102" s="442" t="str">
        <f>IFERROR(INDEX(Tab_sel!$B$24:$C$27,MATCH($U102,Tab_sel!$C$24:$C$27,0),1),"-")</f>
        <v>-</v>
      </c>
      <c r="AD102" s="443" t="str">
        <f>IFERROR(INDEX(Scénarios!$B$2:$AI$232,MATCH($S102,Scénarios!$AI$2:$AI$232,0),MATCH(AD$4,Scénarios!$B$4:$AI$4,0)),"-")</f>
        <v>-</v>
      </c>
      <c r="AE102" s="460" t="str">
        <f>IFERROR(INDEX(Scénarios!$B$2:$AI$232,MATCH($S102,Scénarios!$AI$2:$AI$232,0),MATCH(AE$4,Scénarios!$B$4:$AI$4,0)),"-")</f>
        <v>-</v>
      </c>
      <c r="AF102" s="460" t="str">
        <f>IFERROR(INDEX(Scénarios!$B$2:$AI$232,MATCH($S102,Scénarios!$AI$2:$AI$232,0),MATCH(AF$4,Scénarios!$B$4:$AI$4,0)),"-")</f>
        <v>-</v>
      </c>
      <c r="AG102" s="460" t="str">
        <f>IFERROR(INDEX(Scénarios!$B$2:$AI$232,MATCH($S102,Scénarios!$AI$2:$AI$232,0),MATCH(AG$4,Scénarios!$B$4:$AI$4,0)),"-")</f>
        <v>-</v>
      </c>
      <c r="AH102" s="460" t="str">
        <f>IFERROR(INDEX(Scénarios!$B$2:$AI$232,MATCH($S102,Scénarios!$AI$2:$AI$232,0),MATCH(AH$4,Scénarios!$B$4:$AI$4,0)),"-")</f>
        <v>-</v>
      </c>
      <c r="AI102" s="443" t="str">
        <f>IFERROR(INDEX(Scénarios!$B$2:$AI$232,MATCH($S102,Scénarios!$AI$2:$AI$232,0),MATCH(AI$4,Scénarios!$B$4:$AI$4,0)),"-")</f>
        <v>-</v>
      </c>
      <c r="AJ102" s="443" t="str">
        <f>IFERROR(INDEX(Param!$A$3:$C$7,MATCH($AI102,Param!$C$3:$C$7,0),1),"-")</f>
        <v>-</v>
      </c>
      <c r="AK102" s="443" t="str">
        <f>IFERROR(INDEX(Scénarios!$B$2:$AI$232,MATCH($S102,Scénarios!$AI$2:$AI$232,0),MATCH(AK$4,Scénarios!$B$4:$AI$4,0)),"-")</f>
        <v>-</v>
      </c>
      <c r="AL102" s="443" t="str">
        <f>IFERROR(INDEX(Scénarios!$B$2:$AI$232,MATCH($S102,Scénarios!$AI$2:$AI$232,0),MATCH(AL$4,Scénarios!$B$4:$AI$4,0)),"-")</f>
        <v>-</v>
      </c>
      <c r="AM102" s="443" t="str">
        <f>IFERROR(INDEX(Param!$A$10:$C$14,MATCH($AL102,Param!$C$10:$C$14,0),1),"-")</f>
        <v>-</v>
      </c>
      <c r="AN102" s="443" t="str">
        <f>IFERROR(IF(INDEX(Scénarios!$B$2:$AI$232,MATCH($S102,Scénarios!$AI$2:$AI$232,0),MATCH(AN$4,Scénarios!$B$4:$AI$4,0))=0,"",INDEX(Scénarios!$B$2:$AI$232,MATCH($S102,Scénarios!$AI$2:$AI$232,0),MATCH(AN$4,Scénarios!$B$4:$AI$4,0))),"-")</f>
        <v>-</v>
      </c>
      <c r="AO102" s="443" t="str">
        <f>IFERROR(INDEX(Scénarios!$B$2:$AI$232,MATCH($S102,Scénarios!$AI$2:$AI$232,0),MATCH(AO$4,Scénarios!$B$4:$AI$4,0)),"-")</f>
        <v>-</v>
      </c>
      <c r="AP102" s="443" t="str">
        <f>IFERROR(INDEX(Param!$A$17:$C$21,MATCH($AO102,Param!$C$17:$C$21,0),1),"-")</f>
        <v>-</v>
      </c>
      <c r="AQ102" s="443" t="str">
        <f>IFERROR(IF(INDEX(Scénarios!$B$2:$AI$232,MATCH($S102,Scénarios!$AI$2:$AI$232,0),MATCH(AQ$4,Scénarios!$B$4:$AI$4,0))=0,"",INDEX(Scénarios!$B$2:$AI$232,MATCH($S102,Scénarios!$AI$2:$AI$232,0),MATCH(AQ$4,Scénarios!$B$4:$AI$4,0))),"-")</f>
        <v>-</v>
      </c>
      <c r="AR102" s="443" t="str">
        <f>IFERROR(INDEX(Scénarios!$B$2:$AI$232,MATCH($S102,Scénarios!$AI$2:$AI$232,0),MATCH(AR$4,Scénarios!$B$4:$AI$4,0)),"-")</f>
        <v>-</v>
      </c>
      <c r="AS102" s="443" t="str">
        <f>IFERROR(INDEX(Param!$A$24:$C$28,MATCH($AR102,Param!$C$24:$C$28,0),1),"-")</f>
        <v>-</v>
      </c>
      <c r="AT102" s="443" t="str">
        <f>IFERROR(IF(INDEX(Scénarios!$B$2:$AI$232,MATCH($S102,Scénarios!$AI$2:$AI$232,0),MATCH(AT$4,Scénarios!$B$4:$AI$4,0))=0,"",INDEX(Scénarios!$B$2:$AI$232,MATCH($S102,Scénarios!$AI$2:$AI$232,0),MATCH(AT$4,Scénarios!$B$4:$AI$4,0))),"-")</f>
        <v>-</v>
      </c>
      <c r="AU102" s="462" t="str">
        <f>IFERROR(INDEX(Scénarios!$B$2:$AI$232,MATCH($S102,Scénarios!$AI$2:$AI$232,0),MATCH(AU$4,Scénarios!$B$4:$AI$4,0)),"-")</f>
        <v>-</v>
      </c>
      <c r="AV102" s="462" t="str">
        <f>IFERROR(INDEX(Scénarios!$B$2:$AI$232,MATCH($S102,Scénarios!$AI$2:$AI$232,0),MATCH(AV$4,Scénarios!$B$4:$AI$4,0)),"-")</f>
        <v>-</v>
      </c>
      <c r="AW102" s="462" t="str">
        <f>IFERROR(INDEX(Scénarios!$B$2:$AI$232,MATCH($S102,Scénarios!$AI$2:$AI$232,0),MATCH(AW$4,Scénarios!$B$4:$AI$4,0)),"-")</f>
        <v>-</v>
      </c>
      <c r="AX102" s="462" t="str">
        <f>IFERROR(INDEX(Scénarios!$B$2:$AI$232,MATCH($S102,Scénarios!$AI$2:$AI$232,0),MATCH(AX$4,Scénarios!$B$4:$AI$4,0)),"-")</f>
        <v>-</v>
      </c>
      <c r="AY102" s="443" t="str">
        <f>IFERROR(INDEX(Scénarios!$B$2:$AI$232,MATCH($S102,Scénarios!$AI$2:$AI$232,0),MATCH(AY$4,Scénarios!$B$4:$AI$4,0)),"-")</f>
        <v>-</v>
      </c>
      <c r="AZ102" s="588" t="str">
        <f>IFERROR(INDEX(Param!$A$31:$C$35,MATCH($AY102,Param!$C$31:$C$35,0),1),"-")</f>
        <v>-</v>
      </c>
      <c r="BA102" s="588" t="str">
        <f>IFERROR(IF(INDEX(Scénarios!$B$2:$AI$232,MATCH($S102,Scénarios!$AI$2:$AI$232,0),MATCH(BA$4,Scénarios!$B$4:$AI$4,0))=0,"",INDEX(Scénarios!$B$2:$AI$232,MATCH($S102,Scénarios!$AI$2:$AI$232,0),MATCH(BA$4,Scénarios!$B$4:$AI$4,0))),"-")</f>
        <v>-</v>
      </c>
      <c r="BB102" s="443" t="str">
        <f>IFERROR(IF(INDEX(Scénarios!$B$2:$AK$237,MATCH($S102,Scénarios!$AI$2:$AI$237,0),MATCH(BB$4,Scénarios!$B$4:$AK$4,0))=0,"",INDEX(Scénarios!$B$2:$AK$237,MATCH($S102,Scénarios!$AI$2:$AI$237,0),MATCH(BB$4,Scénarios!$B$4:$AK$4,0))),"-")</f>
        <v>-</v>
      </c>
      <c r="BC102" s="443" t="str">
        <f>IFERROR(INDEX(Scénarios!$B$2:$AV$232,MATCH($S102,Scénarios!$AI$2:$AI$232,0),MATCH(BC$4,Scénarios!$B$4:$AV$4,0)),"-")</f>
        <v>-</v>
      </c>
    </row>
    <row r="103" spans="15:55" ht="25.5" customHeight="1" x14ac:dyDescent="0.25">
      <c r="O103" s="604" t="str">
        <f t="shared" si="1"/>
        <v>Fiche R99 sans décision :
Veuillez ajouter une décision</v>
      </c>
      <c r="P103" s="609" t="s">
        <v>2188</v>
      </c>
      <c r="Q103" s="605" t="s">
        <v>2067</v>
      </c>
      <c r="R103" s="585" t="s">
        <v>2068</v>
      </c>
      <c r="S103" s="587" t="s">
        <v>2137</v>
      </c>
      <c r="T103" s="588" t="str">
        <f>IFERROR(INDEX(Tab_sel!$B$7:$C$18,MATCH($AB103,Tab_sel!$C$7:$C$18,0),1),"-")</f>
        <v>-</v>
      </c>
      <c r="U103" s="589" t="str">
        <f>IFERROR(INDEX(Scénarios!$B$2:$AI$232,MATCH($S103,Scénarios!$AI$2:$AI$232,0),MATCH(U$4,Scénarios!$B$4:$AI$4,0)),"-")</f>
        <v>-</v>
      </c>
      <c r="V103" s="588" t="str">
        <f>IFERROR(INDEX(Scénarios!$B$2:$AI$232,MATCH($S103,Scénarios!$AI$2:$AI$232,0),MATCH(V$4,Scénarios!$B$4:$AI$4,0)),"-")</f>
        <v>-</v>
      </c>
      <c r="W103" s="588" t="str">
        <f>IFERROR(INDEX(Scénarios!$B$2:$AI$232,MATCH($S103,Scénarios!$AI$2:$AI$232,0),MATCH(W$4,Scénarios!$B$4:$AI$4,0)),"-")</f>
        <v>-</v>
      </c>
      <c r="X103" s="588" t="str">
        <f>IFERROR(VLOOKUP(AD103,Expo!$D$4:$E$35,2,FALSE),"-")</f>
        <v>-</v>
      </c>
      <c r="Y103" s="859" t="str">
        <f>IFERROR(IF(INDEX(Scénarios!$B$2:$AI$232,MATCH($S103,Scénarios!$AI$2:$AI$232,0),MATCH(Y$4,Scénarios!$B$4:$AI$4,0))=0,"",INDEX(Scénarios!$B$2:$AI$232,MATCH($S103,Scénarios!$AI$2:$AI$232,0),MATCH(Y$4,Scénarios!$B$4:$AI$4,0))),"-")</f>
        <v>-</v>
      </c>
      <c r="Z103" s="589" t="str">
        <f>IFERROR(INDEX(Scénarios!$B$2:$AI$232,MATCH($S103,Scénarios!$AI$2:$AI$232,0),MATCH(Z$4,Scénarios!$B$4:$AI$4,0)),"-")</f>
        <v>-</v>
      </c>
      <c r="AA103" s="589" t="str">
        <f>IFERROR(INDEX(Scénarios!$B$2:$AI$232,MATCH($S103,Scénarios!$AI$2:$AI$232,0),MATCH(AA$4,Scénarios!$B$4:$AI$4,0)),"-")</f>
        <v>-</v>
      </c>
      <c r="AB103" s="586" t="str">
        <f>IFERROR(INDEX(Scénarios!$B$2:$AI$232,MATCH($S103,Scénarios!$AI$2:$AI$232,0),MATCH(AB$4,Scénarios!$B$4:$AI$4,0)),"-")</f>
        <v>-</v>
      </c>
      <c r="AC103" s="442" t="str">
        <f>IFERROR(INDEX(Tab_sel!$B$24:$C$27,MATCH($U103,Tab_sel!$C$24:$C$27,0),1),"-")</f>
        <v>-</v>
      </c>
      <c r="AD103" s="443" t="str">
        <f>IFERROR(INDEX(Scénarios!$B$2:$AI$232,MATCH($S103,Scénarios!$AI$2:$AI$232,0),MATCH(AD$4,Scénarios!$B$4:$AI$4,0)),"-")</f>
        <v>-</v>
      </c>
      <c r="AE103" s="460" t="str">
        <f>IFERROR(INDEX(Scénarios!$B$2:$AI$232,MATCH($S103,Scénarios!$AI$2:$AI$232,0),MATCH(AE$4,Scénarios!$B$4:$AI$4,0)),"-")</f>
        <v>-</v>
      </c>
      <c r="AF103" s="460" t="str">
        <f>IFERROR(INDEX(Scénarios!$B$2:$AI$232,MATCH($S103,Scénarios!$AI$2:$AI$232,0),MATCH(AF$4,Scénarios!$B$4:$AI$4,0)),"-")</f>
        <v>-</v>
      </c>
      <c r="AG103" s="460" t="str">
        <f>IFERROR(INDEX(Scénarios!$B$2:$AI$232,MATCH($S103,Scénarios!$AI$2:$AI$232,0),MATCH(AG$4,Scénarios!$B$4:$AI$4,0)),"-")</f>
        <v>-</v>
      </c>
      <c r="AH103" s="460" t="str">
        <f>IFERROR(INDEX(Scénarios!$B$2:$AI$232,MATCH($S103,Scénarios!$AI$2:$AI$232,0),MATCH(AH$4,Scénarios!$B$4:$AI$4,0)),"-")</f>
        <v>-</v>
      </c>
      <c r="AI103" s="443" t="str">
        <f>IFERROR(INDEX(Scénarios!$B$2:$AI$232,MATCH($S103,Scénarios!$AI$2:$AI$232,0),MATCH(AI$4,Scénarios!$B$4:$AI$4,0)),"-")</f>
        <v>-</v>
      </c>
      <c r="AJ103" s="443" t="str">
        <f>IFERROR(INDEX(Param!$A$3:$C$7,MATCH($AI103,Param!$C$3:$C$7,0),1),"-")</f>
        <v>-</v>
      </c>
      <c r="AK103" s="443" t="str">
        <f>IFERROR(INDEX(Scénarios!$B$2:$AI$232,MATCH($S103,Scénarios!$AI$2:$AI$232,0),MATCH(AK$4,Scénarios!$B$4:$AI$4,0)),"-")</f>
        <v>-</v>
      </c>
      <c r="AL103" s="443" t="str">
        <f>IFERROR(INDEX(Scénarios!$B$2:$AI$232,MATCH($S103,Scénarios!$AI$2:$AI$232,0),MATCH(AL$4,Scénarios!$B$4:$AI$4,0)),"-")</f>
        <v>-</v>
      </c>
      <c r="AM103" s="443" t="str">
        <f>IFERROR(INDEX(Param!$A$10:$C$14,MATCH($AL103,Param!$C$10:$C$14,0),1),"-")</f>
        <v>-</v>
      </c>
      <c r="AN103" s="443" t="str">
        <f>IFERROR(IF(INDEX(Scénarios!$B$2:$AI$232,MATCH($S103,Scénarios!$AI$2:$AI$232,0),MATCH(AN$4,Scénarios!$B$4:$AI$4,0))=0,"",INDEX(Scénarios!$B$2:$AI$232,MATCH($S103,Scénarios!$AI$2:$AI$232,0),MATCH(AN$4,Scénarios!$B$4:$AI$4,0))),"-")</f>
        <v>-</v>
      </c>
      <c r="AO103" s="443" t="str">
        <f>IFERROR(INDEX(Scénarios!$B$2:$AI$232,MATCH($S103,Scénarios!$AI$2:$AI$232,0),MATCH(AO$4,Scénarios!$B$4:$AI$4,0)),"-")</f>
        <v>-</v>
      </c>
      <c r="AP103" s="443" t="str">
        <f>IFERROR(INDEX(Param!$A$17:$C$21,MATCH($AO103,Param!$C$17:$C$21,0),1),"-")</f>
        <v>-</v>
      </c>
      <c r="AQ103" s="443" t="str">
        <f>IFERROR(IF(INDEX(Scénarios!$B$2:$AI$232,MATCH($S103,Scénarios!$AI$2:$AI$232,0),MATCH(AQ$4,Scénarios!$B$4:$AI$4,0))=0,"",INDEX(Scénarios!$B$2:$AI$232,MATCH($S103,Scénarios!$AI$2:$AI$232,0),MATCH(AQ$4,Scénarios!$B$4:$AI$4,0))),"-")</f>
        <v>-</v>
      </c>
      <c r="AR103" s="443" t="str">
        <f>IFERROR(INDEX(Scénarios!$B$2:$AI$232,MATCH($S103,Scénarios!$AI$2:$AI$232,0),MATCH(AR$4,Scénarios!$B$4:$AI$4,0)),"-")</f>
        <v>-</v>
      </c>
      <c r="AS103" s="443" t="str">
        <f>IFERROR(INDEX(Param!$A$24:$C$28,MATCH($AR103,Param!$C$24:$C$28,0),1),"-")</f>
        <v>-</v>
      </c>
      <c r="AT103" s="443" t="str">
        <f>IFERROR(IF(INDEX(Scénarios!$B$2:$AI$232,MATCH($S103,Scénarios!$AI$2:$AI$232,0),MATCH(AT$4,Scénarios!$B$4:$AI$4,0))=0,"",INDEX(Scénarios!$B$2:$AI$232,MATCH($S103,Scénarios!$AI$2:$AI$232,0),MATCH(AT$4,Scénarios!$B$4:$AI$4,0))),"-")</f>
        <v>-</v>
      </c>
      <c r="AU103" s="462" t="str">
        <f>IFERROR(INDEX(Scénarios!$B$2:$AI$232,MATCH($S103,Scénarios!$AI$2:$AI$232,0),MATCH(AU$4,Scénarios!$B$4:$AI$4,0)),"-")</f>
        <v>-</v>
      </c>
      <c r="AV103" s="462" t="str">
        <f>IFERROR(INDEX(Scénarios!$B$2:$AI$232,MATCH($S103,Scénarios!$AI$2:$AI$232,0),MATCH(AV$4,Scénarios!$B$4:$AI$4,0)),"-")</f>
        <v>-</v>
      </c>
      <c r="AW103" s="462" t="str">
        <f>IFERROR(INDEX(Scénarios!$B$2:$AI$232,MATCH($S103,Scénarios!$AI$2:$AI$232,0),MATCH(AW$4,Scénarios!$B$4:$AI$4,0)),"-")</f>
        <v>-</v>
      </c>
      <c r="AX103" s="462" t="str">
        <f>IFERROR(INDEX(Scénarios!$B$2:$AI$232,MATCH($S103,Scénarios!$AI$2:$AI$232,0),MATCH(AX$4,Scénarios!$B$4:$AI$4,0)),"-")</f>
        <v>-</v>
      </c>
      <c r="AY103" s="443" t="str">
        <f>IFERROR(INDEX(Scénarios!$B$2:$AI$232,MATCH($S103,Scénarios!$AI$2:$AI$232,0),MATCH(AY$4,Scénarios!$B$4:$AI$4,0)),"-")</f>
        <v>-</v>
      </c>
      <c r="AZ103" s="588" t="str">
        <f>IFERROR(INDEX(Param!$A$31:$C$35,MATCH($AY103,Param!$C$31:$C$35,0),1),"-")</f>
        <v>-</v>
      </c>
      <c r="BA103" s="588" t="str">
        <f>IFERROR(IF(INDEX(Scénarios!$B$2:$AI$232,MATCH($S103,Scénarios!$AI$2:$AI$232,0),MATCH(BA$4,Scénarios!$B$4:$AI$4,0))=0,"",INDEX(Scénarios!$B$2:$AI$232,MATCH($S103,Scénarios!$AI$2:$AI$232,0),MATCH(BA$4,Scénarios!$B$4:$AI$4,0))),"-")</f>
        <v>-</v>
      </c>
      <c r="BB103" s="443" t="str">
        <f>IFERROR(IF(INDEX(Scénarios!$B$2:$AK$237,MATCH($S103,Scénarios!$AI$2:$AI$237,0),MATCH(BB$4,Scénarios!$B$4:$AK$4,0))=0,"",INDEX(Scénarios!$B$2:$AK$237,MATCH($S103,Scénarios!$AI$2:$AI$237,0),MATCH(BB$4,Scénarios!$B$4:$AK$4,0))),"-")</f>
        <v>-</v>
      </c>
      <c r="BC103" s="443" t="str">
        <f>IFERROR(INDEX(Scénarios!$B$2:$AV$232,MATCH($S103,Scénarios!$AI$2:$AI$232,0),MATCH(BC$4,Scénarios!$B$4:$AV$4,0)),"-")</f>
        <v>-</v>
      </c>
    </row>
    <row r="104" spans="15:55" ht="25.5" customHeight="1" x14ac:dyDescent="0.25">
      <c r="O104" s="604" t="str">
        <f t="shared" si="1"/>
        <v>Fiche R100 sans décision :
Veuillez ajouter une décision</v>
      </c>
      <c r="P104" s="609" t="s">
        <v>2188</v>
      </c>
      <c r="Q104" s="605" t="s">
        <v>2067</v>
      </c>
      <c r="R104" s="585" t="s">
        <v>2068</v>
      </c>
      <c r="S104" s="587" t="s">
        <v>2138</v>
      </c>
      <c r="T104" s="588" t="str">
        <f>IFERROR(INDEX(Tab_sel!$B$7:$C$18,MATCH($AB104,Tab_sel!$C$7:$C$18,0),1),"-")</f>
        <v>-</v>
      </c>
      <c r="U104" s="589" t="str">
        <f>IFERROR(INDEX(Scénarios!$B$2:$AI$232,MATCH($S104,Scénarios!$AI$2:$AI$232,0),MATCH(U$4,Scénarios!$B$4:$AI$4,0)),"-")</f>
        <v>-</v>
      </c>
      <c r="V104" s="588" t="str">
        <f>IFERROR(INDEX(Scénarios!$B$2:$AI$232,MATCH($S104,Scénarios!$AI$2:$AI$232,0),MATCH(V$4,Scénarios!$B$4:$AI$4,0)),"-")</f>
        <v>-</v>
      </c>
      <c r="W104" s="588" t="str">
        <f>IFERROR(INDEX(Scénarios!$B$2:$AI$232,MATCH($S104,Scénarios!$AI$2:$AI$232,0),MATCH(W$4,Scénarios!$B$4:$AI$4,0)),"-")</f>
        <v>-</v>
      </c>
      <c r="X104" s="588" t="str">
        <f>IFERROR(VLOOKUP(AD104,Expo!$D$4:$E$35,2,FALSE),"-")</f>
        <v>-</v>
      </c>
      <c r="Y104" s="859" t="str">
        <f>IFERROR(IF(INDEX(Scénarios!$B$2:$AI$232,MATCH($S104,Scénarios!$AI$2:$AI$232,0),MATCH(Y$4,Scénarios!$B$4:$AI$4,0))=0,"",INDEX(Scénarios!$B$2:$AI$232,MATCH($S104,Scénarios!$AI$2:$AI$232,0),MATCH(Y$4,Scénarios!$B$4:$AI$4,0))),"-")</f>
        <v>-</v>
      </c>
      <c r="Z104" s="589" t="str">
        <f>IFERROR(INDEX(Scénarios!$B$2:$AI$232,MATCH($S104,Scénarios!$AI$2:$AI$232,0),MATCH(Z$4,Scénarios!$B$4:$AI$4,0)),"-")</f>
        <v>-</v>
      </c>
      <c r="AA104" s="589" t="str">
        <f>IFERROR(INDEX(Scénarios!$B$2:$AI$232,MATCH($S104,Scénarios!$AI$2:$AI$232,0),MATCH(AA$4,Scénarios!$B$4:$AI$4,0)),"-")</f>
        <v>-</v>
      </c>
      <c r="AB104" s="586" t="str">
        <f>IFERROR(INDEX(Scénarios!$B$2:$AI$232,MATCH($S104,Scénarios!$AI$2:$AI$232,0),MATCH(AB$4,Scénarios!$B$4:$AI$4,0)),"-")</f>
        <v>-</v>
      </c>
      <c r="AC104" s="442" t="str">
        <f>IFERROR(INDEX(Tab_sel!$B$24:$C$27,MATCH($U104,Tab_sel!$C$24:$C$27,0),1),"-")</f>
        <v>-</v>
      </c>
      <c r="AD104" s="443" t="str">
        <f>IFERROR(INDEX(Scénarios!$B$2:$AI$232,MATCH($S104,Scénarios!$AI$2:$AI$232,0),MATCH(AD$4,Scénarios!$B$4:$AI$4,0)),"-")</f>
        <v>-</v>
      </c>
      <c r="AE104" s="460" t="str">
        <f>IFERROR(INDEX(Scénarios!$B$2:$AI$232,MATCH($S104,Scénarios!$AI$2:$AI$232,0),MATCH(AE$4,Scénarios!$B$4:$AI$4,0)),"-")</f>
        <v>-</v>
      </c>
      <c r="AF104" s="460" t="str">
        <f>IFERROR(INDEX(Scénarios!$B$2:$AI$232,MATCH($S104,Scénarios!$AI$2:$AI$232,0),MATCH(AF$4,Scénarios!$B$4:$AI$4,0)),"-")</f>
        <v>-</v>
      </c>
      <c r="AG104" s="460" t="str">
        <f>IFERROR(INDEX(Scénarios!$B$2:$AI$232,MATCH($S104,Scénarios!$AI$2:$AI$232,0),MATCH(AG$4,Scénarios!$B$4:$AI$4,0)),"-")</f>
        <v>-</v>
      </c>
      <c r="AH104" s="460" t="str">
        <f>IFERROR(INDEX(Scénarios!$B$2:$AI$232,MATCH($S104,Scénarios!$AI$2:$AI$232,0),MATCH(AH$4,Scénarios!$B$4:$AI$4,0)),"-")</f>
        <v>-</v>
      </c>
      <c r="AI104" s="443" t="str">
        <f>IFERROR(INDEX(Scénarios!$B$2:$AI$232,MATCH($S104,Scénarios!$AI$2:$AI$232,0),MATCH(AI$4,Scénarios!$B$4:$AI$4,0)),"-")</f>
        <v>-</v>
      </c>
      <c r="AJ104" s="443" t="str">
        <f>IFERROR(INDEX(Param!$A$3:$C$7,MATCH($AI104,Param!$C$3:$C$7,0),1),"-")</f>
        <v>-</v>
      </c>
      <c r="AK104" s="443" t="str">
        <f>IFERROR(INDEX(Scénarios!$B$2:$AI$232,MATCH($S104,Scénarios!$AI$2:$AI$232,0),MATCH(AK$4,Scénarios!$B$4:$AI$4,0)),"-")</f>
        <v>-</v>
      </c>
      <c r="AL104" s="443" t="str">
        <f>IFERROR(INDEX(Scénarios!$B$2:$AI$232,MATCH($S104,Scénarios!$AI$2:$AI$232,0),MATCH(AL$4,Scénarios!$B$4:$AI$4,0)),"-")</f>
        <v>-</v>
      </c>
      <c r="AM104" s="443" t="str">
        <f>IFERROR(INDEX(Param!$A$10:$C$14,MATCH($AL104,Param!$C$10:$C$14,0),1),"-")</f>
        <v>-</v>
      </c>
      <c r="AN104" s="443" t="str">
        <f>IFERROR(IF(INDEX(Scénarios!$B$2:$AI$232,MATCH($S104,Scénarios!$AI$2:$AI$232,0),MATCH(AN$4,Scénarios!$B$4:$AI$4,0))=0,"",INDEX(Scénarios!$B$2:$AI$232,MATCH($S104,Scénarios!$AI$2:$AI$232,0),MATCH(AN$4,Scénarios!$B$4:$AI$4,0))),"-")</f>
        <v>-</v>
      </c>
      <c r="AO104" s="443" t="str">
        <f>IFERROR(INDEX(Scénarios!$B$2:$AI$232,MATCH($S104,Scénarios!$AI$2:$AI$232,0),MATCH(AO$4,Scénarios!$B$4:$AI$4,0)),"-")</f>
        <v>-</v>
      </c>
      <c r="AP104" s="443" t="str">
        <f>IFERROR(INDEX(Param!$A$17:$C$21,MATCH($AO104,Param!$C$17:$C$21,0),1),"-")</f>
        <v>-</v>
      </c>
      <c r="AQ104" s="443" t="str">
        <f>IFERROR(IF(INDEX(Scénarios!$B$2:$AI$232,MATCH($S104,Scénarios!$AI$2:$AI$232,0),MATCH(AQ$4,Scénarios!$B$4:$AI$4,0))=0,"",INDEX(Scénarios!$B$2:$AI$232,MATCH($S104,Scénarios!$AI$2:$AI$232,0),MATCH(AQ$4,Scénarios!$B$4:$AI$4,0))),"-")</f>
        <v>-</v>
      </c>
      <c r="AR104" s="443" t="str">
        <f>IFERROR(INDEX(Scénarios!$B$2:$AI$232,MATCH($S104,Scénarios!$AI$2:$AI$232,0),MATCH(AR$4,Scénarios!$B$4:$AI$4,0)),"-")</f>
        <v>-</v>
      </c>
      <c r="AS104" s="443" t="str">
        <f>IFERROR(INDEX(Param!$A$24:$C$28,MATCH($AR104,Param!$C$24:$C$28,0),1),"-")</f>
        <v>-</v>
      </c>
      <c r="AT104" s="443" t="str">
        <f>IFERROR(IF(INDEX(Scénarios!$B$2:$AI$232,MATCH($S104,Scénarios!$AI$2:$AI$232,0),MATCH(AT$4,Scénarios!$B$4:$AI$4,0))=0,"",INDEX(Scénarios!$B$2:$AI$232,MATCH($S104,Scénarios!$AI$2:$AI$232,0),MATCH(AT$4,Scénarios!$B$4:$AI$4,0))),"-")</f>
        <v>-</v>
      </c>
      <c r="AU104" s="462" t="str">
        <f>IFERROR(INDEX(Scénarios!$B$2:$AI$232,MATCH($S104,Scénarios!$AI$2:$AI$232,0),MATCH(AU$4,Scénarios!$B$4:$AI$4,0)),"-")</f>
        <v>-</v>
      </c>
      <c r="AV104" s="462" t="str">
        <f>IFERROR(INDEX(Scénarios!$B$2:$AI$232,MATCH($S104,Scénarios!$AI$2:$AI$232,0),MATCH(AV$4,Scénarios!$B$4:$AI$4,0)),"-")</f>
        <v>-</v>
      </c>
      <c r="AW104" s="462" t="str">
        <f>IFERROR(INDEX(Scénarios!$B$2:$AI$232,MATCH($S104,Scénarios!$AI$2:$AI$232,0),MATCH(AW$4,Scénarios!$B$4:$AI$4,0)),"-")</f>
        <v>-</v>
      </c>
      <c r="AX104" s="462" t="str">
        <f>IFERROR(INDEX(Scénarios!$B$2:$AI$232,MATCH($S104,Scénarios!$AI$2:$AI$232,0),MATCH(AX$4,Scénarios!$B$4:$AI$4,0)),"-")</f>
        <v>-</v>
      </c>
      <c r="AY104" s="443" t="str">
        <f>IFERROR(INDEX(Scénarios!$B$2:$AI$232,MATCH($S104,Scénarios!$AI$2:$AI$232,0),MATCH(AY$4,Scénarios!$B$4:$AI$4,0)),"-")</f>
        <v>-</v>
      </c>
      <c r="AZ104" s="588" t="str">
        <f>IFERROR(INDEX(Param!$A$31:$C$35,MATCH($AY104,Param!$C$31:$C$35,0),1),"-")</f>
        <v>-</v>
      </c>
      <c r="BA104" s="588" t="str">
        <f>IFERROR(IF(INDEX(Scénarios!$B$2:$AI$232,MATCH($S104,Scénarios!$AI$2:$AI$232,0),MATCH(BA$4,Scénarios!$B$4:$AI$4,0))=0,"",INDEX(Scénarios!$B$2:$AI$232,MATCH($S104,Scénarios!$AI$2:$AI$232,0),MATCH(BA$4,Scénarios!$B$4:$AI$4,0))),"-")</f>
        <v>-</v>
      </c>
      <c r="BB104" s="443" t="str">
        <f>IFERROR(IF(INDEX(Scénarios!$B$2:$AK$237,MATCH($S104,Scénarios!$AI$2:$AI$237,0),MATCH(BB$4,Scénarios!$B$4:$AK$4,0))=0,"",INDEX(Scénarios!$B$2:$AK$237,MATCH($S104,Scénarios!$AI$2:$AI$237,0),MATCH(BB$4,Scénarios!$B$4:$AK$4,0))),"-")</f>
        <v>-</v>
      </c>
      <c r="BC104" s="443" t="str">
        <f>IFERROR(INDEX(Scénarios!$B$2:$AV$232,MATCH($S104,Scénarios!$AI$2:$AI$232,0),MATCH(BC$4,Scénarios!$B$4:$AV$4,0)),"-")</f>
        <v>-</v>
      </c>
    </row>
    <row r="105" spans="15:55" ht="25.5" customHeight="1" x14ac:dyDescent="0.25">
      <c r="O105" s="604" t="str">
        <f t="shared" si="1"/>
        <v>Fiche R101 sans décision :
Veuillez ajouter une décision</v>
      </c>
      <c r="P105" s="609" t="s">
        <v>2188</v>
      </c>
      <c r="Q105" s="605" t="s">
        <v>2067</v>
      </c>
      <c r="R105" s="585" t="s">
        <v>2068</v>
      </c>
      <c r="S105" s="587" t="s">
        <v>2139</v>
      </c>
      <c r="T105" s="588" t="str">
        <f>IFERROR(INDEX(Tab_sel!$B$7:$C$18,MATCH($AB105,Tab_sel!$C$7:$C$18,0),1),"-")</f>
        <v>-</v>
      </c>
      <c r="U105" s="589" t="str">
        <f>IFERROR(INDEX(Scénarios!$B$2:$AI$232,MATCH($S105,Scénarios!$AI$2:$AI$232,0),MATCH(U$4,Scénarios!$B$4:$AI$4,0)),"-")</f>
        <v>-</v>
      </c>
      <c r="V105" s="588" t="str">
        <f>IFERROR(INDEX(Scénarios!$B$2:$AI$232,MATCH($S105,Scénarios!$AI$2:$AI$232,0),MATCH(V$4,Scénarios!$B$4:$AI$4,0)),"-")</f>
        <v>-</v>
      </c>
      <c r="W105" s="588" t="str">
        <f>IFERROR(INDEX(Scénarios!$B$2:$AI$232,MATCH($S105,Scénarios!$AI$2:$AI$232,0),MATCH(W$4,Scénarios!$B$4:$AI$4,0)),"-")</f>
        <v>-</v>
      </c>
      <c r="X105" s="588" t="str">
        <f>IFERROR(VLOOKUP(AD105,Expo!$D$4:$E$35,2,FALSE),"-")</f>
        <v>-</v>
      </c>
      <c r="Y105" s="859" t="str">
        <f>IFERROR(IF(INDEX(Scénarios!$B$2:$AI$232,MATCH($S105,Scénarios!$AI$2:$AI$232,0),MATCH(Y$4,Scénarios!$B$4:$AI$4,0))=0,"",INDEX(Scénarios!$B$2:$AI$232,MATCH($S105,Scénarios!$AI$2:$AI$232,0),MATCH(Y$4,Scénarios!$B$4:$AI$4,0))),"-")</f>
        <v>-</v>
      </c>
      <c r="Z105" s="589" t="str">
        <f>IFERROR(INDEX(Scénarios!$B$2:$AI$232,MATCH($S105,Scénarios!$AI$2:$AI$232,0),MATCH(Z$4,Scénarios!$B$4:$AI$4,0)),"-")</f>
        <v>-</v>
      </c>
      <c r="AA105" s="589" t="str">
        <f>IFERROR(INDEX(Scénarios!$B$2:$AI$232,MATCH($S105,Scénarios!$AI$2:$AI$232,0),MATCH(AA$4,Scénarios!$B$4:$AI$4,0)),"-")</f>
        <v>-</v>
      </c>
      <c r="AB105" s="586" t="str">
        <f>IFERROR(INDEX(Scénarios!$B$2:$AI$232,MATCH($S105,Scénarios!$AI$2:$AI$232,0),MATCH(AB$4,Scénarios!$B$4:$AI$4,0)),"-")</f>
        <v>-</v>
      </c>
      <c r="AC105" s="442" t="str">
        <f>IFERROR(INDEX(Tab_sel!$B$24:$C$27,MATCH($U105,Tab_sel!$C$24:$C$27,0),1),"-")</f>
        <v>-</v>
      </c>
      <c r="AD105" s="443" t="str">
        <f>IFERROR(INDEX(Scénarios!$B$2:$AI$232,MATCH($S105,Scénarios!$AI$2:$AI$232,0),MATCH(AD$4,Scénarios!$B$4:$AI$4,0)),"-")</f>
        <v>-</v>
      </c>
      <c r="AE105" s="460" t="str">
        <f>IFERROR(INDEX(Scénarios!$B$2:$AI$232,MATCH($S105,Scénarios!$AI$2:$AI$232,0),MATCH(AE$4,Scénarios!$B$4:$AI$4,0)),"-")</f>
        <v>-</v>
      </c>
      <c r="AF105" s="460" t="str">
        <f>IFERROR(INDEX(Scénarios!$B$2:$AI$232,MATCH($S105,Scénarios!$AI$2:$AI$232,0),MATCH(AF$4,Scénarios!$B$4:$AI$4,0)),"-")</f>
        <v>-</v>
      </c>
      <c r="AG105" s="460" t="str">
        <f>IFERROR(INDEX(Scénarios!$B$2:$AI$232,MATCH($S105,Scénarios!$AI$2:$AI$232,0),MATCH(AG$4,Scénarios!$B$4:$AI$4,0)),"-")</f>
        <v>-</v>
      </c>
      <c r="AH105" s="460" t="str">
        <f>IFERROR(INDEX(Scénarios!$B$2:$AI$232,MATCH($S105,Scénarios!$AI$2:$AI$232,0),MATCH(AH$4,Scénarios!$B$4:$AI$4,0)),"-")</f>
        <v>-</v>
      </c>
      <c r="AI105" s="443" t="str">
        <f>IFERROR(INDEX(Scénarios!$B$2:$AI$232,MATCH($S105,Scénarios!$AI$2:$AI$232,0),MATCH(AI$4,Scénarios!$B$4:$AI$4,0)),"-")</f>
        <v>-</v>
      </c>
      <c r="AJ105" s="443" t="str">
        <f>IFERROR(INDEX(Param!$A$3:$C$7,MATCH($AI105,Param!$C$3:$C$7,0),1),"-")</f>
        <v>-</v>
      </c>
      <c r="AK105" s="443" t="str">
        <f>IFERROR(INDEX(Scénarios!$B$2:$AI$232,MATCH($S105,Scénarios!$AI$2:$AI$232,0),MATCH(AK$4,Scénarios!$B$4:$AI$4,0)),"-")</f>
        <v>-</v>
      </c>
      <c r="AL105" s="443" t="str">
        <f>IFERROR(INDEX(Scénarios!$B$2:$AI$232,MATCH($S105,Scénarios!$AI$2:$AI$232,0),MATCH(AL$4,Scénarios!$B$4:$AI$4,0)),"-")</f>
        <v>-</v>
      </c>
      <c r="AM105" s="443" t="str">
        <f>IFERROR(INDEX(Param!$A$10:$C$14,MATCH($AL105,Param!$C$10:$C$14,0),1),"-")</f>
        <v>-</v>
      </c>
      <c r="AN105" s="443" t="str">
        <f>IFERROR(IF(INDEX(Scénarios!$B$2:$AI$232,MATCH($S105,Scénarios!$AI$2:$AI$232,0),MATCH(AN$4,Scénarios!$B$4:$AI$4,0))=0,"",INDEX(Scénarios!$B$2:$AI$232,MATCH($S105,Scénarios!$AI$2:$AI$232,0),MATCH(AN$4,Scénarios!$B$4:$AI$4,0))),"-")</f>
        <v>-</v>
      </c>
      <c r="AO105" s="443" t="str">
        <f>IFERROR(INDEX(Scénarios!$B$2:$AI$232,MATCH($S105,Scénarios!$AI$2:$AI$232,0),MATCH(AO$4,Scénarios!$B$4:$AI$4,0)),"-")</f>
        <v>-</v>
      </c>
      <c r="AP105" s="443" t="str">
        <f>IFERROR(INDEX(Param!$A$17:$C$21,MATCH($AO105,Param!$C$17:$C$21,0),1),"-")</f>
        <v>-</v>
      </c>
      <c r="AQ105" s="443" t="str">
        <f>IFERROR(IF(INDEX(Scénarios!$B$2:$AI$232,MATCH($S105,Scénarios!$AI$2:$AI$232,0),MATCH(AQ$4,Scénarios!$B$4:$AI$4,0))=0,"",INDEX(Scénarios!$B$2:$AI$232,MATCH($S105,Scénarios!$AI$2:$AI$232,0),MATCH(AQ$4,Scénarios!$B$4:$AI$4,0))),"-")</f>
        <v>-</v>
      </c>
      <c r="AR105" s="443" t="str">
        <f>IFERROR(INDEX(Scénarios!$B$2:$AI$232,MATCH($S105,Scénarios!$AI$2:$AI$232,0),MATCH(AR$4,Scénarios!$B$4:$AI$4,0)),"-")</f>
        <v>-</v>
      </c>
      <c r="AS105" s="443" t="str">
        <f>IFERROR(INDEX(Param!$A$24:$C$28,MATCH($AR105,Param!$C$24:$C$28,0),1),"-")</f>
        <v>-</v>
      </c>
      <c r="AT105" s="443" t="str">
        <f>IFERROR(IF(INDEX(Scénarios!$B$2:$AI$232,MATCH($S105,Scénarios!$AI$2:$AI$232,0),MATCH(AT$4,Scénarios!$B$4:$AI$4,0))=0,"",INDEX(Scénarios!$B$2:$AI$232,MATCH($S105,Scénarios!$AI$2:$AI$232,0),MATCH(AT$4,Scénarios!$B$4:$AI$4,0))),"-")</f>
        <v>-</v>
      </c>
      <c r="AU105" s="462" t="str">
        <f>IFERROR(INDEX(Scénarios!$B$2:$AI$232,MATCH($S105,Scénarios!$AI$2:$AI$232,0),MATCH(AU$4,Scénarios!$B$4:$AI$4,0)),"-")</f>
        <v>-</v>
      </c>
      <c r="AV105" s="462" t="str">
        <f>IFERROR(INDEX(Scénarios!$B$2:$AI$232,MATCH($S105,Scénarios!$AI$2:$AI$232,0),MATCH(AV$4,Scénarios!$B$4:$AI$4,0)),"-")</f>
        <v>-</v>
      </c>
      <c r="AW105" s="462" t="str">
        <f>IFERROR(INDEX(Scénarios!$B$2:$AI$232,MATCH($S105,Scénarios!$AI$2:$AI$232,0),MATCH(AW$4,Scénarios!$B$4:$AI$4,0)),"-")</f>
        <v>-</v>
      </c>
      <c r="AX105" s="462" t="str">
        <f>IFERROR(INDEX(Scénarios!$B$2:$AI$232,MATCH($S105,Scénarios!$AI$2:$AI$232,0),MATCH(AX$4,Scénarios!$B$4:$AI$4,0)),"-")</f>
        <v>-</v>
      </c>
      <c r="AY105" s="443" t="str">
        <f>IFERROR(INDEX(Scénarios!$B$2:$AI$232,MATCH($S105,Scénarios!$AI$2:$AI$232,0),MATCH(AY$4,Scénarios!$B$4:$AI$4,0)),"-")</f>
        <v>-</v>
      </c>
      <c r="AZ105" s="588" t="str">
        <f>IFERROR(INDEX(Param!$A$31:$C$35,MATCH($AY105,Param!$C$31:$C$35,0),1),"-")</f>
        <v>-</v>
      </c>
      <c r="BA105" s="588" t="str">
        <f>IFERROR(IF(INDEX(Scénarios!$B$2:$AI$232,MATCH($S105,Scénarios!$AI$2:$AI$232,0),MATCH(BA$4,Scénarios!$B$4:$AI$4,0))=0,"",INDEX(Scénarios!$B$2:$AI$232,MATCH($S105,Scénarios!$AI$2:$AI$232,0),MATCH(BA$4,Scénarios!$B$4:$AI$4,0))),"-")</f>
        <v>-</v>
      </c>
      <c r="BB105" s="443" t="str">
        <f>IFERROR(IF(INDEX(Scénarios!$B$2:$AK$237,MATCH($S105,Scénarios!$AI$2:$AI$237,0),MATCH(BB$4,Scénarios!$B$4:$AK$4,0))=0,"",INDEX(Scénarios!$B$2:$AK$237,MATCH($S105,Scénarios!$AI$2:$AI$237,0),MATCH(BB$4,Scénarios!$B$4:$AK$4,0))),"-")</f>
        <v>-</v>
      </c>
      <c r="BC105" s="443" t="str">
        <f>IFERROR(INDEX(Scénarios!$B$2:$AV$232,MATCH($S105,Scénarios!$AI$2:$AI$232,0),MATCH(BC$4,Scénarios!$B$4:$AV$4,0)),"-")</f>
        <v>-</v>
      </c>
    </row>
    <row r="106" spans="15:55" ht="25.5" customHeight="1" x14ac:dyDescent="0.25">
      <c r="O106" s="604" t="str">
        <f t="shared" si="1"/>
        <v>Fiche R102 sans décision :
Veuillez ajouter une décision</v>
      </c>
      <c r="P106" s="609" t="s">
        <v>2188</v>
      </c>
      <c r="Q106" s="605" t="s">
        <v>2067</v>
      </c>
      <c r="R106" s="585" t="s">
        <v>2068</v>
      </c>
      <c r="S106" s="587" t="s">
        <v>2140</v>
      </c>
      <c r="T106" s="588" t="str">
        <f>IFERROR(INDEX(Tab_sel!$B$7:$C$18,MATCH($AB106,Tab_sel!$C$7:$C$18,0),1),"-")</f>
        <v>-</v>
      </c>
      <c r="U106" s="589" t="str">
        <f>IFERROR(INDEX(Scénarios!$B$2:$AI$232,MATCH($S106,Scénarios!$AI$2:$AI$232,0),MATCH(U$4,Scénarios!$B$4:$AI$4,0)),"-")</f>
        <v>-</v>
      </c>
      <c r="V106" s="588" t="str">
        <f>IFERROR(INDEX(Scénarios!$B$2:$AI$232,MATCH($S106,Scénarios!$AI$2:$AI$232,0),MATCH(V$4,Scénarios!$B$4:$AI$4,0)),"-")</f>
        <v>-</v>
      </c>
      <c r="W106" s="588" t="str">
        <f>IFERROR(INDEX(Scénarios!$B$2:$AI$232,MATCH($S106,Scénarios!$AI$2:$AI$232,0),MATCH(W$4,Scénarios!$B$4:$AI$4,0)),"-")</f>
        <v>-</v>
      </c>
      <c r="X106" s="588" t="str">
        <f>IFERROR(VLOOKUP(AD106,Expo!$D$4:$E$35,2,FALSE),"-")</f>
        <v>-</v>
      </c>
      <c r="Y106" s="859" t="str">
        <f>IFERROR(IF(INDEX(Scénarios!$B$2:$AI$232,MATCH($S106,Scénarios!$AI$2:$AI$232,0),MATCH(Y$4,Scénarios!$B$4:$AI$4,0))=0,"",INDEX(Scénarios!$B$2:$AI$232,MATCH($S106,Scénarios!$AI$2:$AI$232,0),MATCH(Y$4,Scénarios!$B$4:$AI$4,0))),"-")</f>
        <v>-</v>
      </c>
      <c r="Z106" s="589" t="str">
        <f>IFERROR(INDEX(Scénarios!$B$2:$AI$232,MATCH($S106,Scénarios!$AI$2:$AI$232,0),MATCH(Z$4,Scénarios!$B$4:$AI$4,0)),"-")</f>
        <v>-</v>
      </c>
      <c r="AA106" s="589" t="str">
        <f>IFERROR(INDEX(Scénarios!$B$2:$AI$232,MATCH($S106,Scénarios!$AI$2:$AI$232,0),MATCH(AA$4,Scénarios!$B$4:$AI$4,0)),"-")</f>
        <v>-</v>
      </c>
      <c r="AB106" s="586" t="str">
        <f>IFERROR(INDEX(Scénarios!$B$2:$AI$232,MATCH($S106,Scénarios!$AI$2:$AI$232,0),MATCH(AB$4,Scénarios!$B$4:$AI$4,0)),"-")</f>
        <v>-</v>
      </c>
      <c r="AC106" s="442" t="str">
        <f>IFERROR(INDEX(Tab_sel!$B$24:$C$27,MATCH($U106,Tab_sel!$C$24:$C$27,0),1),"-")</f>
        <v>-</v>
      </c>
      <c r="AD106" s="443" t="str">
        <f>IFERROR(INDEX(Scénarios!$B$2:$AI$232,MATCH($S106,Scénarios!$AI$2:$AI$232,0),MATCH(AD$4,Scénarios!$B$4:$AI$4,0)),"-")</f>
        <v>-</v>
      </c>
      <c r="AE106" s="460" t="str">
        <f>IFERROR(INDEX(Scénarios!$B$2:$AI$232,MATCH($S106,Scénarios!$AI$2:$AI$232,0),MATCH(AE$4,Scénarios!$B$4:$AI$4,0)),"-")</f>
        <v>-</v>
      </c>
      <c r="AF106" s="460" t="str">
        <f>IFERROR(INDEX(Scénarios!$B$2:$AI$232,MATCH($S106,Scénarios!$AI$2:$AI$232,0),MATCH(AF$4,Scénarios!$B$4:$AI$4,0)),"-")</f>
        <v>-</v>
      </c>
      <c r="AG106" s="460" t="str">
        <f>IFERROR(INDEX(Scénarios!$B$2:$AI$232,MATCH($S106,Scénarios!$AI$2:$AI$232,0),MATCH(AG$4,Scénarios!$B$4:$AI$4,0)),"-")</f>
        <v>-</v>
      </c>
      <c r="AH106" s="460" t="str">
        <f>IFERROR(INDEX(Scénarios!$B$2:$AI$232,MATCH($S106,Scénarios!$AI$2:$AI$232,0),MATCH(AH$4,Scénarios!$B$4:$AI$4,0)),"-")</f>
        <v>-</v>
      </c>
      <c r="AI106" s="443" t="str">
        <f>IFERROR(INDEX(Scénarios!$B$2:$AI$232,MATCH($S106,Scénarios!$AI$2:$AI$232,0),MATCH(AI$4,Scénarios!$B$4:$AI$4,0)),"-")</f>
        <v>-</v>
      </c>
      <c r="AJ106" s="443" t="str">
        <f>IFERROR(INDEX(Param!$A$3:$C$7,MATCH($AI106,Param!$C$3:$C$7,0),1),"-")</f>
        <v>-</v>
      </c>
      <c r="AK106" s="443" t="str">
        <f>IFERROR(INDEX(Scénarios!$B$2:$AI$232,MATCH($S106,Scénarios!$AI$2:$AI$232,0),MATCH(AK$4,Scénarios!$B$4:$AI$4,0)),"-")</f>
        <v>-</v>
      </c>
      <c r="AL106" s="443" t="str">
        <f>IFERROR(INDEX(Scénarios!$B$2:$AI$232,MATCH($S106,Scénarios!$AI$2:$AI$232,0),MATCH(AL$4,Scénarios!$B$4:$AI$4,0)),"-")</f>
        <v>-</v>
      </c>
      <c r="AM106" s="443" t="str">
        <f>IFERROR(INDEX(Param!$A$10:$C$14,MATCH($AL106,Param!$C$10:$C$14,0),1),"-")</f>
        <v>-</v>
      </c>
      <c r="AN106" s="443" t="str">
        <f>IFERROR(IF(INDEX(Scénarios!$B$2:$AI$232,MATCH($S106,Scénarios!$AI$2:$AI$232,0),MATCH(AN$4,Scénarios!$B$4:$AI$4,0))=0,"",INDEX(Scénarios!$B$2:$AI$232,MATCH($S106,Scénarios!$AI$2:$AI$232,0),MATCH(AN$4,Scénarios!$B$4:$AI$4,0))),"-")</f>
        <v>-</v>
      </c>
      <c r="AO106" s="443" t="str">
        <f>IFERROR(INDEX(Scénarios!$B$2:$AI$232,MATCH($S106,Scénarios!$AI$2:$AI$232,0),MATCH(AO$4,Scénarios!$B$4:$AI$4,0)),"-")</f>
        <v>-</v>
      </c>
      <c r="AP106" s="443" t="str">
        <f>IFERROR(INDEX(Param!$A$17:$C$21,MATCH($AO106,Param!$C$17:$C$21,0),1),"-")</f>
        <v>-</v>
      </c>
      <c r="AQ106" s="443" t="str">
        <f>IFERROR(IF(INDEX(Scénarios!$B$2:$AI$232,MATCH($S106,Scénarios!$AI$2:$AI$232,0),MATCH(AQ$4,Scénarios!$B$4:$AI$4,0))=0,"",INDEX(Scénarios!$B$2:$AI$232,MATCH($S106,Scénarios!$AI$2:$AI$232,0),MATCH(AQ$4,Scénarios!$B$4:$AI$4,0))),"-")</f>
        <v>-</v>
      </c>
      <c r="AR106" s="443" t="str">
        <f>IFERROR(INDEX(Scénarios!$B$2:$AI$232,MATCH($S106,Scénarios!$AI$2:$AI$232,0),MATCH(AR$4,Scénarios!$B$4:$AI$4,0)),"-")</f>
        <v>-</v>
      </c>
      <c r="AS106" s="443" t="str">
        <f>IFERROR(INDEX(Param!$A$24:$C$28,MATCH($AR106,Param!$C$24:$C$28,0),1),"-")</f>
        <v>-</v>
      </c>
      <c r="AT106" s="443" t="str">
        <f>IFERROR(IF(INDEX(Scénarios!$B$2:$AI$232,MATCH($S106,Scénarios!$AI$2:$AI$232,0),MATCH(AT$4,Scénarios!$B$4:$AI$4,0))=0,"",INDEX(Scénarios!$B$2:$AI$232,MATCH($S106,Scénarios!$AI$2:$AI$232,0),MATCH(AT$4,Scénarios!$B$4:$AI$4,0))),"-")</f>
        <v>-</v>
      </c>
      <c r="AU106" s="462" t="str">
        <f>IFERROR(INDEX(Scénarios!$B$2:$AI$232,MATCH($S106,Scénarios!$AI$2:$AI$232,0),MATCH(AU$4,Scénarios!$B$4:$AI$4,0)),"-")</f>
        <v>-</v>
      </c>
      <c r="AV106" s="462" t="str">
        <f>IFERROR(INDEX(Scénarios!$B$2:$AI$232,MATCH($S106,Scénarios!$AI$2:$AI$232,0),MATCH(AV$4,Scénarios!$B$4:$AI$4,0)),"-")</f>
        <v>-</v>
      </c>
      <c r="AW106" s="462" t="str">
        <f>IFERROR(INDEX(Scénarios!$B$2:$AI$232,MATCH($S106,Scénarios!$AI$2:$AI$232,0),MATCH(AW$4,Scénarios!$B$4:$AI$4,0)),"-")</f>
        <v>-</v>
      </c>
      <c r="AX106" s="462" t="str">
        <f>IFERROR(INDEX(Scénarios!$B$2:$AI$232,MATCH($S106,Scénarios!$AI$2:$AI$232,0),MATCH(AX$4,Scénarios!$B$4:$AI$4,0)),"-")</f>
        <v>-</v>
      </c>
      <c r="AY106" s="443" t="str">
        <f>IFERROR(INDEX(Scénarios!$B$2:$AI$232,MATCH($S106,Scénarios!$AI$2:$AI$232,0),MATCH(AY$4,Scénarios!$B$4:$AI$4,0)),"-")</f>
        <v>-</v>
      </c>
      <c r="AZ106" s="588" t="str">
        <f>IFERROR(INDEX(Param!$A$31:$C$35,MATCH($AY106,Param!$C$31:$C$35,0),1),"-")</f>
        <v>-</v>
      </c>
      <c r="BA106" s="588" t="str">
        <f>IFERROR(IF(INDEX(Scénarios!$B$2:$AI$232,MATCH($S106,Scénarios!$AI$2:$AI$232,0),MATCH(BA$4,Scénarios!$B$4:$AI$4,0))=0,"",INDEX(Scénarios!$B$2:$AI$232,MATCH($S106,Scénarios!$AI$2:$AI$232,0),MATCH(BA$4,Scénarios!$B$4:$AI$4,0))),"-")</f>
        <v>-</v>
      </c>
      <c r="BB106" s="443" t="str">
        <f>IFERROR(IF(INDEX(Scénarios!$B$2:$AK$237,MATCH($S106,Scénarios!$AI$2:$AI$237,0),MATCH(BB$4,Scénarios!$B$4:$AK$4,0))=0,"",INDEX(Scénarios!$B$2:$AK$237,MATCH($S106,Scénarios!$AI$2:$AI$237,0),MATCH(BB$4,Scénarios!$B$4:$AK$4,0))),"-")</f>
        <v>-</v>
      </c>
      <c r="BC106" s="443" t="str">
        <f>IFERROR(INDEX(Scénarios!$B$2:$AV$232,MATCH($S106,Scénarios!$AI$2:$AI$232,0),MATCH(BC$4,Scénarios!$B$4:$AV$4,0)),"-")</f>
        <v>-</v>
      </c>
    </row>
    <row r="107" spans="15:55" ht="25.5" customHeight="1" x14ac:dyDescent="0.25">
      <c r="O107" s="604" t="str">
        <f t="shared" si="1"/>
        <v>Fiche R103 sans décision :
Veuillez ajouter une décision</v>
      </c>
      <c r="P107" s="609" t="s">
        <v>2188</v>
      </c>
      <c r="Q107" s="605" t="s">
        <v>2067</v>
      </c>
      <c r="R107" s="585" t="s">
        <v>2068</v>
      </c>
      <c r="S107" s="587" t="s">
        <v>2141</v>
      </c>
      <c r="T107" s="588" t="str">
        <f>IFERROR(INDEX(Tab_sel!$B$7:$C$18,MATCH($AB107,Tab_sel!$C$7:$C$18,0),1),"-")</f>
        <v>-</v>
      </c>
      <c r="U107" s="589" t="str">
        <f>IFERROR(INDEX(Scénarios!$B$2:$AI$232,MATCH($S107,Scénarios!$AI$2:$AI$232,0),MATCH(U$4,Scénarios!$B$4:$AI$4,0)),"-")</f>
        <v>-</v>
      </c>
      <c r="V107" s="588" t="str">
        <f>IFERROR(INDEX(Scénarios!$B$2:$AI$232,MATCH($S107,Scénarios!$AI$2:$AI$232,0),MATCH(V$4,Scénarios!$B$4:$AI$4,0)),"-")</f>
        <v>-</v>
      </c>
      <c r="W107" s="588" t="str">
        <f>IFERROR(INDEX(Scénarios!$B$2:$AI$232,MATCH($S107,Scénarios!$AI$2:$AI$232,0),MATCH(W$4,Scénarios!$B$4:$AI$4,0)),"-")</f>
        <v>-</v>
      </c>
      <c r="X107" s="588" t="str">
        <f>IFERROR(VLOOKUP(AD107,Expo!$D$4:$E$35,2,FALSE),"-")</f>
        <v>-</v>
      </c>
      <c r="Y107" s="859" t="str">
        <f>IFERROR(IF(INDEX(Scénarios!$B$2:$AI$232,MATCH($S107,Scénarios!$AI$2:$AI$232,0),MATCH(Y$4,Scénarios!$B$4:$AI$4,0))=0,"",INDEX(Scénarios!$B$2:$AI$232,MATCH($S107,Scénarios!$AI$2:$AI$232,0),MATCH(Y$4,Scénarios!$B$4:$AI$4,0))),"-")</f>
        <v>-</v>
      </c>
      <c r="Z107" s="589" t="str">
        <f>IFERROR(INDEX(Scénarios!$B$2:$AI$232,MATCH($S107,Scénarios!$AI$2:$AI$232,0),MATCH(Z$4,Scénarios!$B$4:$AI$4,0)),"-")</f>
        <v>-</v>
      </c>
      <c r="AA107" s="589" t="str">
        <f>IFERROR(INDEX(Scénarios!$B$2:$AI$232,MATCH($S107,Scénarios!$AI$2:$AI$232,0),MATCH(AA$4,Scénarios!$B$4:$AI$4,0)),"-")</f>
        <v>-</v>
      </c>
      <c r="AB107" s="586" t="str">
        <f>IFERROR(INDEX(Scénarios!$B$2:$AI$232,MATCH($S107,Scénarios!$AI$2:$AI$232,0),MATCH(AB$4,Scénarios!$B$4:$AI$4,0)),"-")</f>
        <v>-</v>
      </c>
      <c r="AC107" s="442" t="str">
        <f>IFERROR(INDEX(Tab_sel!$B$24:$C$27,MATCH($U107,Tab_sel!$C$24:$C$27,0),1),"-")</f>
        <v>-</v>
      </c>
      <c r="AD107" s="443" t="str">
        <f>IFERROR(INDEX(Scénarios!$B$2:$AI$232,MATCH($S107,Scénarios!$AI$2:$AI$232,0),MATCH(AD$4,Scénarios!$B$4:$AI$4,0)),"-")</f>
        <v>-</v>
      </c>
      <c r="AE107" s="460" t="str">
        <f>IFERROR(INDEX(Scénarios!$B$2:$AI$232,MATCH($S107,Scénarios!$AI$2:$AI$232,0),MATCH(AE$4,Scénarios!$B$4:$AI$4,0)),"-")</f>
        <v>-</v>
      </c>
      <c r="AF107" s="460" t="str">
        <f>IFERROR(INDEX(Scénarios!$B$2:$AI$232,MATCH($S107,Scénarios!$AI$2:$AI$232,0),MATCH(AF$4,Scénarios!$B$4:$AI$4,0)),"-")</f>
        <v>-</v>
      </c>
      <c r="AG107" s="460" t="str">
        <f>IFERROR(INDEX(Scénarios!$B$2:$AI$232,MATCH($S107,Scénarios!$AI$2:$AI$232,0),MATCH(AG$4,Scénarios!$B$4:$AI$4,0)),"-")</f>
        <v>-</v>
      </c>
      <c r="AH107" s="460" t="str">
        <f>IFERROR(INDEX(Scénarios!$B$2:$AI$232,MATCH($S107,Scénarios!$AI$2:$AI$232,0),MATCH(AH$4,Scénarios!$B$4:$AI$4,0)),"-")</f>
        <v>-</v>
      </c>
      <c r="AI107" s="443" t="str">
        <f>IFERROR(INDEX(Scénarios!$B$2:$AI$232,MATCH($S107,Scénarios!$AI$2:$AI$232,0),MATCH(AI$4,Scénarios!$B$4:$AI$4,0)),"-")</f>
        <v>-</v>
      </c>
      <c r="AJ107" s="443" t="str">
        <f>IFERROR(INDEX(Param!$A$3:$C$7,MATCH($AI107,Param!$C$3:$C$7,0),1),"-")</f>
        <v>-</v>
      </c>
      <c r="AK107" s="443" t="str">
        <f>IFERROR(INDEX(Scénarios!$B$2:$AI$232,MATCH($S107,Scénarios!$AI$2:$AI$232,0),MATCH(AK$4,Scénarios!$B$4:$AI$4,0)),"-")</f>
        <v>-</v>
      </c>
      <c r="AL107" s="443" t="str">
        <f>IFERROR(INDEX(Scénarios!$B$2:$AI$232,MATCH($S107,Scénarios!$AI$2:$AI$232,0),MATCH(AL$4,Scénarios!$B$4:$AI$4,0)),"-")</f>
        <v>-</v>
      </c>
      <c r="AM107" s="443" t="str">
        <f>IFERROR(INDEX(Param!$A$10:$C$14,MATCH($AL107,Param!$C$10:$C$14,0),1),"-")</f>
        <v>-</v>
      </c>
      <c r="AN107" s="443" t="str">
        <f>IFERROR(IF(INDEX(Scénarios!$B$2:$AI$232,MATCH($S107,Scénarios!$AI$2:$AI$232,0),MATCH(AN$4,Scénarios!$B$4:$AI$4,0))=0,"",INDEX(Scénarios!$B$2:$AI$232,MATCH($S107,Scénarios!$AI$2:$AI$232,0),MATCH(AN$4,Scénarios!$B$4:$AI$4,0))),"-")</f>
        <v>-</v>
      </c>
      <c r="AO107" s="443" t="str">
        <f>IFERROR(INDEX(Scénarios!$B$2:$AI$232,MATCH($S107,Scénarios!$AI$2:$AI$232,0),MATCH(AO$4,Scénarios!$B$4:$AI$4,0)),"-")</f>
        <v>-</v>
      </c>
      <c r="AP107" s="443" t="str">
        <f>IFERROR(INDEX(Param!$A$17:$C$21,MATCH($AO107,Param!$C$17:$C$21,0),1),"-")</f>
        <v>-</v>
      </c>
      <c r="AQ107" s="443" t="str">
        <f>IFERROR(IF(INDEX(Scénarios!$B$2:$AI$232,MATCH($S107,Scénarios!$AI$2:$AI$232,0),MATCH(AQ$4,Scénarios!$B$4:$AI$4,0))=0,"",INDEX(Scénarios!$B$2:$AI$232,MATCH($S107,Scénarios!$AI$2:$AI$232,0),MATCH(AQ$4,Scénarios!$B$4:$AI$4,0))),"-")</f>
        <v>-</v>
      </c>
      <c r="AR107" s="443" t="str">
        <f>IFERROR(INDEX(Scénarios!$B$2:$AI$232,MATCH($S107,Scénarios!$AI$2:$AI$232,0),MATCH(AR$4,Scénarios!$B$4:$AI$4,0)),"-")</f>
        <v>-</v>
      </c>
      <c r="AS107" s="443" t="str">
        <f>IFERROR(INDEX(Param!$A$24:$C$28,MATCH($AR107,Param!$C$24:$C$28,0),1),"-")</f>
        <v>-</v>
      </c>
      <c r="AT107" s="443" t="str">
        <f>IFERROR(IF(INDEX(Scénarios!$B$2:$AI$232,MATCH($S107,Scénarios!$AI$2:$AI$232,0),MATCH(AT$4,Scénarios!$B$4:$AI$4,0))=0,"",INDEX(Scénarios!$B$2:$AI$232,MATCH($S107,Scénarios!$AI$2:$AI$232,0),MATCH(AT$4,Scénarios!$B$4:$AI$4,0))),"-")</f>
        <v>-</v>
      </c>
      <c r="AU107" s="462" t="str">
        <f>IFERROR(INDEX(Scénarios!$B$2:$AI$232,MATCH($S107,Scénarios!$AI$2:$AI$232,0),MATCH(AU$4,Scénarios!$B$4:$AI$4,0)),"-")</f>
        <v>-</v>
      </c>
      <c r="AV107" s="462" t="str">
        <f>IFERROR(INDEX(Scénarios!$B$2:$AI$232,MATCH($S107,Scénarios!$AI$2:$AI$232,0),MATCH(AV$4,Scénarios!$B$4:$AI$4,0)),"-")</f>
        <v>-</v>
      </c>
      <c r="AW107" s="462" t="str">
        <f>IFERROR(INDEX(Scénarios!$B$2:$AI$232,MATCH($S107,Scénarios!$AI$2:$AI$232,0),MATCH(AW$4,Scénarios!$B$4:$AI$4,0)),"-")</f>
        <v>-</v>
      </c>
      <c r="AX107" s="462" t="str">
        <f>IFERROR(INDEX(Scénarios!$B$2:$AI$232,MATCH($S107,Scénarios!$AI$2:$AI$232,0),MATCH(AX$4,Scénarios!$B$4:$AI$4,0)),"-")</f>
        <v>-</v>
      </c>
      <c r="AY107" s="443" t="str">
        <f>IFERROR(INDEX(Scénarios!$B$2:$AI$232,MATCH($S107,Scénarios!$AI$2:$AI$232,0),MATCH(AY$4,Scénarios!$B$4:$AI$4,0)),"-")</f>
        <v>-</v>
      </c>
      <c r="AZ107" s="588" t="str">
        <f>IFERROR(INDEX(Param!$A$31:$C$35,MATCH($AY107,Param!$C$31:$C$35,0),1),"-")</f>
        <v>-</v>
      </c>
      <c r="BA107" s="588" t="str">
        <f>IFERROR(IF(INDEX(Scénarios!$B$2:$AI$232,MATCH($S107,Scénarios!$AI$2:$AI$232,0),MATCH(BA$4,Scénarios!$B$4:$AI$4,0))=0,"",INDEX(Scénarios!$B$2:$AI$232,MATCH($S107,Scénarios!$AI$2:$AI$232,0),MATCH(BA$4,Scénarios!$B$4:$AI$4,0))),"-")</f>
        <v>-</v>
      </c>
      <c r="BB107" s="443" t="str">
        <f>IFERROR(IF(INDEX(Scénarios!$B$2:$AK$237,MATCH($S107,Scénarios!$AI$2:$AI$237,0),MATCH(BB$4,Scénarios!$B$4:$AK$4,0))=0,"",INDEX(Scénarios!$B$2:$AK$237,MATCH($S107,Scénarios!$AI$2:$AI$237,0),MATCH(BB$4,Scénarios!$B$4:$AK$4,0))),"-")</f>
        <v>-</v>
      </c>
      <c r="BC107" s="443" t="str">
        <f>IFERROR(INDEX(Scénarios!$B$2:$AV$232,MATCH($S107,Scénarios!$AI$2:$AI$232,0),MATCH(BC$4,Scénarios!$B$4:$AV$4,0)),"-")</f>
        <v>-</v>
      </c>
    </row>
    <row r="108" spans="15:55" ht="25.5" customHeight="1" x14ac:dyDescent="0.25">
      <c r="O108" s="604" t="str">
        <f t="shared" si="1"/>
        <v>Fiche R104 sans décision :
Veuillez ajouter une décision</v>
      </c>
      <c r="P108" s="609" t="s">
        <v>2188</v>
      </c>
      <c r="Q108" s="605" t="s">
        <v>2067</v>
      </c>
      <c r="R108" s="585" t="s">
        <v>2068</v>
      </c>
      <c r="S108" s="587" t="s">
        <v>2142</v>
      </c>
      <c r="T108" s="588" t="str">
        <f>IFERROR(INDEX(Tab_sel!$B$7:$C$18,MATCH($AB108,Tab_sel!$C$7:$C$18,0),1),"-")</f>
        <v>-</v>
      </c>
      <c r="U108" s="589" t="str">
        <f>IFERROR(INDEX(Scénarios!$B$2:$AI$232,MATCH($S108,Scénarios!$AI$2:$AI$232,0),MATCH(U$4,Scénarios!$B$4:$AI$4,0)),"-")</f>
        <v>-</v>
      </c>
      <c r="V108" s="588" t="str">
        <f>IFERROR(INDEX(Scénarios!$B$2:$AI$232,MATCH($S108,Scénarios!$AI$2:$AI$232,0),MATCH(V$4,Scénarios!$B$4:$AI$4,0)),"-")</f>
        <v>-</v>
      </c>
      <c r="W108" s="588" t="str">
        <f>IFERROR(INDEX(Scénarios!$B$2:$AI$232,MATCH($S108,Scénarios!$AI$2:$AI$232,0),MATCH(W$4,Scénarios!$B$4:$AI$4,0)),"-")</f>
        <v>-</v>
      </c>
      <c r="X108" s="588" t="str">
        <f>IFERROR(VLOOKUP(AD108,Expo!$D$4:$E$35,2,FALSE),"-")</f>
        <v>-</v>
      </c>
      <c r="Y108" s="859" t="str">
        <f>IFERROR(IF(INDEX(Scénarios!$B$2:$AI$232,MATCH($S108,Scénarios!$AI$2:$AI$232,0),MATCH(Y$4,Scénarios!$B$4:$AI$4,0))=0,"",INDEX(Scénarios!$B$2:$AI$232,MATCH($S108,Scénarios!$AI$2:$AI$232,0),MATCH(Y$4,Scénarios!$B$4:$AI$4,0))),"-")</f>
        <v>-</v>
      </c>
      <c r="Z108" s="589" t="str">
        <f>IFERROR(INDEX(Scénarios!$B$2:$AI$232,MATCH($S108,Scénarios!$AI$2:$AI$232,0),MATCH(Z$4,Scénarios!$B$4:$AI$4,0)),"-")</f>
        <v>-</v>
      </c>
      <c r="AA108" s="589" t="str">
        <f>IFERROR(INDEX(Scénarios!$B$2:$AI$232,MATCH($S108,Scénarios!$AI$2:$AI$232,0),MATCH(AA$4,Scénarios!$B$4:$AI$4,0)),"-")</f>
        <v>-</v>
      </c>
      <c r="AB108" s="586" t="str">
        <f>IFERROR(INDEX(Scénarios!$B$2:$AI$232,MATCH($S108,Scénarios!$AI$2:$AI$232,0),MATCH(AB$4,Scénarios!$B$4:$AI$4,0)),"-")</f>
        <v>-</v>
      </c>
      <c r="AC108" s="442" t="str">
        <f>IFERROR(INDEX(Tab_sel!$B$24:$C$27,MATCH($U108,Tab_sel!$C$24:$C$27,0),1),"-")</f>
        <v>-</v>
      </c>
      <c r="AD108" s="443" t="str">
        <f>IFERROR(INDEX(Scénarios!$B$2:$AI$232,MATCH($S108,Scénarios!$AI$2:$AI$232,0),MATCH(AD$4,Scénarios!$B$4:$AI$4,0)),"-")</f>
        <v>-</v>
      </c>
      <c r="AE108" s="460" t="str">
        <f>IFERROR(INDEX(Scénarios!$B$2:$AI$232,MATCH($S108,Scénarios!$AI$2:$AI$232,0),MATCH(AE$4,Scénarios!$B$4:$AI$4,0)),"-")</f>
        <v>-</v>
      </c>
      <c r="AF108" s="460" t="str">
        <f>IFERROR(INDEX(Scénarios!$B$2:$AI$232,MATCH($S108,Scénarios!$AI$2:$AI$232,0),MATCH(AF$4,Scénarios!$B$4:$AI$4,0)),"-")</f>
        <v>-</v>
      </c>
      <c r="AG108" s="460" t="str">
        <f>IFERROR(INDEX(Scénarios!$B$2:$AI$232,MATCH($S108,Scénarios!$AI$2:$AI$232,0),MATCH(AG$4,Scénarios!$B$4:$AI$4,0)),"-")</f>
        <v>-</v>
      </c>
      <c r="AH108" s="460" t="str">
        <f>IFERROR(INDEX(Scénarios!$B$2:$AI$232,MATCH($S108,Scénarios!$AI$2:$AI$232,0),MATCH(AH$4,Scénarios!$B$4:$AI$4,0)),"-")</f>
        <v>-</v>
      </c>
      <c r="AI108" s="443" t="str">
        <f>IFERROR(INDEX(Scénarios!$B$2:$AI$232,MATCH($S108,Scénarios!$AI$2:$AI$232,0),MATCH(AI$4,Scénarios!$B$4:$AI$4,0)),"-")</f>
        <v>-</v>
      </c>
      <c r="AJ108" s="443" t="str">
        <f>IFERROR(INDEX(Param!$A$3:$C$7,MATCH($AI108,Param!$C$3:$C$7,0),1),"-")</f>
        <v>-</v>
      </c>
      <c r="AK108" s="443" t="str">
        <f>IFERROR(INDEX(Scénarios!$B$2:$AI$232,MATCH($S108,Scénarios!$AI$2:$AI$232,0),MATCH(AK$4,Scénarios!$B$4:$AI$4,0)),"-")</f>
        <v>-</v>
      </c>
      <c r="AL108" s="443" t="str">
        <f>IFERROR(INDEX(Scénarios!$B$2:$AI$232,MATCH($S108,Scénarios!$AI$2:$AI$232,0),MATCH(AL$4,Scénarios!$B$4:$AI$4,0)),"-")</f>
        <v>-</v>
      </c>
      <c r="AM108" s="443" t="str">
        <f>IFERROR(INDEX(Param!$A$10:$C$14,MATCH($AL108,Param!$C$10:$C$14,0),1),"-")</f>
        <v>-</v>
      </c>
      <c r="AN108" s="443" t="str">
        <f>IFERROR(IF(INDEX(Scénarios!$B$2:$AI$232,MATCH($S108,Scénarios!$AI$2:$AI$232,0),MATCH(AN$4,Scénarios!$B$4:$AI$4,0))=0,"",INDEX(Scénarios!$B$2:$AI$232,MATCH($S108,Scénarios!$AI$2:$AI$232,0),MATCH(AN$4,Scénarios!$B$4:$AI$4,0))),"-")</f>
        <v>-</v>
      </c>
      <c r="AO108" s="443" t="str">
        <f>IFERROR(INDEX(Scénarios!$B$2:$AI$232,MATCH($S108,Scénarios!$AI$2:$AI$232,0),MATCH(AO$4,Scénarios!$B$4:$AI$4,0)),"-")</f>
        <v>-</v>
      </c>
      <c r="AP108" s="443" t="str">
        <f>IFERROR(INDEX(Param!$A$17:$C$21,MATCH($AO108,Param!$C$17:$C$21,0),1),"-")</f>
        <v>-</v>
      </c>
      <c r="AQ108" s="443" t="str">
        <f>IFERROR(IF(INDEX(Scénarios!$B$2:$AI$232,MATCH($S108,Scénarios!$AI$2:$AI$232,0),MATCH(AQ$4,Scénarios!$B$4:$AI$4,0))=0,"",INDEX(Scénarios!$B$2:$AI$232,MATCH($S108,Scénarios!$AI$2:$AI$232,0),MATCH(AQ$4,Scénarios!$B$4:$AI$4,0))),"-")</f>
        <v>-</v>
      </c>
      <c r="AR108" s="443" t="str">
        <f>IFERROR(INDEX(Scénarios!$B$2:$AI$232,MATCH($S108,Scénarios!$AI$2:$AI$232,0),MATCH(AR$4,Scénarios!$B$4:$AI$4,0)),"-")</f>
        <v>-</v>
      </c>
      <c r="AS108" s="443" t="str">
        <f>IFERROR(INDEX(Param!$A$24:$C$28,MATCH($AR108,Param!$C$24:$C$28,0),1),"-")</f>
        <v>-</v>
      </c>
      <c r="AT108" s="443" t="str">
        <f>IFERROR(IF(INDEX(Scénarios!$B$2:$AI$232,MATCH($S108,Scénarios!$AI$2:$AI$232,0),MATCH(AT$4,Scénarios!$B$4:$AI$4,0))=0,"",INDEX(Scénarios!$B$2:$AI$232,MATCH($S108,Scénarios!$AI$2:$AI$232,0),MATCH(AT$4,Scénarios!$B$4:$AI$4,0))),"-")</f>
        <v>-</v>
      </c>
      <c r="AU108" s="462" t="str">
        <f>IFERROR(INDEX(Scénarios!$B$2:$AI$232,MATCH($S108,Scénarios!$AI$2:$AI$232,0),MATCH(AU$4,Scénarios!$B$4:$AI$4,0)),"-")</f>
        <v>-</v>
      </c>
      <c r="AV108" s="462" t="str">
        <f>IFERROR(INDEX(Scénarios!$B$2:$AI$232,MATCH($S108,Scénarios!$AI$2:$AI$232,0),MATCH(AV$4,Scénarios!$B$4:$AI$4,0)),"-")</f>
        <v>-</v>
      </c>
      <c r="AW108" s="462" t="str">
        <f>IFERROR(INDEX(Scénarios!$B$2:$AI$232,MATCH($S108,Scénarios!$AI$2:$AI$232,0),MATCH(AW$4,Scénarios!$B$4:$AI$4,0)),"-")</f>
        <v>-</v>
      </c>
      <c r="AX108" s="462" t="str">
        <f>IFERROR(INDEX(Scénarios!$B$2:$AI$232,MATCH($S108,Scénarios!$AI$2:$AI$232,0),MATCH(AX$4,Scénarios!$B$4:$AI$4,0)),"-")</f>
        <v>-</v>
      </c>
      <c r="AY108" s="443" t="str">
        <f>IFERROR(INDEX(Scénarios!$B$2:$AI$232,MATCH($S108,Scénarios!$AI$2:$AI$232,0),MATCH(AY$4,Scénarios!$B$4:$AI$4,0)),"-")</f>
        <v>-</v>
      </c>
      <c r="AZ108" s="588" t="str">
        <f>IFERROR(INDEX(Param!$A$31:$C$35,MATCH($AY108,Param!$C$31:$C$35,0),1),"-")</f>
        <v>-</v>
      </c>
      <c r="BA108" s="588" t="str">
        <f>IFERROR(IF(INDEX(Scénarios!$B$2:$AI$232,MATCH($S108,Scénarios!$AI$2:$AI$232,0),MATCH(BA$4,Scénarios!$B$4:$AI$4,0))=0,"",INDEX(Scénarios!$B$2:$AI$232,MATCH($S108,Scénarios!$AI$2:$AI$232,0),MATCH(BA$4,Scénarios!$B$4:$AI$4,0))),"-")</f>
        <v>-</v>
      </c>
      <c r="BB108" s="443" t="str">
        <f>IFERROR(IF(INDEX(Scénarios!$B$2:$AK$237,MATCH($S108,Scénarios!$AI$2:$AI$237,0),MATCH(BB$4,Scénarios!$B$4:$AK$4,0))=0,"",INDEX(Scénarios!$B$2:$AK$237,MATCH($S108,Scénarios!$AI$2:$AI$237,0),MATCH(BB$4,Scénarios!$B$4:$AK$4,0))),"-")</f>
        <v>-</v>
      </c>
      <c r="BC108" s="443" t="str">
        <f>IFERROR(INDEX(Scénarios!$B$2:$AV$232,MATCH($S108,Scénarios!$AI$2:$AI$232,0),MATCH(BC$4,Scénarios!$B$4:$AV$4,0)),"-")</f>
        <v>-</v>
      </c>
    </row>
    <row r="109" spans="15:55" ht="25.5" customHeight="1" x14ac:dyDescent="0.25">
      <c r="O109" s="604" t="str">
        <f t="shared" si="1"/>
        <v>Fiche R105 sans décision :
Veuillez ajouter une décision</v>
      </c>
      <c r="P109" s="609" t="s">
        <v>2188</v>
      </c>
      <c r="Q109" s="605" t="s">
        <v>2067</v>
      </c>
      <c r="R109" s="585" t="s">
        <v>2068</v>
      </c>
      <c r="S109" s="587" t="s">
        <v>2143</v>
      </c>
      <c r="T109" s="588" t="str">
        <f>IFERROR(INDEX(Tab_sel!$B$7:$C$18,MATCH($AB109,Tab_sel!$C$7:$C$18,0),1),"-")</f>
        <v>-</v>
      </c>
      <c r="U109" s="589" t="str">
        <f>IFERROR(INDEX(Scénarios!$B$2:$AI$232,MATCH($S109,Scénarios!$AI$2:$AI$232,0),MATCH(U$4,Scénarios!$B$4:$AI$4,0)),"-")</f>
        <v>-</v>
      </c>
      <c r="V109" s="588" t="str">
        <f>IFERROR(INDEX(Scénarios!$B$2:$AI$232,MATCH($S109,Scénarios!$AI$2:$AI$232,0),MATCH(V$4,Scénarios!$B$4:$AI$4,0)),"-")</f>
        <v>-</v>
      </c>
      <c r="W109" s="588" t="str">
        <f>IFERROR(INDEX(Scénarios!$B$2:$AI$232,MATCH($S109,Scénarios!$AI$2:$AI$232,0),MATCH(W$4,Scénarios!$B$4:$AI$4,0)),"-")</f>
        <v>-</v>
      </c>
      <c r="X109" s="588" t="str">
        <f>IFERROR(VLOOKUP(AD109,Expo!$D$4:$E$35,2,FALSE),"-")</f>
        <v>-</v>
      </c>
      <c r="Y109" s="859" t="str">
        <f>IFERROR(IF(INDEX(Scénarios!$B$2:$AI$232,MATCH($S109,Scénarios!$AI$2:$AI$232,0),MATCH(Y$4,Scénarios!$B$4:$AI$4,0))=0,"",INDEX(Scénarios!$B$2:$AI$232,MATCH($S109,Scénarios!$AI$2:$AI$232,0),MATCH(Y$4,Scénarios!$B$4:$AI$4,0))),"-")</f>
        <v>-</v>
      </c>
      <c r="Z109" s="589" t="str">
        <f>IFERROR(INDEX(Scénarios!$B$2:$AI$232,MATCH($S109,Scénarios!$AI$2:$AI$232,0),MATCH(Z$4,Scénarios!$B$4:$AI$4,0)),"-")</f>
        <v>-</v>
      </c>
      <c r="AA109" s="589" t="str">
        <f>IFERROR(INDEX(Scénarios!$B$2:$AI$232,MATCH($S109,Scénarios!$AI$2:$AI$232,0),MATCH(AA$4,Scénarios!$B$4:$AI$4,0)),"-")</f>
        <v>-</v>
      </c>
      <c r="AB109" s="586" t="str">
        <f>IFERROR(INDEX(Scénarios!$B$2:$AI$232,MATCH($S109,Scénarios!$AI$2:$AI$232,0),MATCH(AB$4,Scénarios!$B$4:$AI$4,0)),"-")</f>
        <v>-</v>
      </c>
      <c r="AC109" s="442" t="str">
        <f>IFERROR(INDEX(Tab_sel!$B$24:$C$27,MATCH($U109,Tab_sel!$C$24:$C$27,0),1),"-")</f>
        <v>-</v>
      </c>
      <c r="AD109" s="443" t="str">
        <f>IFERROR(INDEX(Scénarios!$B$2:$AI$232,MATCH($S109,Scénarios!$AI$2:$AI$232,0),MATCH(AD$4,Scénarios!$B$4:$AI$4,0)),"-")</f>
        <v>-</v>
      </c>
      <c r="AE109" s="460" t="str">
        <f>IFERROR(INDEX(Scénarios!$B$2:$AI$232,MATCH($S109,Scénarios!$AI$2:$AI$232,0),MATCH(AE$4,Scénarios!$B$4:$AI$4,0)),"-")</f>
        <v>-</v>
      </c>
      <c r="AF109" s="460" t="str">
        <f>IFERROR(INDEX(Scénarios!$B$2:$AI$232,MATCH($S109,Scénarios!$AI$2:$AI$232,0),MATCH(AF$4,Scénarios!$B$4:$AI$4,0)),"-")</f>
        <v>-</v>
      </c>
      <c r="AG109" s="460" t="str">
        <f>IFERROR(INDEX(Scénarios!$B$2:$AI$232,MATCH($S109,Scénarios!$AI$2:$AI$232,0),MATCH(AG$4,Scénarios!$B$4:$AI$4,0)),"-")</f>
        <v>-</v>
      </c>
      <c r="AH109" s="460" t="str">
        <f>IFERROR(INDEX(Scénarios!$B$2:$AI$232,MATCH($S109,Scénarios!$AI$2:$AI$232,0),MATCH(AH$4,Scénarios!$B$4:$AI$4,0)),"-")</f>
        <v>-</v>
      </c>
      <c r="AI109" s="443" t="str">
        <f>IFERROR(INDEX(Scénarios!$B$2:$AI$232,MATCH($S109,Scénarios!$AI$2:$AI$232,0),MATCH(AI$4,Scénarios!$B$4:$AI$4,0)),"-")</f>
        <v>-</v>
      </c>
      <c r="AJ109" s="443" t="str">
        <f>IFERROR(INDEX(Param!$A$3:$C$7,MATCH($AI109,Param!$C$3:$C$7,0),1),"-")</f>
        <v>-</v>
      </c>
      <c r="AK109" s="443" t="str">
        <f>IFERROR(INDEX(Scénarios!$B$2:$AI$232,MATCH($S109,Scénarios!$AI$2:$AI$232,0),MATCH(AK$4,Scénarios!$B$4:$AI$4,0)),"-")</f>
        <v>-</v>
      </c>
      <c r="AL109" s="443" t="str">
        <f>IFERROR(INDEX(Scénarios!$B$2:$AI$232,MATCH($S109,Scénarios!$AI$2:$AI$232,0),MATCH(AL$4,Scénarios!$B$4:$AI$4,0)),"-")</f>
        <v>-</v>
      </c>
      <c r="AM109" s="443" t="str">
        <f>IFERROR(INDEX(Param!$A$10:$C$14,MATCH($AL109,Param!$C$10:$C$14,0),1),"-")</f>
        <v>-</v>
      </c>
      <c r="AN109" s="443" t="str">
        <f>IFERROR(IF(INDEX(Scénarios!$B$2:$AI$232,MATCH($S109,Scénarios!$AI$2:$AI$232,0),MATCH(AN$4,Scénarios!$B$4:$AI$4,0))=0,"",INDEX(Scénarios!$B$2:$AI$232,MATCH($S109,Scénarios!$AI$2:$AI$232,0),MATCH(AN$4,Scénarios!$B$4:$AI$4,0))),"-")</f>
        <v>-</v>
      </c>
      <c r="AO109" s="443" t="str">
        <f>IFERROR(INDEX(Scénarios!$B$2:$AI$232,MATCH($S109,Scénarios!$AI$2:$AI$232,0),MATCH(AO$4,Scénarios!$B$4:$AI$4,0)),"-")</f>
        <v>-</v>
      </c>
      <c r="AP109" s="443" t="str">
        <f>IFERROR(INDEX(Param!$A$17:$C$21,MATCH($AO109,Param!$C$17:$C$21,0),1),"-")</f>
        <v>-</v>
      </c>
      <c r="AQ109" s="443" t="str">
        <f>IFERROR(IF(INDEX(Scénarios!$B$2:$AI$232,MATCH($S109,Scénarios!$AI$2:$AI$232,0),MATCH(AQ$4,Scénarios!$B$4:$AI$4,0))=0,"",INDEX(Scénarios!$B$2:$AI$232,MATCH($S109,Scénarios!$AI$2:$AI$232,0),MATCH(AQ$4,Scénarios!$B$4:$AI$4,0))),"-")</f>
        <v>-</v>
      </c>
      <c r="AR109" s="443" t="str">
        <f>IFERROR(INDEX(Scénarios!$B$2:$AI$232,MATCH($S109,Scénarios!$AI$2:$AI$232,0),MATCH(AR$4,Scénarios!$B$4:$AI$4,0)),"-")</f>
        <v>-</v>
      </c>
      <c r="AS109" s="443" t="str">
        <f>IFERROR(INDEX(Param!$A$24:$C$28,MATCH($AR109,Param!$C$24:$C$28,0),1),"-")</f>
        <v>-</v>
      </c>
      <c r="AT109" s="443" t="str">
        <f>IFERROR(IF(INDEX(Scénarios!$B$2:$AI$232,MATCH($S109,Scénarios!$AI$2:$AI$232,0),MATCH(AT$4,Scénarios!$B$4:$AI$4,0))=0,"",INDEX(Scénarios!$B$2:$AI$232,MATCH($S109,Scénarios!$AI$2:$AI$232,0),MATCH(AT$4,Scénarios!$B$4:$AI$4,0))),"-")</f>
        <v>-</v>
      </c>
      <c r="AU109" s="462" t="str">
        <f>IFERROR(INDEX(Scénarios!$B$2:$AI$232,MATCH($S109,Scénarios!$AI$2:$AI$232,0),MATCH(AU$4,Scénarios!$B$4:$AI$4,0)),"-")</f>
        <v>-</v>
      </c>
      <c r="AV109" s="462" t="str">
        <f>IFERROR(INDEX(Scénarios!$B$2:$AI$232,MATCH($S109,Scénarios!$AI$2:$AI$232,0),MATCH(AV$4,Scénarios!$B$4:$AI$4,0)),"-")</f>
        <v>-</v>
      </c>
      <c r="AW109" s="462" t="str">
        <f>IFERROR(INDEX(Scénarios!$B$2:$AI$232,MATCH($S109,Scénarios!$AI$2:$AI$232,0),MATCH(AW$4,Scénarios!$B$4:$AI$4,0)),"-")</f>
        <v>-</v>
      </c>
      <c r="AX109" s="462" t="str">
        <f>IFERROR(INDEX(Scénarios!$B$2:$AI$232,MATCH($S109,Scénarios!$AI$2:$AI$232,0),MATCH(AX$4,Scénarios!$B$4:$AI$4,0)),"-")</f>
        <v>-</v>
      </c>
      <c r="AY109" s="443" t="str">
        <f>IFERROR(INDEX(Scénarios!$B$2:$AI$232,MATCH($S109,Scénarios!$AI$2:$AI$232,0),MATCH(AY$4,Scénarios!$B$4:$AI$4,0)),"-")</f>
        <v>-</v>
      </c>
      <c r="AZ109" s="588" t="str">
        <f>IFERROR(INDEX(Param!$A$31:$C$35,MATCH($AY109,Param!$C$31:$C$35,0),1),"-")</f>
        <v>-</v>
      </c>
      <c r="BA109" s="588" t="str">
        <f>IFERROR(IF(INDEX(Scénarios!$B$2:$AI$232,MATCH($S109,Scénarios!$AI$2:$AI$232,0),MATCH(BA$4,Scénarios!$B$4:$AI$4,0))=0,"",INDEX(Scénarios!$B$2:$AI$232,MATCH($S109,Scénarios!$AI$2:$AI$232,0),MATCH(BA$4,Scénarios!$B$4:$AI$4,0))),"-")</f>
        <v>-</v>
      </c>
      <c r="BB109" s="443" t="str">
        <f>IFERROR(IF(INDEX(Scénarios!$B$2:$AK$237,MATCH($S109,Scénarios!$AI$2:$AI$237,0),MATCH(BB$4,Scénarios!$B$4:$AK$4,0))=0,"",INDEX(Scénarios!$B$2:$AK$237,MATCH($S109,Scénarios!$AI$2:$AI$237,0),MATCH(BB$4,Scénarios!$B$4:$AK$4,0))),"-")</f>
        <v>-</v>
      </c>
      <c r="BC109" s="443" t="str">
        <f>IFERROR(INDEX(Scénarios!$B$2:$AV$232,MATCH($S109,Scénarios!$AI$2:$AI$232,0),MATCH(BC$4,Scénarios!$B$4:$AV$4,0)),"-")</f>
        <v>-</v>
      </c>
    </row>
    <row r="110" spans="15:55" ht="25.5" customHeight="1" x14ac:dyDescent="0.25">
      <c r="O110" s="604" t="str">
        <f t="shared" si="1"/>
        <v>Fiche R106 sans décision :
Veuillez ajouter une décision</v>
      </c>
      <c r="P110" s="609" t="s">
        <v>2188</v>
      </c>
      <c r="Q110" s="605" t="s">
        <v>2067</v>
      </c>
      <c r="R110" s="585" t="s">
        <v>2068</v>
      </c>
      <c r="S110" s="587" t="s">
        <v>2144</v>
      </c>
      <c r="T110" s="588" t="str">
        <f>IFERROR(INDEX(Tab_sel!$B$7:$C$18,MATCH($AB110,Tab_sel!$C$7:$C$18,0),1),"-")</f>
        <v>-</v>
      </c>
      <c r="U110" s="589" t="str">
        <f>IFERROR(INDEX(Scénarios!$B$2:$AI$232,MATCH($S110,Scénarios!$AI$2:$AI$232,0),MATCH(U$4,Scénarios!$B$4:$AI$4,0)),"-")</f>
        <v>-</v>
      </c>
      <c r="V110" s="588" t="str">
        <f>IFERROR(INDEX(Scénarios!$B$2:$AI$232,MATCH($S110,Scénarios!$AI$2:$AI$232,0),MATCH(V$4,Scénarios!$B$4:$AI$4,0)),"-")</f>
        <v>-</v>
      </c>
      <c r="W110" s="588" t="str">
        <f>IFERROR(INDEX(Scénarios!$B$2:$AI$232,MATCH($S110,Scénarios!$AI$2:$AI$232,0),MATCH(W$4,Scénarios!$B$4:$AI$4,0)),"-")</f>
        <v>-</v>
      </c>
      <c r="X110" s="588" t="str">
        <f>IFERROR(VLOOKUP(AD110,Expo!$D$4:$E$35,2,FALSE),"-")</f>
        <v>-</v>
      </c>
      <c r="Y110" s="859" t="str">
        <f>IFERROR(IF(INDEX(Scénarios!$B$2:$AI$232,MATCH($S110,Scénarios!$AI$2:$AI$232,0),MATCH(Y$4,Scénarios!$B$4:$AI$4,0))=0,"",INDEX(Scénarios!$B$2:$AI$232,MATCH($S110,Scénarios!$AI$2:$AI$232,0),MATCH(Y$4,Scénarios!$B$4:$AI$4,0))),"-")</f>
        <v>-</v>
      </c>
      <c r="Z110" s="589" t="str">
        <f>IFERROR(INDEX(Scénarios!$B$2:$AI$232,MATCH($S110,Scénarios!$AI$2:$AI$232,0),MATCH(Z$4,Scénarios!$B$4:$AI$4,0)),"-")</f>
        <v>-</v>
      </c>
      <c r="AA110" s="589" t="str">
        <f>IFERROR(INDEX(Scénarios!$B$2:$AI$232,MATCH($S110,Scénarios!$AI$2:$AI$232,0),MATCH(AA$4,Scénarios!$B$4:$AI$4,0)),"-")</f>
        <v>-</v>
      </c>
      <c r="AB110" s="586" t="str">
        <f>IFERROR(INDEX(Scénarios!$B$2:$AI$232,MATCH($S110,Scénarios!$AI$2:$AI$232,0),MATCH(AB$4,Scénarios!$B$4:$AI$4,0)),"-")</f>
        <v>-</v>
      </c>
      <c r="AC110" s="442" t="str">
        <f>IFERROR(INDEX(Tab_sel!$B$24:$C$27,MATCH($U110,Tab_sel!$C$24:$C$27,0),1),"-")</f>
        <v>-</v>
      </c>
      <c r="AD110" s="443" t="str">
        <f>IFERROR(INDEX(Scénarios!$B$2:$AI$232,MATCH($S110,Scénarios!$AI$2:$AI$232,0),MATCH(AD$4,Scénarios!$B$4:$AI$4,0)),"-")</f>
        <v>-</v>
      </c>
      <c r="AE110" s="460" t="str">
        <f>IFERROR(INDEX(Scénarios!$B$2:$AI$232,MATCH($S110,Scénarios!$AI$2:$AI$232,0),MATCH(AE$4,Scénarios!$B$4:$AI$4,0)),"-")</f>
        <v>-</v>
      </c>
      <c r="AF110" s="460" t="str">
        <f>IFERROR(INDEX(Scénarios!$B$2:$AI$232,MATCH($S110,Scénarios!$AI$2:$AI$232,0),MATCH(AF$4,Scénarios!$B$4:$AI$4,0)),"-")</f>
        <v>-</v>
      </c>
      <c r="AG110" s="460" t="str">
        <f>IFERROR(INDEX(Scénarios!$B$2:$AI$232,MATCH($S110,Scénarios!$AI$2:$AI$232,0),MATCH(AG$4,Scénarios!$B$4:$AI$4,0)),"-")</f>
        <v>-</v>
      </c>
      <c r="AH110" s="460" t="str">
        <f>IFERROR(INDEX(Scénarios!$B$2:$AI$232,MATCH($S110,Scénarios!$AI$2:$AI$232,0),MATCH(AH$4,Scénarios!$B$4:$AI$4,0)),"-")</f>
        <v>-</v>
      </c>
      <c r="AI110" s="443" t="str">
        <f>IFERROR(INDEX(Scénarios!$B$2:$AI$232,MATCH($S110,Scénarios!$AI$2:$AI$232,0),MATCH(AI$4,Scénarios!$B$4:$AI$4,0)),"-")</f>
        <v>-</v>
      </c>
      <c r="AJ110" s="443" t="str">
        <f>IFERROR(INDEX(Param!$A$3:$C$7,MATCH($AI110,Param!$C$3:$C$7,0),1),"-")</f>
        <v>-</v>
      </c>
      <c r="AK110" s="443" t="str">
        <f>IFERROR(INDEX(Scénarios!$B$2:$AI$232,MATCH($S110,Scénarios!$AI$2:$AI$232,0),MATCH(AK$4,Scénarios!$B$4:$AI$4,0)),"-")</f>
        <v>-</v>
      </c>
      <c r="AL110" s="443" t="str">
        <f>IFERROR(INDEX(Scénarios!$B$2:$AI$232,MATCH($S110,Scénarios!$AI$2:$AI$232,0),MATCH(AL$4,Scénarios!$B$4:$AI$4,0)),"-")</f>
        <v>-</v>
      </c>
      <c r="AM110" s="443" t="str">
        <f>IFERROR(INDEX(Param!$A$10:$C$14,MATCH($AL110,Param!$C$10:$C$14,0),1),"-")</f>
        <v>-</v>
      </c>
      <c r="AN110" s="443" t="str">
        <f>IFERROR(IF(INDEX(Scénarios!$B$2:$AI$232,MATCH($S110,Scénarios!$AI$2:$AI$232,0),MATCH(AN$4,Scénarios!$B$4:$AI$4,0))=0,"",INDEX(Scénarios!$B$2:$AI$232,MATCH($S110,Scénarios!$AI$2:$AI$232,0),MATCH(AN$4,Scénarios!$B$4:$AI$4,0))),"-")</f>
        <v>-</v>
      </c>
      <c r="AO110" s="443" t="str">
        <f>IFERROR(INDEX(Scénarios!$B$2:$AI$232,MATCH($S110,Scénarios!$AI$2:$AI$232,0),MATCH(AO$4,Scénarios!$B$4:$AI$4,0)),"-")</f>
        <v>-</v>
      </c>
      <c r="AP110" s="443" t="str">
        <f>IFERROR(INDEX(Param!$A$17:$C$21,MATCH($AO110,Param!$C$17:$C$21,0),1),"-")</f>
        <v>-</v>
      </c>
      <c r="AQ110" s="443" t="str">
        <f>IFERROR(IF(INDEX(Scénarios!$B$2:$AI$232,MATCH($S110,Scénarios!$AI$2:$AI$232,0),MATCH(AQ$4,Scénarios!$B$4:$AI$4,0))=0,"",INDEX(Scénarios!$B$2:$AI$232,MATCH($S110,Scénarios!$AI$2:$AI$232,0),MATCH(AQ$4,Scénarios!$B$4:$AI$4,0))),"-")</f>
        <v>-</v>
      </c>
      <c r="AR110" s="443" t="str">
        <f>IFERROR(INDEX(Scénarios!$B$2:$AI$232,MATCH($S110,Scénarios!$AI$2:$AI$232,0),MATCH(AR$4,Scénarios!$B$4:$AI$4,0)),"-")</f>
        <v>-</v>
      </c>
      <c r="AS110" s="443" t="str">
        <f>IFERROR(INDEX(Param!$A$24:$C$28,MATCH($AR110,Param!$C$24:$C$28,0),1),"-")</f>
        <v>-</v>
      </c>
      <c r="AT110" s="443" t="str">
        <f>IFERROR(IF(INDEX(Scénarios!$B$2:$AI$232,MATCH($S110,Scénarios!$AI$2:$AI$232,0),MATCH(AT$4,Scénarios!$B$4:$AI$4,0))=0,"",INDEX(Scénarios!$B$2:$AI$232,MATCH($S110,Scénarios!$AI$2:$AI$232,0),MATCH(AT$4,Scénarios!$B$4:$AI$4,0))),"-")</f>
        <v>-</v>
      </c>
      <c r="AU110" s="462" t="str">
        <f>IFERROR(INDEX(Scénarios!$B$2:$AI$232,MATCH($S110,Scénarios!$AI$2:$AI$232,0),MATCH(AU$4,Scénarios!$B$4:$AI$4,0)),"-")</f>
        <v>-</v>
      </c>
      <c r="AV110" s="462" t="str">
        <f>IFERROR(INDEX(Scénarios!$B$2:$AI$232,MATCH($S110,Scénarios!$AI$2:$AI$232,0),MATCH(AV$4,Scénarios!$B$4:$AI$4,0)),"-")</f>
        <v>-</v>
      </c>
      <c r="AW110" s="462" t="str">
        <f>IFERROR(INDEX(Scénarios!$B$2:$AI$232,MATCH($S110,Scénarios!$AI$2:$AI$232,0),MATCH(AW$4,Scénarios!$B$4:$AI$4,0)),"-")</f>
        <v>-</v>
      </c>
      <c r="AX110" s="462" t="str">
        <f>IFERROR(INDEX(Scénarios!$B$2:$AI$232,MATCH($S110,Scénarios!$AI$2:$AI$232,0),MATCH(AX$4,Scénarios!$B$4:$AI$4,0)),"-")</f>
        <v>-</v>
      </c>
      <c r="AY110" s="443" t="str">
        <f>IFERROR(INDEX(Scénarios!$B$2:$AI$232,MATCH($S110,Scénarios!$AI$2:$AI$232,0),MATCH(AY$4,Scénarios!$B$4:$AI$4,0)),"-")</f>
        <v>-</v>
      </c>
      <c r="AZ110" s="588" t="str">
        <f>IFERROR(INDEX(Param!$A$31:$C$35,MATCH($AY110,Param!$C$31:$C$35,0),1),"-")</f>
        <v>-</v>
      </c>
      <c r="BA110" s="588" t="str">
        <f>IFERROR(IF(INDEX(Scénarios!$B$2:$AI$232,MATCH($S110,Scénarios!$AI$2:$AI$232,0),MATCH(BA$4,Scénarios!$B$4:$AI$4,0))=0,"",INDEX(Scénarios!$B$2:$AI$232,MATCH($S110,Scénarios!$AI$2:$AI$232,0),MATCH(BA$4,Scénarios!$B$4:$AI$4,0))),"-")</f>
        <v>-</v>
      </c>
      <c r="BB110" s="443" t="str">
        <f>IFERROR(IF(INDEX(Scénarios!$B$2:$AK$237,MATCH($S110,Scénarios!$AI$2:$AI$237,0),MATCH(BB$4,Scénarios!$B$4:$AK$4,0))=0,"",INDEX(Scénarios!$B$2:$AK$237,MATCH($S110,Scénarios!$AI$2:$AI$237,0),MATCH(BB$4,Scénarios!$B$4:$AK$4,0))),"-")</f>
        <v>-</v>
      </c>
      <c r="BC110" s="443" t="str">
        <f>IFERROR(INDEX(Scénarios!$B$2:$AV$232,MATCH($S110,Scénarios!$AI$2:$AI$232,0),MATCH(BC$4,Scénarios!$B$4:$AV$4,0)),"-")</f>
        <v>-</v>
      </c>
    </row>
    <row r="111" spans="15:55" ht="25.5" customHeight="1" x14ac:dyDescent="0.25">
      <c r="O111" s="604" t="str">
        <f t="shared" si="1"/>
        <v>Fiche R107 sans décision :
Veuillez ajouter une décision</v>
      </c>
      <c r="P111" s="609" t="s">
        <v>2188</v>
      </c>
      <c r="Q111" s="605" t="s">
        <v>2067</v>
      </c>
      <c r="R111" s="585" t="s">
        <v>2068</v>
      </c>
      <c r="S111" s="587" t="s">
        <v>2145</v>
      </c>
      <c r="T111" s="588" t="str">
        <f>IFERROR(INDEX(Tab_sel!$B$7:$C$18,MATCH($AB111,Tab_sel!$C$7:$C$18,0),1),"-")</f>
        <v>-</v>
      </c>
      <c r="U111" s="589" t="str">
        <f>IFERROR(INDEX(Scénarios!$B$2:$AI$232,MATCH($S111,Scénarios!$AI$2:$AI$232,0),MATCH(U$4,Scénarios!$B$4:$AI$4,0)),"-")</f>
        <v>-</v>
      </c>
      <c r="V111" s="588" t="str">
        <f>IFERROR(INDEX(Scénarios!$B$2:$AI$232,MATCH($S111,Scénarios!$AI$2:$AI$232,0),MATCH(V$4,Scénarios!$B$4:$AI$4,0)),"-")</f>
        <v>-</v>
      </c>
      <c r="W111" s="588" t="str">
        <f>IFERROR(INDEX(Scénarios!$B$2:$AI$232,MATCH($S111,Scénarios!$AI$2:$AI$232,0),MATCH(W$4,Scénarios!$B$4:$AI$4,0)),"-")</f>
        <v>-</v>
      </c>
      <c r="X111" s="588" t="str">
        <f>IFERROR(VLOOKUP(AD111,Expo!$D$4:$E$35,2,FALSE),"-")</f>
        <v>-</v>
      </c>
      <c r="Y111" s="859" t="str">
        <f>IFERROR(IF(INDEX(Scénarios!$B$2:$AI$232,MATCH($S111,Scénarios!$AI$2:$AI$232,0),MATCH(Y$4,Scénarios!$B$4:$AI$4,0))=0,"",INDEX(Scénarios!$B$2:$AI$232,MATCH($S111,Scénarios!$AI$2:$AI$232,0),MATCH(Y$4,Scénarios!$B$4:$AI$4,0))),"-")</f>
        <v>-</v>
      </c>
      <c r="Z111" s="589" t="str">
        <f>IFERROR(INDEX(Scénarios!$B$2:$AI$232,MATCH($S111,Scénarios!$AI$2:$AI$232,0),MATCH(Z$4,Scénarios!$B$4:$AI$4,0)),"-")</f>
        <v>-</v>
      </c>
      <c r="AA111" s="589" t="str">
        <f>IFERROR(INDEX(Scénarios!$B$2:$AI$232,MATCH($S111,Scénarios!$AI$2:$AI$232,0),MATCH(AA$4,Scénarios!$B$4:$AI$4,0)),"-")</f>
        <v>-</v>
      </c>
      <c r="AB111" s="586" t="str">
        <f>IFERROR(INDEX(Scénarios!$B$2:$AI$232,MATCH($S111,Scénarios!$AI$2:$AI$232,0),MATCH(AB$4,Scénarios!$B$4:$AI$4,0)),"-")</f>
        <v>-</v>
      </c>
      <c r="AC111" s="442" t="str">
        <f>IFERROR(INDEX(Tab_sel!$B$24:$C$27,MATCH($U111,Tab_sel!$C$24:$C$27,0),1),"-")</f>
        <v>-</v>
      </c>
      <c r="AD111" s="443" t="str">
        <f>IFERROR(INDEX(Scénarios!$B$2:$AI$232,MATCH($S111,Scénarios!$AI$2:$AI$232,0),MATCH(AD$4,Scénarios!$B$4:$AI$4,0)),"-")</f>
        <v>-</v>
      </c>
      <c r="AE111" s="460" t="str">
        <f>IFERROR(INDEX(Scénarios!$B$2:$AI$232,MATCH($S111,Scénarios!$AI$2:$AI$232,0),MATCH(AE$4,Scénarios!$B$4:$AI$4,0)),"-")</f>
        <v>-</v>
      </c>
      <c r="AF111" s="460" t="str">
        <f>IFERROR(INDEX(Scénarios!$B$2:$AI$232,MATCH($S111,Scénarios!$AI$2:$AI$232,0),MATCH(AF$4,Scénarios!$B$4:$AI$4,0)),"-")</f>
        <v>-</v>
      </c>
      <c r="AG111" s="460" t="str">
        <f>IFERROR(INDEX(Scénarios!$B$2:$AI$232,MATCH($S111,Scénarios!$AI$2:$AI$232,0),MATCH(AG$4,Scénarios!$B$4:$AI$4,0)),"-")</f>
        <v>-</v>
      </c>
      <c r="AH111" s="460" t="str">
        <f>IFERROR(INDEX(Scénarios!$B$2:$AI$232,MATCH($S111,Scénarios!$AI$2:$AI$232,0),MATCH(AH$4,Scénarios!$B$4:$AI$4,0)),"-")</f>
        <v>-</v>
      </c>
      <c r="AI111" s="443" t="str">
        <f>IFERROR(INDEX(Scénarios!$B$2:$AI$232,MATCH($S111,Scénarios!$AI$2:$AI$232,0),MATCH(AI$4,Scénarios!$B$4:$AI$4,0)),"-")</f>
        <v>-</v>
      </c>
      <c r="AJ111" s="443" t="str">
        <f>IFERROR(INDEX(Param!$A$3:$C$7,MATCH($AI111,Param!$C$3:$C$7,0),1),"-")</f>
        <v>-</v>
      </c>
      <c r="AK111" s="443" t="str">
        <f>IFERROR(INDEX(Scénarios!$B$2:$AI$232,MATCH($S111,Scénarios!$AI$2:$AI$232,0),MATCH(AK$4,Scénarios!$B$4:$AI$4,0)),"-")</f>
        <v>-</v>
      </c>
      <c r="AL111" s="443" t="str">
        <f>IFERROR(INDEX(Scénarios!$B$2:$AI$232,MATCH($S111,Scénarios!$AI$2:$AI$232,0),MATCH(AL$4,Scénarios!$B$4:$AI$4,0)),"-")</f>
        <v>-</v>
      </c>
      <c r="AM111" s="443" t="str">
        <f>IFERROR(INDEX(Param!$A$10:$C$14,MATCH($AL111,Param!$C$10:$C$14,0),1),"-")</f>
        <v>-</v>
      </c>
      <c r="AN111" s="443" t="str">
        <f>IFERROR(IF(INDEX(Scénarios!$B$2:$AI$232,MATCH($S111,Scénarios!$AI$2:$AI$232,0),MATCH(AN$4,Scénarios!$B$4:$AI$4,0))=0,"",INDEX(Scénarios!$B$2:$AI$232,MATCH($S111,Scénarios!$AI$2:$AI$232,0),MATCH(AN$4,Scénarios!$B$4:$AI$4,0))),"-")</f>
        <v>-</v>
      </c>
      <c r="AO111" s="443" t="str">
        <f>IFERROR(INDEX(Scénarios!$B$2:$AI$232,MATCH($S111,Scénarios!$AI$2:$AI$232,0),MATCH(AO$4,Scénarios!$B$4:$AI$4,0)),"-")</f>
        <v>-</v>
      </c>
      <c r="AP111" s="443" t="str">
        <f>IFERROR(INDEX(Param!$A$17:$C$21,MATCH($AO111,Param!$C$17:$C$21,0),1),"-")</f>
        <v>-</v>
      </c>
      <c r="AQ111" s="443" t="str">
        <f>IFERROR(IF(INDEX(Scénarios!$B$2:$AI$232,MATCH($S111,Scénarios!$AI$2:$AI$232,0),MATCH(AQ$4,Scénarios!$B$4:$AI$4,0))=0,"",INDEX(Scénarios!$B$2:$AI$232,MATCH($S111,Scénarios!$AI$2:$AI$232,0),MATCH(AQ$4,Scénarios!$B$4:$AI$4,0))),"-")</f>
        <v>-</v>
      </c>
      <c r="AR111" s="443" t="str">
        <f>IFERROR(INDEX(Scénarios!$B$2:$AI$232,MATCH($S111,Scénarios!$AI$2:$AI$232,0),MATCH(AR$4,Scénarios!$B$4:$AI$4,0)),"-")</f>
        <v>-</v>
      </c>
      <c r="AS111" s="443" t="str">
        <f>IFERROR(INDEX(Param!$A$24:$C$28,MATCH($AR111,Param!$C$24:$C$28,0),1),"-")</f>
        <v>-</v>
      </c>
      <c r="AT111" s="443" t="str">
        <f>IFERROR(IF(INDEX(Scénarios!$B$2:$AI$232,MATCH($S111,Scénarios!$AI$2:$AI$232,0),MATCH(AT$4,Scénarios!$B$4:$AI$4,0))=0,"",INDEX(Scénarios!$B$2:$AI$232,MATCH($S111,Scénarios!$AI$2:$AI$232,0),MATCH(AT$4,Scénarios!$B$4:$AI$4,0))),"-")</f>
        <v>-</v>
      </c>
      <c r="AU111" s="462" t="str">
        <f>IFERROR(INDEX(Scénarios!$B$2:$AI$232,MATCH($S111,Scénarios!$AI$2:$AI$232,0),MATCH(AU$4,Scénarios!$B$4:$AI$4,0)),"-")</f>
        <v>-</v>
      </c>
      <c r="AV111" s="462" t="str">
        <f>IFERROR(INDEX(Scénarios!$B$2:$AI$232,MATCH($S111,Scénarios!$AI$2:$AI$232,0),MATCH(AV$4,Scénarios!$B$4:$AI$4,0)),"-")</f>
        <v>-</v>
      </c>
      <c r="AW111" s="462" t="str">
        <f>IFERROR(INDEX(Scénarios!$B$2:$AI$232,MATCH($S111,Scénarios!$AI$2:$AI$232,0),MATCH(AW$4,Scénarios!$B$4:$AI$4,0)),"-")</f>
        <v>-</v>
      </c>
      <c r="AX111" s="462" t="str">
        <f>IFERROR(INDEX(Scénarios!$B$2:$AI$232,MATCH($S111,Scénarios!$AI$2:$AI$232,0),MATCH(AX$4,Scénarios!$B$4:$AI$4,0)),"-")</f>
        <v>-</v>
      </c>
      <c r="AY111" s="443" t="str">
        <f>IFERROR(INDEX(Scénarios!$B$2:$AI$232,MATCH($S111,Scénarios!$AI$2:$AI$232,0),MATCH(AY$4,Scénarios!$B$4:$AI$4,0)),"-")</f>
        <v>-</v>
      </c>
      <c r="AZ111" s="588" t="str">
        <f>IFERROR(INDEX(Param!$A$31:$C$35,MATCH($AY111,Param!$C$31:$C$35,0),1),"-")</f>
        <v>-</v>
      </c>
      <c r="BA111" s="588" t="str">
        <f>IFERROR(IF(INDEX(Scénarios!$B$2:$AI$232,MATCH($S111,Scénarios!$AI$2:$AI$232,0),MATCH(BA$4,Scénarios!$B$4:$AI$4,0))=0,"",INDEX(Scénarios!$B$2:$AI$232,MATCH($S111,Scénarios!$AI$2:$AI$232,0),MATCH(BA$4,Scénarios!$B$4:$AI$4,0))),"-")</f>
        <v>-</v>
      </c>
      <c r="BB111" s="443" t="str">
        <f>IFERROR(IF(INDEX(Scénarios!$B$2:$AK$237,MATCH($S111,Scénarios!$AI$2:$AI$237,0),MATCH(BB$4,Scénarios!$B$4:$AK$4,0))=0,"",INDEX(Scénarios!$B$2:$AK$237,MATCH($S111,Scénarios!$AI$2:$AI$237,0),MATCH(BB$4,Scénarios!$B$4:$AK$4,0))),"-")</f>
        <v>-</v>
      </c>
      <c r="BC111" s="443" t="str">
        <f>IFERROR(INDEX(Scénarios!$B$2:$AV$232,MATCH($S111,Scénarios!$AI$2:$AI$232,0),MATCH(BC$4,Scénarios!$B$4:$AV$4,0)),"-")</f>
        <v>-</v>
      </c>
    </row>
    <row r="112" spans="15:55" ht="25.5" customHeight="1" x14ac:dyDescent="0.25">
      <c r="O112" s="604" t="str">
        <f t="shared" si="1"/>
        <v>Fiche R108 sans décision :
Veuillez ajouter une décision</v>
      </c>
      <c r="P112" s="609" t="s">
        <v>2188</v>
      </c>
      <c r="Q112" s="605" t="s">
        <v>2067</v>
      </c>
      <c r="R112" s="585" t="s">
        <v>2068</v>
      </c>
      <c r="S112" s="587" t="s">
        <v>2146</v>
      </c>
      <c r="T112" s="588" t="str">
        <f>IFERROR(INDEX(Tab_sel!$B$7:$C$18,MATCH($AB112,Tab_sel!$C$7:$C$18,0),1),"-")</f>
        <v>-</v>
      </c>
      <c r="U112" s="589" t="str">
        <f>IFERROR(INDEX(Scénarios!$B$2:$AI$232,MATCH($S112,Scénarios!$AI$2:$AI$232,0),MATCH(U$4,Scénarios!$B$4:$AI$4,0)),"-")</f>
        <v>-</v>
      </c>
      <c r="V112" s="588" t="str">
        <f>IFERROR(INDEX(Scénarios!$B$2:$AI$232,MATCH($S112,Scénarios!$AI$2:$AI$232,0),MATCH(V$4,Scénarios!$B$4:$AI$4,0)),"-")</f>
        <v>-</v>
      </c>
      <c r="W112" s="588" t="str">
        <f>IFERROR(INDEX(Scénarios!$B$2:$AI$232,MATCH($S112,Scénarios!$AI$2:$AI$232,0),MATCH(W$4,Scénarios!$B$4:$AI$4,0)),"-")</f>
        <v>-</v>
      </c>
      <c r="X112" s="588" t="str">
        <f>IFERROR(VLOOKUP(AD112,Expo!$D$4:$E$35,2,FALSE),"-")</f>
        <v>-</v>
      </c>
      <c r="Y112" s="859" t="str">
        <f>IFERROR(IF(INDEX(Scénarios!$B$2:$AI$232,MATCH($S112,Scénarios!$AI$2:$AI$232,0),MATCH(Y$4,Scénarios!$B$4:$AI$4,0))=0,"",INDEX(Scénarios!$B$2:$AI$232,MATCH($S112,Scénarios!$AI$2:$AI$232,0),MATCH(Y$4,Scénarios!$B$4:$AI$4,0))),"-")</f>
        <v>-</v>
      </c>
      <c r="Z112" s="589" t="str">
        <f>IFERROR(INDEX(Scénarios!$B$2:$AI$232,MATCH($S112,Scénarios!$AI$2:$AI$232,0),MATCH(Z$4,Scénarios!$B$4:$AI$4,0)),"-")</f>
        <v>-</v>
      </c>
      <c r="AA112" s="589" t="str">
        <f>IFERROR(INDEX(Scénarios!$B$2:$AI$232,MATCH($S112,Scénarios!$AI$2:$AI$232,0),MATCH(AA$4,Scénarios!$B$4:$AI$4,0)),"-")</f>
        <v>-</v>
      </c>
      <c r="AB112" s="586" t="str">
        <f>IFERROR(INDEX(Scénarios!$B$2:$AI$232,MATCH($S112,Scénarios!$AI$2:$AI$232,0),MATCH(AB$4,Scénarios!$B$4:$AI$4,0)),"-")</f>
        <v>-</v>
      </c>
      <c r="AC112" s="442" t="str">
        <f>IFERROR(INDEX(Tab_sel!$B$24:$C$27,MATCH($U112,Tab_sel!$C$24:$C$27,0),1),"-")</f>
        <v>-</v>
      </c>
      <c r="AD112" s="443" t="str">
        <f>IFERROR(INDEX(Scénarios!$B$2:$AI$232,MATCH($S112,Scénarios!$AI$2:$AI$232,0),MATCH(AD$4,Scénarios!$B$4:$AI$4,0)),"-")</f>
        <v>-</v>
      </c>
      <c r="AE112" s="460" t="str">
        <f>IFERROR(INDEX(Scénarios!$B$2:$AI$232,MATCH($S112,Scénarios!$AI$2:$AI$232,0),MATCH(AE$4,Scénarios!$B$4:$AI$4,0)),"-")</f>
        <v>-</v>
      </c>
      <c r="AF112" s="460" t="str">
        <f>IFERROR(INDEX(Scénarios!$B$2:$AI$232,MATCH($S112,Scénarios!$AI$2:$AI$232,0),MATCH(AF$4,Scénarios!$B$4:$AI$4,0)),"-")</f>
        <v>-</v>
      </c>
      <c r="AG112" s="460" t="str">
        <f>IFERROR(INDEX(Scénarios!$B$2:$AI$232,MATCH($S112,Scénarios!$AI$2:$AI$232,0),MATCH(AG$4,Scénarios!$B$4:$AI$4,0)),"-")</f>
        <v>-</v>
      </c>
      <c r="AH112" s="460" t="str">
        <f>IFERROR(INDEX(Scénarios!$B$2:$AI$232,MATCH($S112,Scénarios!$AI$2:$AI$232,0),MATCH(AH$4,Scénarios!$B$4:$AI$4,0)),"-")</f>
        <v>-</v>
      </c>
      <c r="AI112" s="443" t="str">
        <f>IFERROR(INDEX(Scénarios!$B$2:$AI$232,MATCH($S112,Scénarios!$AI$2:$AI$232,0),MATCH(AI$4,Scénarios!$B$4:$AI$4,0)),"-")</f>
        <v>-</v>
      </c>
      <c r="AJ112" s="443" t="str">
        <f>IFERROR(INDEX(Param!$A$3:$C$7,MATCH($AI112,Param!$C$3:$C$7,0),1),"-")</f>
        <v>-</v>
      </c>
      <c r="AK112" s="443" t="str">
        <f>IFERROR(INDEX(Scénarios!$B$2:$AI$232,MATCH($S112,Scénarios!$AI$2:$AI$232,0),MATCH(AK$4,Scénarios!$B$4:$AI$4,0)),"-")</f>
        <v>-</v>
      </c>
      <c r="AL112" s="443" t="str">
        <f>IFERROR(INDEX(Scénarios!$B$2:$AI$232,MATCH($S112,Scénarios!$AI$2:$AI$232,0),MATCH(AL$4,Scénarios!$B$4:$AI$4,0)),"-")</f>
        <v>-</v>
      </c>
      <c r="AM112" s="443" t="str">
        <f>IFERROR(INDEX(Param!$A$10:$C$14,MATCH($AL112,Param!$C$10:$C$14,0),1),"-")</f>
        <v>-</v>
      </c>
      <c r="AN112" s="443" t="str">
        <f>IFERROR(IF(INDEX(Scénarios!$B$2:$AI$232,MATCH($S112,Scénarios!$AI$2:$AI$232,0),MATCH(AN$4,Scénarios!$B$4:$AI$4,0))=0,"",INDEX(Scénarios!$B$2:$AI$232,MATCH($S112,Scénarios!$AI$2:$AI$232,0),MATCH(AN$4,Scénarios!$B$4:$AI$4,0))),"-")</f>
        <v>-</v>
      </c>
      <c r="AO112" s="443" t="str">
        <f>IFERROR(INDEX(Scénarios!$B$2:$AI$232,MATCH($S112,Scénarios!$AI$2:$AI$232,0),MATCH(AO$4,Scénarios!$B$4:$AI$4,0)),"-")</f>
        <v>-</v>
      </c>
      <c r="AP112" s="443" t="str">
        <f>IFERROR(INDEX(Param!$A$17:$C$21,MATCH($AO112,Param!$C$17:$C$21,0),1),"-")</f>
        <v>-</v>
      </c>
      <c r="AQ112" s="443" t="str">
        <f>IFERROR(IF(INDEX(Scénarios!$B$2:$AI$232,MATCH($S112,Scénarios!$AI$2:$AI$232,0),MATCH(AQ$4,Scénarios!$B$4:$AI$4,0))=0,"",INDEX(Scénarios!$B$2:$AI$232,MATCH($S112,Scénarios!$AI$2:$AI$232,0),MATCH(AQ$4,Scénarios!$B$4:$AI$4,0))),"-")</f>
        <v>-</v>
      </c>
      <c r="AR112" s="443" t="str">
        <f>IFERROR(INDEX(Scénarios!$B$2:$AI$232,MATCH($S112,Scénarios!$AI$2:$AI$232,0),MATCH(AR$4,Scénarios!$B$4:$AI$4,0)),"-")</f>
        <v>-</v>
      </c>
      <c r="AS112" s="443" t="str">
        <f>IFERROR(INDEX(Param!$A$24:$C$28,MATCH($AR112,Param!$C$24:$C$28,0),1),"-")</f>
        <v>-</v>
      </c>
      <c r="AT112" s="443" t="str">
        <f>IFERROR(IF(INDEX(Scénarios!$B$2:$AI$232,MATCH($S112,Scénarios!$AI$2:$AI$232,0),MATCH(AT$4,Scénarios!$B$4:$AI$4,0))=0,"",INDEX(Scénarios!$B$2:$AI$232,MATCH($S112,Scénarios!$AI$2:$AI$232,0),MATCH(AT$4,Scénarios!$B$4:$AI$4,0))),"-")</f>
        <v>-</v>
      </c>
      <c r="AU112" s="462" t="str">
        <f>IFERROR(INDEX(Scénarios!$B$2:$AI$232,MATCH($S112,Scénarios!$AI$2:$AI$232,0),MATCH(AU$4,Scénarios!$B$4:$AI$4,0)),"-")</f>
        <v>-</v>
      </c>
      <c r="AV112" s="462" t="str">
        <f>IFERROR(INDEX(Scénarios!$B$2:$AI$232,MATCH($S112,Scénarios!$AI$2:$AI$232,0),MATCH(AV$4,Scénarios!$B$4:$AI$4,0)),"-")</f>
        <v>-</v>
      </c>
      <c r="AW112" s="462" t="str">
        <f>IFERROR(INDEX(Scénarios!$B$2:$AI$232,MATCH($S112,Scénarios!$AI$2:$AI$232,0),MATCH(AW$4,Scénarios!$B$4:$AI$4,0)),"-")</f>
        <v>-</v>
      </c>
      <c r="AX112" s="462" t="str">
        <f>IFERROR(INDEX(Scénarios!$B$2:$AI$232,MATCH($S112,Scénarios!$AI$2:$AI$232,0),MATCH(AX$4,Scénarios!$B$4:$AI$4,0)),"-")</f>
        <v>-</v>
      </c>
      <c r="AY112" s="443" t="str">
        <f>IFERROR(INDEX(Scénarios!$B$2:$AI$232,MATCH($S112,Scénarios!$AI$2:$AI$232,0),MATCH(AY$4,Scénarios!$B$4:$AI$4,0)),"-")</f>
        <v>-</v>
      </c>
      <c r="AZ112" s="588" t="str">
        <f>IFERROR(INDEX(Param!$A$31:$C$35,MATCH($AY112,Param!$C$31:$C$35,0),1),"-")</f>
        <v>-</v>
      </c>
      <c r="BA112" s="588" t="str">
        <f>IFERROR(IF(INDEX(Scénarios!$B$2:$AI$232,MATCH($S112,Scénarios!$AI$2:$AI$232,0),MATCH(BA$4,Scénarios!$B$4:$AI$4,0))=0,"",INDEX(Scénarios!$B$2:$AI$232,MATCH($S112,Scénarios!$AI$2:$AI$232,0),MATCH(BA$4,Scénarios!$B$4:$AI$4,0))),"-")</f>
        <v>-</v>
      </c>
      <c r="BB112" s="443" t="str">
        <f>IFERROR(IF(INDEX(Scénarios!$B$2:$AK$237,MATCH($S112,Scénarios!$AI$2:$AI$237,0),MATCH(BB$4,Scénarios!$B$4:$AK$4,0))=0,"",INDEX(Scénarios!$B$2:$AK$237,MATCH($S112,Scénarios!$AI$2:$AI$237,0),MATCH(BB$4,Scénarios!$B$4:$AK$4,0))),"-")</f>
        <v>-</v>
      </c>
      <c r="BC112" s="443" t="str">
        <f>IFERROR(INDEX(Scénarios!$B$2:$AV$232,MATCH($S112,Scénarios!$AI$2:$AI$232,0),MATCH(BC$4,Scénarios!$B$4:$AV$4,0)),"-")</f>
        <v>-</v>
      </c>
    </row>
    <row r="113" spans="15:55" ht="25.5" customHeight="1" x14ac:dyDescent="0.25">
      <c r="O113" s="604" t="str">
        <f t="shared" si="1"/>
        <v>Fiche R109 sans décision :
Veuillez ajouter une décision</v>
      </c>
      <c r="P113" s="609" t="s">
        <v>2188</v>
      </c>
      <c r="Q113" s="605" t="s">
        <v>2067</v>
      </c>
      <c r="R113" s="585" t="s">
        <v>2068</v>
      </c>
      <c r="S113" s="587" t="s">
        <v>2147</v>
      </c>
      <c r="T113" s="588" t="str">
        <f>IFERROR(INDEX(Tab_sel!$B$7:$C$18,MATCH($AB113,Tab_sel!$C$7:$C$18,0),1),"-")</f>
        <v>-</v>
      </c>
      <c r="U113" s="589" t="str">
        <f>IFERROR(INDEX(Scénarios!$B$2:$AI$232,MATCH($S113,Scénarios!$AI$2:$AI$232,0),MATCH(U$4,Scénarios!$B$4:$AI$4,0)),"-")</f>
        <v>-</v>
      </c>
      <c r="V113" s="588" t="str">
        <f>IFERROR(INDEX(Scénarios!$B$2:$AI$232,MATCH($S113,Scénarios!$AI$2:$AI$232,0),MATCH(V$4,Scénarios!$B$4:$AI$4,0)),"-")</f>
        <v>-</v>
      </c>
      <c r="W113" s="588" t="str">
        <f>IFERROR(INDEX(Scénarios!$B$2:$AI$232,MATCH($S113,Scénarios!$AI$2:$AI$232,0),MATCH(W$4,Scénarios!$B$4:$AI$4,0)),"-")</f>
        <v>-</v>
      </c>
      <c r="X113" s="588" t="str">
        <f>IFERROR(VLOOKUP(AD113,Expo!$D$4:$E$35,2,FALSE),"-")</f>
        <v>-</v>
      </c>
      <c r="Y113" s="859" t="str">
        <f>IFERROR(IF(INDEX(Scénarios!$B$2:$AI$232,MATCH($S113,Scénarios!$AI$2:$AI$232,0),MATCH(Y$4,Scénarios!$B$4:$AI$4,0))=0,"",INDEX(Scénarios!$B$2:$AI$232,MATCH($S113,Scénarios!$AI$2:$AI$232,0),MATCH(Y$4,Scénarios!$B$4:$AI$4,0))),"-")</f>
        <v>-</v>
      </c>
      <c r="Z113" s="589" t="str">
        <f>IFERROR(INDEX(Scénarios!$B$2:$AI$232,MATCH($S113,Scénarios!$AI$2:$AI$232,0),MATCH(Z$4,Scénarios!$B$4:$AI$4,0)),"-")</f>
        <v>-</v>
      </c>
      <c r="AA113" s="589" t="str">
        <f>IFERROR(INDEX(Scénarios!$B$2:$AI$232,MATCH($S113,Scénarios!$AI$2:$AI$232,0),MATCH(AA$4,Scénarios!$B$4:$AI$4,0)),"-")</f>
        <v>-</v>
      </c>
      <c r="AB113" s="586" t="str">
        <f>IFERROR(INDEX(Scénarios!$B$2:$AI$232,MATCH($S113,Scénarios!$AI$2:$AI$232,0),MATCH(AB$4,Scénarios!$B$4:$AI$4,0)),"-")</f>
        <v>-</v>
      </c>
      <c r="AC113" s="442" t="str">
        <f>IFERROR(INDEX(Tab_sel!$B$24:$C$27,MATCH($U113,Tab_sel!$C$24:$C$27,0),1),"-")</f>
        <v>-</v>
      </c>
      <c r="AD113" s="443" t="str">
        <f>IFERROR(INDEX(Scénarios!$B$2:$AI$232,MATCH($S113,Scénarios!$AI$2:$AI$232,0),MATCH(AD$4,Scénarios!$B$4:$AI$4,0)),"-")</f>
        <v>-</v>
      </c>
      <c r="AE113" s="460" t="str">
        <f>IFERROR(INDEX(Scénarios!$B$2:$AI$232,MATCH($S113,Scénarios!$AI$2:$AI$232,0),MATCH(AE$4,Scénarios!$B$4:$AI$4,0)),"-")</f>
        <v>-</v>
      </c>
      <c r="AF113" s="460" t="str">
        <f>IFERROR(INDEX(Scénarios!$B$2:$AI$232,MATCH($S113,Scénarios!$AI$2:$AI$232,0),MATCH(AF$4,Scénarios!$B$4:$AI$4,0)),"-")</f>
        <v>-</v>
      </c>
      <c r="AG113" s="460" t="str">
        <f>IFERROR(INDEX(Scénarios!$B$2:$AI$232,MATCH($S113,Scénarios!$AI$2:$AI$232,0),MATCH(AG$4,Scénarios!$B$4:$AI$4,0)),"-")</f>
        <v>-</v>
      </c>
      <c r="AH113" s="460" t="str">
        <f>IFERROR(INDEX(Scénarios!$B$2:$AI$232,MATCH($S113,Scénarios!$AI$2:$AI$232,0),MATCH(AH$4,Scénarios!$B$4:$AI$4,0)),"-")</f>
        <v>-</v>
      </c>
      <c r="AI113" s="443" t="str">
        <f>IFERROR(INDEX(Scénarios!$B$2:$AI$232,MATCH($S113,Scénarios!$AI$2:$AI$232,0),MATCH(AI$4,Scénarios!$B$4:$AI$4,0)),"-")</f>
        <v>-</v>
      </c>
      <c r="AJ113" s="443" t="str">
        <f>IFERROR(INDEX(Param!$A$3:$C$7,MATCH($AI113,Param!$C$3:$C$7,0),1),"-")</f>
        <v>-</v>
      </c>
      <c r="AK113" s="443" t="str">
        <f>IFERROR(INDEX(Scénarios!$B$2:$AI$232,MATCH($S113,Scénarios!$AI$2:$AI$232,0),MATCH(AK$4,Scénarios!$B$4:$AI$4,0)),"-")</f>
        <v>-</v>
      </c>
      <c r="AL113" s="443" t="str">
        <f>IFERROR(INDEX(Scénarios!$B$2:$AI$232,MATCH($S113,Scénarios!$AI$2:$AI$232,0),MATCH(AL$4,Scénarios!$B$4:$AI$4,0)),"-")</f>
        <v>-</v>
      </c>
      <c r="AM113" s="443" t="str">
        <f>IFERROR(INDEX(Param!$A$10:$C$14,MATCH($AL113,Param!$C$10:$C$14,0),1),"-")</f>
        <v>-</v>
      </c>
      <c r="AN113" s="443" t="str">
        <f>IFERROR(IF(INDEX(Scénarios!$B$2:$AI$232,MATCH($S113,Scénarios!$AI$2:$AI$232,0),MATCH(AN$4,Scénarios!$B$4:$AI$4,0))=0,"",INDEX(Scénarios!$B$2:$AI$232,MATCH($S113,Scénarios!$AI$2:$AI$232,0),MATCH(AN$4,Scénarios!$B$4:$AI$4,0))),"-")</f>
        <v>-</v>
      </c>
      <c r="AO113" s="443" t="str">
        <f>IFERROR(INDEX(Scénarios!$B$2:$AI$232,MATCH($S113,Scénarios!$AI$2:$AI$232,0),MATCH(AO$4,Scénarios!$B$4:$AI$4,0)),"-")</f>
        <v>-</v>
      </c>
      <c r="AP113" s="443" t="str">
        <f>IFERROR(INDEX(Param!$A$17:$C$21,MATCH($AO113,Param!$C$17:$C$21,0),1),"-")</f>
        <v>-</v>
      </c>
      <c r="AQ113" s="443" t="str">
        <f>IFERROR(IF(INDEX(Scénarios!$B$2:$AI$232,MATCH($S113,Scénarios!$AI$2:$AI$232,0),MATCH(AQ$4,Scénarios!$B$4:$AI$4,0))=0,"",INDEX(Scénarios!$B$2:$AI$232,MATCH($S113,Scénarios!$AI$2:$AI$232,0),MATCH(AQ$4,Scénarios!$B$4:$AI$4,0))),"-")</f>
        <v>-</v>
      </c>
      <c r="AR113" s="443" t="str">
        <f>IFERROR(INDEX(Scénarios!$B$2:$AI$232,MATCH($S113,Scénarios!$AI$2:$AI$232,0),MATCH(AR$4,Scénarios!$B$4:$AI$4,0)),"-")</f>
        <v>-</v>
      </c>
      <c r="AS113" s="443" t="str">
        <f>IFERROR(INDEX(Param!$A$24:$C$28,MATCH($AR113,Param!$C$24:$C$28,0),1),"-")</f>
        <v>-</v>
      </c>
      <c r="AT113" s="443" t="str">
        <f>IFERROR(IF(INDEX(Scénarios!$B$2:$AI$232,MATCH($S113,Scénarios!$AI$2:$AI$232,0),MATCH(AT$4,Scénarios!$B$4:$AI$4,0))=0,"",INDEX(Scénarios!$B$2:$AI$232,MATCH($S113,Scénarios!$AI$2:$AI$232,0),MATCH(AT$4,Scénarios!$B$4:$AI$4,0))),"-")</f>
        <v>-</v>
      </c>
      <c r="AU113" s="462" t="str">
        <f>IFERROR(INDEX(Scénarios!$B$2:$AI$232,MATCH($S113,Scénarios!$AI$2:$AI$232,0),MATCH(AU$4,Scénarios!$B$4:$AI$4,0)),"-")</f>
        <v>-</v>
      </c>
      <c r="AV113" s="462" t="str">
        <f>IFERROR(INDEX(Scénarios!$B$2:$AI$232,MATCH($S113,Scénarios!$AI$2:$AI$232,0),MATCH(AV$4,Scénarios!$B$4:$AI$4,0)),"-")</f>
        <v>-</v>
      </c>
      <c r="AW113" s="462" t="str">
        <f>IFERROR(INDEX(Scénarios!$B$2:$AI$232,MATCH($S113,Scénarios!$AI$2:$AI$232,0),MATCH(AW$4,Scénarios!$B$4:$AI$4,0)),"-")</f>
        <v>-</v>
      </c>
      <c r="AX113" s="462" t="str">
        <f>IFERROR(INDEX(Scénarios!$B$2:$AI$232,MATCH($S113,Scénarios!$AI$2:$AI$232,0),MATCH(AX$4,Scénarios!$B$4:$AI$4,0)),"-")</f>
        <v>-</v>
      </c>
      <c r="AY113" s="443" t="str">
        <f>IFERROR(INDEX(Scénarios!$B$2:$AI$232,MATCH($S113,Scénarios!$AI$2:$AI$232,0),MATCH(AY$4,Scénarios!$B$4:$AI$4,0)),"-")</f>
        <v>-</v>
      </c>
      <c r="AZ113" s="588" t="str">
        <f>IFERROR(INDEX(Param!$A$31:$C$35,MATCH($AY113,Param!$C$31:$C$35,0),1),"-")</f>
        <v>-</v>
      </c>
      <c r="BA113" s="588" t="str">
        <f>IFERROR(IF(INDEX(Scénarios!$B$2:$AI$232,MATCH($S113,Scénarios!$AI$2:$AI$232,0),MATCH(BA$4,Scénarios!$B$4:$AI$4,0))=0,"",INDEX(Scénarios!$B$2:$AI$232,MATCH($S113,Scénarios!$AI$2:$AI$232,0),MATCH(BA$4,Scénarios!$B$4:$AI$4,0))),"-")</f>
        <v>-</v>
      </c>
      <c r="BB113" s="443" t="str">
        <f>IFERROR(IF(INDEX(Scénarios!$B$2:$AK$237,MATCH($S113,Scénarios!$AI$2:$AI$237,0),MATCH(BB$4,Scénarios!$B$4:$AK$4,0))=0,"",INDEX(Scénarios!$B$2:$AK$237,MATCH($S113,Scénarios!$AI$2:$AI$237,0),MATCH(BB$4,Scénarios!$B$4:$AK$4,0))),"-")</f>
        <v>-</v>
      </c>
      <c r="BC113" s="443" t="str">
        <f>IFERROR(INDEX(Scénarios!$B$2:$AV$232,MATCH($S113,Scénarios!$AI$2:$AI$232,0),MATCH(BC$4,Scénarios!$B$4:$AV$4,0)),"-")</f>
        <v>-</v>
      </c>
    </row>
    <row r="114" spans="15:55" ht="25.5" customHeight="1" x14ac:dyDescent="0.25">
      <c r="O114" s="604" t="str">
        <f t="shared" si="1"/>
        <v>Fiche R110 sans décision :
Veuillez ajouter une décision</v>
      </c>
      <c r="P114" s="609" t="s">
        <v>2188</v>
      </c>
      <c r="Q114" s="605" t="s">
        <v>2067</v>
      </c>
      <c r="R114" s="585" t="s">
        <v>2068</v>
      </c>
      <c r="S114" s="587" t="s">
        <v>2148</v>
      </c>
      <c r="T114" s="588" t="str">
        <f>IFERROR(INDEX(Tab_sel!$B$7:$C$18,MATCH($AB114,Tab_sel!$C$7:$C$18,0),1),"-")</f>
        <v>-</v>
      </c>
      <c r="U114" s="589" t="str">
        <f>IFERROR(INDEX(Scénarios!$B$2:$AI$232,MATCH($S114,Scénarios!$AI$2:$AI$232,0),MATCH(U$4,Scénarios!$B$4:$AI$4,0)),"-")</f>
        <v>-</v>
      </c>
      <c r="V114" s="588" t="str">
        <f>IFERROR(INDEX(Scénarios!$B$2:$AI$232,MATCH($S114,Scénarios!$AI$2:$AI$232,0),MATCH(V$4,Scénarios!$B$4:$AI$4,0)),"-")</f>
        <v>-</v>
      </c>
      <c r="W114" s="588" t="str">
        <f>IFERROR(INDEX(Scénarios!$B$2:$AI$232,MATCH($S114,Scénarios!$AI$2:$AI$232,0),MATCH(W$4,Scénarios!$B$4:$AI$4,0)),"-")</f>
        <v>-</v>
      </c>
      <c r="X114" s="588" t="str">
        <f>IFERROR(VLOOKUP(AD114,Expo!$D$4:$E$35,2,FALSE),"-")</f>
        <v>-</v>
      </c>
      <c r="Y114" s="859" t="str">
        <f>IFERROR(IF(INDEX(Scénarios!$B$2:$AI$232,MATCH($S114,Scénarios!$AI$2:$AI$232,0),MATCH(Y$4,Scénarios!$B$4:$AI$4,0))=0,"",INDEX(Scénarios!$B$2:$AI$232,MATCH($S114,Scénarios!$AI$2:$AI$232,0),MATCH(Y$4,Scénarios!$B$4:$AI$4,0))),"-")</f>
        <v>-</v>
      </c>
      <c r="Z114" s="589" t="str">
        <f>IFERROR(INDEX(Scénarios!$B$2:$AI$232,MATCH($S114,Scénarios!$AI$2:$AI$232,0),MATCH(Z$4,Scénarios!$B$4:$AI$4,0)),"-")</f>
        <v>-</v>
      </c>
      <c r="AA114" s="589" t="str">
        <f>IFERROR(INDEX(Scénarios!$B$2:$AI$232,MATCH($S114,Scénarios!$AI$2:$AI$232,0),MATCH(AA$4,Scénarios!$B$4:$AI$4,0)),"-")</f>
        <v>-</v>
      </c>
      <c r="AB114" s="586" t="str">
        <f>IFERROR(INDEX(Scénarios!$B$2:$AI$232,MATCH($S114,Scénarios!$AI$2:$AI$232,0),MATCH(AB$4,Scénarios!$B$4:$AI$4,0)),"-")</f>
        <v>-</v>
      </c>
      <c r="AC114" s="442" t="str">
        <f>IFERROR(INDEX(Tab_sel!$B$24:$C$27,MATCH($U114,Tab_sel!$C$24:$C$27,0),1),"-")</f>
        <v>-</v>
      </c>
      <c r="AD114" s="443" t="str">
        <f>IFERROR(INDEX(Scénarios!$B$2:$AI$232,MATCH($S114,Scénarios!$AI$2:$AI$232,0),MATCH(AD$4,Scénarios!$B$4:$AI$4,0)),"-")</f>
        <v>-</v>
      </c>
      <c r="AE114" s="460" t="str">
        <f>IFERROR(INDEX(Scénarios!$B$2:$AI$232,MATCH($S114,Scénarios!$AI$2:$AI$232,0),MATCH(AE$4,Scénarios!$B$4:$AI$4,0)),"-")</f>
        <v>-</v>
      </c>
      <c r="AF114" s="460" t="str">
        <f>IFERROR(INDEX(Scénarios!$B$2:$AI$232,MATCH($S114,Scénarios!$AI$2:$AI$232,0),MATCH(AF$4,Scénarios!$B$4:$AI$4,0)),"-")</f>
        <v>-</v>
      </c>
      <c r="AG114" s="460" t="str">
        <f>IFERROR(INDEX(Scénarios!$B$2:$AI$232,MATCH($S114,Scénarios!$AI$2:$AI$232,0),MATCH(AG$4,Scénarios!$B$4:$AI$4,0)),"-")</f>
        <v>-</v>
      </c>
      <c r="AH114" s="460" t="str">
        <f>IFERROR(INDEX(Scénarios!$B$2:$AI$232,MATCH($S114,Scénarios!$AI$2:$AI$232,0),MATCH(AH$4,Scénarios!$B$4:$AI$4,0)),"-")</f>
        <v>-</v>
      </c>
      <c r="AI114" s="443" t="str">
        <f>IFERROR(INDEX(Scénarios!$B$2:$AI$232,MATCH($S114,Scénarios!$AI$2:$AI$232,0),MATCH(AI$4,Scénarios!$B$4:$AI$4,0)),"-")</f>
        <v>-</v>
      </c>
      <c r="AJ114" s="443" t="str">
        <f>IFERROR(INDEX(Param!$A$3:$C$7,MATCH($AI114,Param!$C$3:$C$7,0),1),"-")</f>
        <v>-</v>
      </c>
      <c r="AK114" s="443" t="str">
        <f>IFERROR(INDEX(Scénarios!$B$2:$AI$232,MATCH($S114,Scénarios!$AI$2:$AI$232,0),MATCH(AK$4,Scénarios!$B$4:$AI$4,0)),"-")</f>
        <v>-</v>
      </c>
      <c r="AL114" s="443" t="str">
        <f>IFERROR(INDEX(Scénarios!$B$2:$AI$232,MATCH($S114,Scénarios!$AI$2:$AI$232,0),MATCH(AL$4,Scénarios!$B$4:$AI$4,0)),"-")</f>
        <v>-</v>
      </c>
      <c r="AM114" s="443" t="str">
        <f>IFERROR(INDEX(Param!$A$10:$C$14,MATCH($AL114,Param!$C$10:$C$14,0),1),"-")</f>
        <v>-</v>
      </c>
      <c r="AN114" s="443" t="str">
        <f>IFERROR(IF(INDEX(Scénarios!$B$2:$AI$232,MATCH($S114,Scénarios!$AI$2:$AI$232,0),MATCH(AN$4,Scénarios!$B$4:$AI$4,0))=0,"",INDEX(Scénarios!$B$2:$AI$232,MATCH($S114,Scénarios!$AI$2:$AI$232,0),MATCH(AN$4,Scénarios!$B$4:$AI$4,0))),"-")</f>
        <v>-</v>
      </c>
      <c r="AO114" s="443" t="str">
        <f>IFERROR(INDEX(Scénarios!$B$2:$AI$232,MATCH($S114,Scénarios!$AI$2:$AI$232,0),MATCH(AO$4,Scénarios!$B$4:$AI$4,0)),"-")</f>
        <v>-</v>
      </c>
      <c r="AP114" s="443" t="str">
        <f>IFERROR(INDEX(Param!$A$17:$C$21,MATCH($AO114,Param!$C$17:$C$21,0),1),"-")</f>
        <v>-</v>
      </c>
      <c r="AQ114" s="443" t="str">
        <f>IFERROR(IF(INDEX(Scénarios!$B$2:$AI$232,MATCH($S114,Scénarios!$AI$2:$AI$232,0),MATCH(AQ$4,Scénarios!$B$4:$AI$4,0))=0,"",INDEX(Scénarios!$B$2:$AI$232,MATCH($S114,Scénarios!$AI$2:$AI$232,0),MATCH(AQ$4,Scénarios!$B$4:$AI$4,0))),"-")</f>
        <v>-</v>
      </c>
      <c r="AR114" s="443" t="str">
        <f>IFERROR(INDEX(Scénarios!$B$2:$AI$232,MATCH($S114,Scénarios!$AI$2:$AI$232,0),MATCH(AR$4,Scénarios!$B$4:$AI$4,0)),"-")</f>
        <v>-</v>
      </c>
      <c r="AS114" s="443" t="str">
        <f>IFERROR(INDEX(Param!$A$24:$C$28,MATCH($AR114,Param!$C$24:$C$28,0),1),"-")</f>
        <v>-</v>
      </c>
      <c r="AT114" s="443" t="str">
        <f>IFERROR(IF(INDEX(Scénarios!$B$2:$AI$232,MATCH($S114,Scénarios!$AI$2:$AI$232,0),MATCH(AT$4,Scénarios!$B$4:$AI$4,0))=0,"",INDEX(Scénarios!$B$2:$AI$232,MATCH($S114,Scénarios!$AI$2:$AI$232,0),MATCH(AT$4,Scénarios!$B$4:$AI$4,0))),"-")</f>
        <v>-</v>
      </c>
      <c r="AU114" s="462" t="str">
        <f>IFERROR(INDEX(Scénarios!$B$2:$AI$232,MATCH($S114,Scénarios!$AI$2:$AI$232,0),MATCH(AU$4,Scénarios!$B$4:$AI$4,0)),"-")</f>
        <v>-</v>
      </c>
      <c r="AV114" s="462" t="str">
        <f>IFERROR(INDEX(Scénarios!$B$2:$AI$232,MATCH($S114,Scénarios!$AI$2:$AI$232,0),MATCH(AV$4,Scénarios!$B$4:$AI$4,0)),"-")</f>
        <v>-</v>
      </c>
      <c r="AW114" s="462" t="str">
        <f>IFERROR(INDEX(Scénarios!$B$2:$AI$232,MATCH($S114,Scénarios!$AI$2:$AI$232,0),MATCH(AW$4,Scénarios!$B$4:$AI$4,0)),"-")</f>
        <v>-</v>
      </c>
      <c r="AX114" s="462" t="str">
        <f>IFERROR(INDEX(Scénarios!$B$2:$AI$232,MATCH($S114,Scénarios!$AI$2:$AI$232,0),MATCH(AX$4,Scénarios!$B$4:$AI$4,0)),"-")</f>
        <v>-</v>
      </c>
      <c r="AY114" s="443" t="str">
        <f>IFERROR(INDEX(Scénarios!$B$2:$AI$232,MATCH($S114,Scénarios!$AI$2:$AI$232,0),MATCH(AY$4,Scénarios!$B$4:$AI$4,0)),"-")</f>
        <v>-</v>
      </c>
      <c r="AZ114" s="588" t="str">
        <f>IFERROR(INDEX(Param!$A$31:$C$35,MATCH($AY114,Param!$C$31:$C$35,0),1),"-")</f>
        <v>-</v>
      </c>
      <c r="BA114" s="588" t="str">
        <f>IFERROR(IF(INDEX(Scénarios!$B$2:$AI$232,MATCH($S114,Scénarios!$AI$2:$AI$232,0),MATCH(BA$4,Scénarios!$B$4:$AI$4,0))=0,"",INDEX(Scénarios!$B$2:$AI$232,MATCH($S114,Scénarios!$AI$2:$AI$232,0),MATCH(BA$4,Scénarios!$B$4:$AI$4,0))),"-")</f>
        <v>-</v>
      </c>
      <c r="BB114" s="443" t="str">
        <f>IFERROR(IF(INDEX(Scénarios!$B$2:$AK$237,MATCH($S114,Scénarios!$AI$2:$AI$237,0),MATCH(BB$4,Scénarios!$B$4:$AK$4,0))=0,"",INDEX(Scénarios!$B$2:$AK$237,MATCH($S114,Scénarios!$AI$2:$AI$237,0),MATCH(BB$4,Scénarios!$B$4:$AK$4,0))),"-")</f>
        <v>-</v>
      </c>
      <c r="BC114" s="443" t="str">
        <f>IFERROR(INDEX(Scénarios!$B$2:$AV$232,MATCH($S114,Scénarios!$AI$2:$AI$232,0),MATCH(BC$4,Scénarios!$B$4:$AV$4,0)),"-")</f>
        <v>-</v>
      </c>
    </row>
    <row r="115" spans="15:55" ht="25.5" customHeight="1" x14ac:dyDescent="0.25">
      <c r="O115" s="604" t="str">
        <f t="shared" si="1"/>
        <v>Fiche R111 sans décision :
Veuillez ajouter une décision</v>
      </c>
      <c r="P115" s="609" t="s">
        <v>2188</v>
      </c>
      <c r="Q115" s="605" t="s">
        <v>2067</v>
      </c>
      <c r="R115" s="585" t="s">
        <v>2068</v>
      </c>
      <c r="S115" s="587" t="s">
        <v>2149</v>
      </c>
      <c r="T115" s="588" t="str">
        <f>IFERROR(INDEX(Tab_sel!$B$7:$C$18,MATCH($AB115,Tab_sel!$C$7:$C$18,0),1),"-")</f>
        <v>-</v>
      </c>
      <c r="U115" s="589" t="str">
        <f>IFERROR(INDEX(Scénarios!$B$2:$AI$232,MATCH($S115,Scénarios!$AI$2:$AI$232,0),MATCH(U$4,Scénarios!$B$4:$AI$4,0)),"-")</f>
        <v>-</v>
      </c>
      <c r="V115" s="588" t="str">
        <f>IFERROR(INDEX(Scénarios!$B$2:$AI$232,MATCH($S115,Scénarios!$AI$2:$AI$232,0),MATCH(V$4,Scénarios!$B$4:$AI$4,0)),"-")</f>
        <v>-</v>
      </c>
      <c r="W115" s="588" t="str">
        <f>IFERROR(INDEX(Scénarios!$B$2:$AI$232,MATCH($S115,Scénarios!$AI$2:$AI$232,0),MATCH(W$4,Scénarios!$B$4:$AI$4,0)),"-")</f>
        <v>-</v>
      </c>
      <c r="X115" s="588" t="str">
        <f>IFERROR(VLOOKUP(AD115,Expo!$D$4:$E$35,2,FALSE),"-")</f>
        <v>-</v>
      </c>
      <c r="Y115" s="859" t="str">
        <f>IFERROR(IF(INDEX(Scénarios!$B$2:$AI$232,MATCH($S115,Scénarios!$AI$2:$AI$232,0),MATCH(Y$4,Scénarios!$B$4:$AI$4,0))=0,"",INDEX(Scénarios!$B$2:$AI$232,MATCH($S115,Scénarios!$AI$2:$AI$232,0),MATCH(Y$4,Scénarios!$B$4:$AI$4,0))),"-")</f>
        <v>-</v>
      </c>
      <c r="Z115" s="589" t="str">
        <f>IFERROR(INDEX(Scénarios!$B$2:$AI$232,MATCH($S115,Scénarios!$AI$2:$AI$232,0),MATCH(Z$4,Scénarios!$B$4:$AI$4,0)),"-")</f>
        <v>-</v>
      </c>
      <c r="AA115" s="589" t="str">
        <f>IFERROR(INDEX(Scénarios!$B$2:$AI$232,MATCH($S115,Scénarios!$AI$2:$AI$232,0),MATCH(AA$4,Scénarios!$B$4:$AI$4,0)),"-")</f>
        <v>-</v>
      </c>
      <c r="AB115" s="586" t="str">
        <f>IFERROR(INDEX(Scénarios!$B$2:$AI$232,MATCH($S115,Scénarios!$AI$2:$AI$232,0),MATCH(AB$4,Scénarios!$B$4:$AI$4,0)),"-")</f>
        <v>-</v>
      </c>
      <c r="AC115" s="442" t="str">
        <f>IFERROR(INDEX(Tab_sel!$B$24:$C$27,MATCH($U115,Tab_sel!$C$24:$C$27,0),1),"-")</f>
        <v>-</v>
      </c>
      <c r="AD115" s="443" t="str">
        <f>IFERROR(INDEX(Scénarios!$B$2:$AI$232,MATCH($S115,Scénarios!$AI$2:$AI$232,0),MATCH(AD$4,Scénarios!$B$4:$AI$4,0)),"-")</f>
        <v>-</v>
      </c>
      <c r="AE115" s="460" t="str">
        <f>IFERROR(INDEX(Scénarios!$B$2:$AI$232,MATCH($S115,Scénarios!$AI$2:$AI$232,0),MATCH(AE$4,Scénarios!$B$4:$AI$4,0)),"-")</f>
        <v>-</v>
      </c>
      <c r="AF115" s="460" t="str">
        <f>IFERROR(INDEX(Scénarios!$B$2:$AI$232,MATCH($S115,Scénarios!$AI$2:$AI$232,0),MATCH(AF$4,Scénarios!$B$4:$AI$4,0)),"-")</f>
        <v>-</v>
      </c>
      <c r="AG115" s="460" t="str">
        <f>IFERROR(INDEX(Scénarios!$B$2:$AI$232,MATCH($S115,Scénarios!$AI$2:$AI$232,0),MATCH(AG$4,Scénarios!$B$4:$AI$4,0)),"-")</f>
        <v>-</v>
      </c>
      <c r="AH115" s="460" t="str">
        <f>IFERROR(INDEX(Scénarios!$B$2:$AI$232,MATCH($S115,Scénarios!$AI$2:$AI$232,0),MATCH(AH$4,Scénarios!$B$4:$AI$4,0)),"-")</f>
        <v>-</v>
      </c>
      <c r="AI115" s="443" t="str">
        <f>IFERROR(INDEX(Scénarios!$B$2:$AI$232,MATCH($S115,Scénarios!$AI$2:$AI$232,0),MATCH(AI$4,Scénarios!$B$4:$AI$4,0)),"-")</f>
        <v>-</v>
      </c>
      <c r="AJ115" s="443" t="str">
        <f>IFERROR(INDEX(Param!$A$3:$C$7,MATCH($AI115,Param!$C$3:$C$7,0),1),"-")</f>
        <v>-</v>
      </c>
      <c r="AK115" s="443" t="str">
        <f>IFERROR(INDEX(Scénarios!$B$2:$AI$232,MATCH($S115,Scénarios!$AI$2:$AI$232,0),MATCH(AK$4,Scénarios!$B$4:$AI$4,0)),"-")</f>
        <v>-</v>
      </c>
      <c r="AL115" s="443" t="str">
        <f>IFERROR(INDEX(Scénarios!$B$2:$AI$232,MATCH($S115,Scénarios!$AI$2:$AI$232,0),MATCH(AL$4,Scénarios!$B$4:$AI$4,0)),"-")</f>
        <v>-</v>
      </c>
      <c r="AM115" s="443" t="str">
        <f>IFERROR(INDEX(Param!$A$10:$C$14,MATCH($AL115,Param!$C$10:$C$14,0),1),"-")</f>
        <v>-</v>
      </c>
      <c r="AN115" s="443" t="str">
        <f>IFERROR(IF(INDEX(Scénarios!$B$2:$AI$232,MATCH($S115,Scénarios!$AI$2:$AI$232,0),MATCH(AN$4,Scénarios!$B$4:$AI$4,0))=0,"",INDEX(Scénarios!$B$2:$AI$232,MATCH($S115,Scénarios!$AI$2:$AI$232,0),MATCH(AN$4,Scénarios!$B$4:$AI$4,0))),"-")</f>
        <v>-</v>
      </c>
      <c r="AO115" s="443" t="str">
        <f>IFERROR(INDEX(Scénarios!$B$2:$AI$232,MATCH($S115,Scénarios!$AI$2:$AI$232,0),MATCH(AO$4,Scénarios!$B$4:$AI$4,0)),"-")</f>
        <v>-</v>
      </c>
      <c r="AP115" s="443" t="str">
        <f>IFERROR(INDEX(Param!$A$17:$C$21,MATCH($AO115,Param!$C$17:$C$21,0),1),"-")</f>
        <v>-</v>
      </c>
      <c r="AQ115" s="443" t="str">
        <f>IFERROR(IF(INDEX(Scénarios!$B$2:$AI$232,MATCH($S115,Scénarios!$AI$2:$AI$232,0),MATCH(AQ$4,Scénarios!$B$4:$AI$4,0))=0,"",INDEX(Scénarios!$B$2:$AI$232,MATCH($S115,Scénarios!$AI$2:$AI$232,0),MATCH(AQ$4,Scénarios!$B$4:$AI$4,0))),"-")</f>
        <v>-</v>
      </c>
      <c r="AR115" s="443" t="str">
        <f>IFERROR(INDEX(Scénarios!$B$2:$AI$232,MATCH($S115,Scénarios!$AI$2:$AI$232,0),MATCH(AR$4,Scénarios!$B$4:$AI$4,0)),"-")</f>
        <v>-</v>
      </c>
      <c r="AS115" s="443" t="str">
        <f>IFERROR(INDEX(Param!$A$24:$C$28,MATCH($AR115,Param!$C$24:$C$28,0),1),"-")</f>
        <v>-</v>
      </c>
      <c r="AT115" s="443" t="str">
        <f>IFERROR(IF(INDEX(Scénarios!$B$2:$AI$232,MATCH($S115,Scénarios!$AI$2:$AI$232,0),MATCH(AT$4,Scénarios!$B$4:$AI$4,0))=0,"",INDEX(Scénarios!$B$2:$AI$232,MATCH($S115,Scénarios!$AI$2:$AI$232,0),MATCH(AT$4,Scénarios!$B$4:$AI$4,0))),"-")</f>
        <v>-</v>
      </c>
      <c r="AU115" s="462" t="str">
        <f>IFERROR(INDEX(Scénarios!$B$2:$AI$232,MATCH($S115,Scénarios!$AI$2:$AI$232,0),MATCH(AU$4,Scénarios!$B$4:$AI$4,0)),"-")</f>
        <v>-</v>
      </c>
      <c r="AV115" s="462" t="str">
        <f>IFERROR(INDEX(Scénarios!$B$2:$AI$232,MATCH($S115,Scénarios!$AI$2:$AI$232,0),MATCH(AV$4,Scénarios!$B$4:$AI$4,0)),"-")</f>
        <v>-</v>
      </c>
      <c r="AW115" s="462" t="str">
        <f>IFERROR(INDEX(Scénarios!$B$2:$AI$232,MATCH($S115,Scénarios!$AI$2:$AI$232,0),MATCH(AW$4,Scénarios!$B$4:$AI$4,0)),"-")</f>
        <v>-</v>
      </c>
      <c r="AX115" s="462" t="str">
        <f>IFERROR(INDEX(Scénarios!$B$2:$AI$232,MATCH($S115,Scénarios!$AI$2:$AI$232,0),MATCH(AX$4,Scénarios!$B$4:$AI$4,0)),"-")</f>
        <v>-</v>
      </c>
      <c r="AY115" s="443" t="str">
        <f>IFERROR(INDEX(Scénarios!$B$2:$AI$232,MATCH($S115,Scénarios!$AI$2:$AI$232,0),MATCH(AY$4,Scénarios!$B$4:$AI$4,0)),"-")</f>
        <v>-</v>
      </c>
      <c r="AZ115" s="588" t="str">
        <f>IFERROR(INDEX(Param!$A$31:$C$35,MATCH($AY115,Param!$C$31:$C$35,0),1),"-")</f>
        <v>-</v>
      </c>
      <c r="BA115" s="588" t="str">
        <f>IFERROR(IF(INDEX(Scénarios!$B$2:$AI$232,MATCH($S115,Scénarios!$AI$2:$AI$232,0),MATCH(BA$4,Scénarios!$B$4:$AI$4,0))=0,"",INDEX(Scénarios!$B$2:$AI$232,MATCH($S115,Scénarios!$AI$2:$AI$232,0),MATCH(BA$4,Scénarios!$B$4:$AI$4,0))),"-")</f>
        <v>-</v>
      </c>
      <c r="BB115" s="443" t="str">
        <f>IFERROR(IF(INDEX(Scénarios!$B$2:$AK$237,MATCH($S115,Scénarios!$AI$2:$AI$237,0),MATCH(BB$4,Scénarios!$B$4:$AK$4,0))=0,"",INDEX(Scénarios!$B$2:$AK$237,MATCH($S115,Scénarios!$AI$2:$AI$237,0),MATCH(BB$4,Scénarios!$B$4:$AK$4,0))),"-")</f>
        <v>-</v>
      </c>
      <c r="BC115" s="443" t="str">
        <f>IFERROR(INDEX(Scénarios!$B$2:$AV$232,MATCH($S115,Scénarios!$AI$2:$AI$232,0),MATCH(BC$4,Scénarios!$B$4:$AV$4,0)),"-")</f>
        <v>-</v>
      </c>
    </row>
    <row r="116" spans="15:55" ht="25.5" customHeight="1" x14ac:dyDescent="0.25">
      <c r="O116" s="604" t="str">
        <f t="shared" si="1"/>
        <v>Fiche R112 sans décision :
Veuillez ajouter une décision</v>
      </c>
      <c r="P116" s="609" t="s">
        <v>2188</v>
      </c>
      <c r="Q116" s="605" t="s">
        <v>2067</v>
      </c>
      <c r="R116" s="585" t="s">
        <v>2068</v>
      </c>
      <c r="S116" s="587" t="s">
        <v>2150</v>
      </c>
      <c r="T116" s="588" t="str">
        <f>IFERROR(INDEX(Tab_sel!$B$7:$C$18,MATCH($AB116,Tab_sel!$C$7:$C$18,0),1),"-")</f>
        <v>-</v>
      </c>
      <c r="U116" s="589" t="str">
        <f>IFERROR(INDEX(Scénarios!$B$2:$AI$232,MATCH($S116,Scénarios!$AI$2:$AI$232,0),MATCH(U$4,Scénarios!$B$4:$AI$4,0)),"-")</f>
        <v>-</v>
      </c>
      <c r="V116" s="588" t="str">
        <f>IFERROR(INDEX(Scénarios!$B$2:$AI$232,MATCH($S116,Scénarios!$AI$2:$AI$232,0),MATCH(V$4,Scénarios!$B$4:$AI$4,0)),"-")</f>
        <v>-</v>
      </c>
      <c r="W116" s="588" t="str">
        <f>IFERROR(INDEX(Scénarios!$B$2:$AI$232,MATCH($S116,Scénarios!$AI$2:$AI$232,0),MATCH(W$4,Scénarios!$B$4:$AI$4,0)),"-")</f>
        <v>-</v>
      </c>
      <c r="X116" s="588" t="str">
        <f>IFERROR(VLOOKUP(AD116,Expo!$D$4:$E$35,2,FALSE),"-")</f>
        <v>-</v>
      </c>
      <c r="Y116" s="859" t="str">
        <f>IFERROR(IF(INDEX(Scénarios!$B$2:$AI$232,MATCH($S116,Scénarios!$AI$2:$AI$232,0),MATCH(Y$4,Scénarios!$B$4:$AI$4,0))=0,"",INDEX(Scénarios!$B$2:$AI$232,MATCH($S116,Scénarios!$AI$2:$AI$232,0),MATCH(Y$4,Scénarios!$B$4:$AI$4,0))),"-")</f>
        <v>-</v>
      </c>
      <c r="Z116" s="589" t="str">
        <f>IFERROR(INDEX(Scénarios!$B$2:$AI$232,MATCH($S116,Scénarios!$AI$2:$AI$232,0),MATCH(Z$4,Scénarios!$B$4:$AI$4,0)),"-")</f>
        <v>-</v>
      </c>
      <c r="AA116" s="589" t="str">
        <f>IFERROR(INDEX(Scénarios!$B$2:$AI$232,MATCH($S116,Scénarios!$AI$2:$AI$232,0),MATCH(AA$4,Scénarios!$B$4:$AI$4,0)),"-")</f>
        <v>-</v>
      </c>
      <c r="AB116" s="586" t="str">
        <f>IFERROR(INDEX(Scénarios!$B$2:$AI$232,MATCH($S116,Scénarios!$AI$2:$AI$232,0),MATCH(AB$4,Scénarios!$B$4:$AI$4,0)),"-")</f>
        <v>-</v>
      </c>
      <c r="AC116" s="442" t="str">
        <f>IFERROR(INDEX(Tab_sel!$B$24:$C$27,MATCH($U116,Tab_sel!$C$24:$C$27,0),1),"-")</f>
        <v>-</v>
      </c>
      <c r="AD116" s="443" t="str">
        <f>IFERROR(INDEX(Scénarios!$B$2:$AI$232,MATCH($S116,Scénarios!$AI$2:$AI$232,0),MATCH(AD$4,Scénarios!$B$4:$AI$4,0)),"-")</f>
        <v>-</v>
      </c>
      <c r="AE116" s="460" t="str">
        <f>IFERROR(INDEX(Scénarios!$B$2:$AI$232,MATCH($S116,Scénarios!$AI$2:$AI$232,0),MATCH(AE$4,Scénarios!$B$4:$AI$4,0)),"-")</f>
        <v>-</v>
      </c>
      <c r="AF116" s="460" t="str">
        <f>IFERROR(INDEX(Scénarios!$B$2:$AI$232,MATCH($S116,Scénarios!$AI$2:$AI$232,0),MATCH(AF$4,Scénarios!$B$4:$AI$4,0)),"-")</f>
        <v>-</v>
      </c>
      <c r="AG116" s="460" t="str">
        <f>IFERROR(INDEX(Scénarios!$B$2:$AI$232,MATCH($S116,Scénarios!$AI$2:$AI$232,0),MATCH(AG$4,Scénarios!$B$4:$AI$4,0)),"-")</f>
        <v>-</v>
      </c>
      <c r="AH116" s="460" t="str">
        <f>IFERROR(INDEX(Scénarios!$B$2:$AI$232,MATCH($S116,Scénarios!$AI$2:$AI$232,0),MATCH(AH$4,Scénarios!$B$4:$AI$4,0)),"-")</f>
        <v>-</v>
      </c>
      <c r="AI116" s="443" t="str">
        <f>IFERROR(INDEX(Scénarios!$B$2:$AI$232,MATCH($S116,Scénarios!$AI$2:$AI$232,0),MATCH(AI$4,Scénarios!$B$4:$AI$4,0)),"-")</f>
        <v>-</v>
      </c>
      <c r="AJ116" s="443" t="str">
        <f>IFERROR(INDEX(Param!$A$3:$C$7,MATCH($AI116,Param!$C$3:$C$7,0),1),"-")</f>
        <v>-</v>
      </c>
      <c r="AK116" s="443" t="str">
        <f>IFERROR(INDEX(Scénarios!$B$2:$AI$232,MATCH($S116,Scénarios!$AI$2:$AI$232,0),MATCH(AK$4,Scénarios!$B$4:$AI$4,0)),"-")</f>
        <v>-</v>
      </c>
      <c r="AL116" s="443" t="str">
        <f>IFERROR(INDEX(Scénarios!$B$2:$AI$232,MATCH($S116,Scénarios!$AI$2:$AI$232,0),MATCH(AL$4,Scénarios!$B$4:$AI$4,0)),"-")</f>
        <v>-</v>
      </c>
      <c r="AM116" s="443" t="str">
        <f>IFERROR(INDEX(Param!$A$10:$C$14,MATCH($AL116,Param!$C$10:$C$14,0),1),"-")</f>
        <v>-</v>
      </c>
      <c r="AN116" s="443" t="str">
        <f>IFERROR(IF(INDEX(Scénarios!$B$2:$AI$232,MATCH($S116,Scénarios!$AI$2:$AI$232,0),MATCH(AN$4,Scénarios!$B$4:$AI$4,0))=0,"",INDEX(Scénarios!$B$2:$AI$232,MATCH($S116,Scénarios!$AI$2:$AI$232,0),MATCH(AN$4,Scénarios!$B$4:$AI$4,0))),"-")</f>
        <v>-</v>
      </c>
      <c r="AO116" s="443" t="str">
        <f>IFERROR(INDEX(Scénarios!$B$2:$AI$232,MATCH($S116,Scénarios!$AI$2:$AI$232,0),MATCH(AO$4,Scénarios!$B$4:$AI$4,0)),"-")</f>
        <v>-</v>
      </c>
      <c r="AP116" s="443" t="str">
        <f>IFERROR(INDEX(Param!$A$17:$C$21,MATCH($AO116,Param!$C$17:$C$21,0),1),"-")</f>
        <v>-</v>
      </c>
      <c r="AQ116" s="443" t="str">
        <f>IFERROR(IF(INDEX(Scénarios!$B$2:$AI$232,MATCH($S116,Scénarios!$AI$2:$AI$232,0),MATCH(AQ$4,Scénarios!$B$4:$AI$4,0))=0,"",INDEX(Scénarios!$B$2:$AI$232,MATCH($S116,Scénarios!$AI$2:$AI$232,0),MATCH(AQ$4,Scénarios!$B$4:$AI$4,0))),"-")</f>
        <v>-</v>
      </c>
      <c r="AR116" s="443" t="str">
        <f>IFERROR(INDEX(Scénarios!$B$2:$AI$232,MATCH($S116,Scénarios!$AI$2:$AI$232,0),MATCH(AR$4,Scénarios!$B$4:$AI$4,0)),"-")</f>
        <v>-</v>
      </c>
      <c r="AS116" s="443" t="str">
        <f>IFERROR(INDEX(Param!$A$24:$C$28,MATCH($AR116,Param!$C$24:$C$28,0),1),"-")</f>
        <v>-</v>
      </c>
      <c r="AT116" s="443" t="str">
        <f>IFERROR(IF(INDEX(Scénarios!$B$2:$AI$232,MATCH($S116,Scénarios!$AI$2:$AI$232,0),MATCH(AT$4,Scénarios!$B$4:$AI$4,0))=0,"",INDEX(Scénarios!$B$2:$AI$232,MATCH($S116,Scénarios!$AI$2:$AI$232,0),MATCH(AT$4,Scénarios!$B$4:$AI$4,0))),"-")</f>
        <v>-</v>
      </c>
      <c r="AU116" s="462" t="str">
        <f>IFERROR(INDEX(Scénarios!$B$2:$AI$232,MATCH($S116,Scénarios!$AI$2:$AI$232,0),MATCH(AU$4,Scénarios!$B$4:$AI$4,0)),"-")</f>
        <v>-</v>
      </c>
      <c r="AV116" s="462" t="str">
        <f>IFERROR(INDEX(Scénarios!$B$2:$AI$232,MATCH($S116,Scénarios!$AI$2:$AI$232,0),MATCH(AV$4,Scénarios!$B$4:$AI$4,0)),"-")</f>
        <v>-</v>
      </c>
      <c r="AW116" s="462" t="str">
        <f>IFERROR(INDEX(Scénarios!$B$2:$AI$232,MATCH($S116,Scénarios!$AI$2:$AI$232,0),MATCH(AW$4,Scénarios!$B$4:$AI$4,0)),"-")</f>
        <v>-</v>
      </c>
      <c r="AX116" s="462" t="str">
        <f>IFERROR(INDEX(Scénarios!$B$2:$AI$232,MATCH($S116,Scénarios!$AI$2:$AI$232,0),MATCH(AX$4,Scénarios!$B$4:$AI$4,0)),"-")</f>
        <v>-</v>
      </c>
      <c r="AY116" s="443" t="str">
        <f>IFERROR(INDEX(Scénarios!$B$2:$AI$232,MATCH($S116,Scénarios!$AI$2:$AI$232,0),MATCH(AY$4,Scénarios!$B$4:$AI$4,0)),"-")</f>
        <v>-</v>
      </c>
      <c r="AZ116" s="588" t="str">
        <f>IFERROR(INDEX(Param!$A$31:$C$35,MATCH($AY116,Param!$C$31:$C$35,0),1),"-")</f>
        <v>-</v>
      </c>
      <c r="BA116" s="588" t="str">
        <f>IFERROR(IF(INDEX(Scénarios!$B$2:$AI$232,MATCH($S116,Scénarios!$AI$2:$AI$232,0),MATCH(BA$4,Scénarios!$B$4:$AI$4,0))=0,"",INDEX(Scénarios!$B$2:$AI$232,MATCH($S116,Scénarios!$AI$2:$AI$232,0),MATCH(BA$4,Scénarios!$B$4:$AI$4,0))),"-")</f>
        <v>-</v>
      </c>
      <c r="BB116" s="443" t="str">
        <f>IFERROR(IF(INDEX(Scénarios!$B$2:$AK$237,MATCH($S116,Scénarios!$AI$2:$AI$237,0),MATCH(BB$4,Scénarios!$B$4:$AK$4,0))=0,"",INDEX(Scénarios!$B$2:$AK$237,MATCH($S116,Scénarios!$AI$2:$AI$237,0),MATCH(BB$4,Scénarios!$B$4:$AK$4,0))),"-")</f>
        <v>-</v>
      </c>
      <c r="BC116" s="443" t="str">
        <f>IFERROR(INDEX(Scénarios!$B$2:$AV$232,MATCH($S116,Scénarios!$AI$2:$AI$232,0),MATCH(BC$4,Scénarios!$B$4:$AV$4,0)),"-")</f>
        <v>-</v>
      </c>
    </row>
    <row r="117" spans="15:55" ht="25.5" customHeight="1" x14ac:dyDescent="0.25">
      <c r="O117" s="604" t="str">
        <f t="shared" si="1"/>
        <v>Fiche R113 sans décision :
Veuillez ajouter une décision</v>
      </c>
      <c r="P117" s="609" t="s">
        <v>2188</v>
      </c>
      <c r="Q117" s="605" t="s">
        <v>2067</v>
      </c>
      <c r="R117" s="585" t="s">
        <v>2068</v>
      </c>
      <c r="S117" s="587" t="s">
        <v>2151</v>
      </c>
      <c r="T117" s="588" t="str">
        <f>IFERROR(INDEX(Tab_sel!$B$7:$C$18,MATCH($AB117,Tab_sel!$C$7:$C$18,0),1),"-")</f>
        <v>-</v>
      </c>
      <c r="U117" s="589" t="str">
        <f>IFERROR(INDEX(Scénarios!$B$2:$AI$232,MATCH($S117,Scénarios!$AI$2:$AI$232,0),MATCH(U$4,Scénarios!$B$4:$AI$4,0)),"-")</f>
        <v>-</v>
      </c>
      <c r="V117" s="588" t="str">
        <f>IFERROR(INDEX(Scénarios!$B$2:$AI$232,MATCH($S117,Scénarios!$AI$2:$AI$232,0),MATCH(V$4,Scénarios!$B$4:$AI$4,0)),"-")</f>
        <v>-</v>
      </c>
      <c r="W117" s="588" t="str">
        <f>IFERROR(INDEX(Scénarios!$B$2:$AI$232,MATCH($S117,Scénarios!$AI$2:$AI$232,0),MATCH(W$4,Scénarios!$B$4:$AI$4,0)),"-")</f>
        <v>-</v>
      </c>
      <c r="X117" s="588" t="str">
        <f>IFERROR(VLOOKUP(AD117,Expo!$D$4:$E$35,2,FALSE),"-")</f>
        <v>-</v>
      </c>
      <c r="Y117" s="859" t="str">
        <f>IFERROR(IF(INDEX(Scénarios!$B$2:$AI$232,MATCH($S117,Scénarios!$AI$2:$AI$232,0),MATCH(Y$4,Scénarios!$B$4:$AI$4,0))=0,"",INDEX(Scénarios!$B$2:$AI$232,MATCH($S117,Scénarios!$AI$2:$AI$232,0),MATCH(Y$4,Scénarios!$B$4:$AI$4,0))),"-")</f>
        <v>-</v>
      </c>
      <c r="Z117" s="589" t="str">
        <f>IFERROR(INDEX(Scénarios!$B$2:$AI$232,MATCH($S117,Scénarios!$AI$2:$AI$232,0),MATCH(Z$4,Scénarios!$B$4:$AI$4,0)),"-")</f>
        <v>-</v>
      </c>
      <c r="AA117" s="589" t="str">
        <f>IFERROR(INDEX(Scénarios!$B$2:$AI$232,MATCH($S117,Scénarios!$AI$2:$AI$232,0),MATCH(AA$4,Scénarios!$B$4:$AI$4,0)),"-")</f>
        <v>-</v>
      </c>
      <c r="AB117" s="586" t="str">
        <f>IFERROR(INDEX(Scénarios!$B$2:$AI$232,MATCH($S117,Scénarios!$AI$2:$AI$232,0),MATCH(AB$4,Scénarios!$B$4:$AI$4,0)),"-")</f>
        <v>-</v>
      </c>
      <c r="AC117" s="442" t="str">
        <f>IFERROR(INDEX(Tab_sel!$B$24:$C$27,MATCH($U117,Tab_sel!$C$24:$C$27,0),1),"-")</f>
        <v>-</v>
      </c>
      <c r="AD117" s="443" t="str">
        <f>IFERROR(INDEX(Scénarios!$B$2:$AI$232,MATCH($S117,Scénarios!$AI$2:$AI$232,0),MATCH(AD$4,Scénarios!$B$4:$AI$4,0)),"-")</f>
        <v>-</v>
      </c>
      <c r="AE117" s="460" t="str">
        <f>IFERROR(INDEX(Scénarios!$B$2:$AI$232,MATCH($S117,Scénarios!$AI$2:$AI$232,0),MATCH(AE$4,Scénarios!$B$4:$AI$4,0)),"-")</f>
        <v>-</v>
      </c>
      <c r="AF117" s="460" t="str">
        <f>IFERROR(INDEX(Scénarios!$B$2:$AI$232,MATCH($S117,Scénarios!$AI$2:$AI$232,0),MATCH(AF$4,Scénarios!$B$4:$AI$4,0)),"-")</f>
        <v>-</v>
      </c>
      <c r="AG117" s="460" t="str">
        <f>IFERROR(INDEX(Scénarios!$B$2:$AI$232,MATCH($S117,Scénarios!$AI$2:$AI$232,0),MATCH(AG$4,Scénarios!$B$4:$AI$4,0)),"-")</f>
        <v>-</v>
      </c>
      <c r="AH117" s="460" t="str">
        <f>IFERROR(INDEX(Scénarios!$B$2:$AI$232,MATCH($S117,Scénarios!$AI$2:$AI$232,0),MATCH(AH$4,Scénarios!$B$4:$AI$4,0)),"-")</f>
        <v>-</v>
      </c>
      <c r="AI117" s="443" t="str">
        <f>IFERROR(INDEX(Scénarios!$B$2:$AI$232,MATCH($S117,Scénarios!$AI$2:$AI$232,0),MATCH(AI$4,Scénarios!$B$4:$AI$4,0)),"-")</f>
        <v>-</v>
      </c>
      <c r="AJ117" s="443" t="str">
        <f>IFERROR(INDEX(Param!$A$3:$C$7,MATCH($AI117,Param!$C$3:$C$7,0),1),"-")</f>
        <v>-</v>
      </c>
      <c r="AK117" s="443" t="str">
        <f>IFERROR(INDEX(Scénarios!$B$2:$AI$232,MATCH($S117,Scénarios!$AI$2:$AI$232,0),MATCH(AK$4,Scénarios!$B$4:$AI$4,0)),"-")</f>
        <v>-</v>
      </c>
      <c r="AL117" s="443" t="str">
        <f>IFERROR(INDEX(Scénarios!$B$2:$AI$232,MATCH($S117,Scénarios!$AI$2:$AI$232,0),MATCH(AL$4,Scénarios!$B$4:$AI$4,0)),"-")</f>
        <v>-</v>
      </c>
      <c r="AM117" s="443" t="str">
        <f>IFERROR(INDEX(Param!$A$10:$C$14,MATCH($AL117,Param!$C$10:$C$14,0),1),"-")</f>
        <v>-</v>
      </c>
      <c r="AN117" s="443" t="str">
        <f>IFERROR(IF(INDEX(Scénarios!$B$2:$AI$232,MATCH($S117,Scénarios!$AI$2:$AI$232,0),MATCH(AN$4,Scénarios!$B$4:$AI$4,0))=0,"",INDEX(Scénarios!$B$2:$AI$232,MATCH($S117,Scénarios!$AI$2:$AI$232,0),MATCH(AN$4,Scénarios!$B$4:$AI$4,0))),"-")</f>
        <v>-</v>
      </c>
      <c r="AO117" s="443" t="str">
        <f>IFERROR(INDEX(Scénarios!$B$2:$AI$232,MATCH($S117,Scénarios!$AI$2:$AI$232,0),MATCH(AO$4,Scénarios!$B$4:$AI$4,0)),"-")</f>
        <v>-</v>
      </c>
      <c r="AP117" s="443" t="str">
        <f>IFERROR(INDEX(Param!$A$17:$C$21,MATCH($AO117,Param!$C$17:$C$21,0),1),"-")</f>
        <v>-</v>
      </c>
      <c r="AQ117" s="443" t="str">
        <f>IFERROR(IF(INDEX(Scénarios!$B$2:$AI$232,MATCH($S117,Scénarios!$AI$2:$AI$232,0),MATCH(AQ$4,Scénarios!$B$4:$AI$4,0))=0,"",INDEX(Scénarios!$B$2:$AI$232,MATCH($S117,Scénarios!$AI$2:$AI$232,0),MATCH(AQ$4,Scénarios!$B$4:$AI$4,0))),"-")</f>
        <v>-</v>
      </c>
      <c r="AR117" s="443" t="str">
        <f>IFERROR(INDEX(Scénarios!$B$2:$AI$232,MATCH($S117,Scénarios!$AI$2:$AI$232,0),MATCH(AR$4,Scénarios!$B$4:$AI$4,0)),"-")</f>
        <v>-</v>
      </c>
      <c r="AS117" s="443" t="str">
        <f>IFERROR(INDEX(Param!$A$24:$C$28,MATCH($AR117,Param!$C$24:$C$28,0),1),"-")</f>
        <v>-</v>
      </c>
      <c r="AT117" s="443" t="str">
        <f>IFERROR(IF(INDEX(Scénarios!$B$2:$AI$232,MATCH($S117,Scénarios!$AI$2:$AI$232,0),MATCH(AT$4,Scénarios!$B$4:$AI$4,0))=0,"",INDEX(Scénarios!$B$2:$AI$232,MATCH($S117,Scénarios!$AI$2:$AI$232,0),MATCH(AT$4,Scénarios!$B$4:$AI$4,0))),"-")</f>
        <v>-</v>
      </c>
      <c r="AU117" s="462" t="str">
        <f>IFERROR(INDEX(Scénarios!$B$2:$AI$232,MATCH($S117,Scénarios!$AI$2:$AI$232,0),MATCH(AU$4,Scénarios!$B$4:$AI$4,0)),"-")</f>
        <v>-</v>
      </c>
      <c r="AV117" s="462" t="str">
        <f>IFERROR(INDEX(Scénarios!$B$2:$AI$232,MATCH($S117,Scénarios!$AI$2:$AI$232,0),MATCH(AV$4,Scénarios!$B$4:$AI$4,0)),"-")</f>
        <v>-</v>
      </c>
      <c r="AW117" s="462" t="str">
        <f>IFERROR(INDEX(Scénarios!$B$2:$AI$232,MATCH($S117,Scénarios!$AI$2:$AI$232,0),MATCH(AW$4,Scénarios!$B$4:$AI$4,0)),"-")</f>
        <v>-</v>
      </c>
      <c r="AX117" s="462" t="str">
        <f>IFERROR(INDEX(Scénarios!$B$2:$AI$232,MATCH($S117,Scénarios!$AI$2:$AI$232,0),MATCH(AX$4,Scénarios!$B$4:$AI$4,0)),"-")</f>
        <v>-</v>
      </c>
      <c r="AY117" s="443" t="str">
        <f>IFERROR(INDEX(Scénarios!$B$2:$AI$232,MATCH($S117,Scénarios!$AI$2:$AI$232,0),MATCH(AY$4,Scénarios!$B$4:$AI$4,0)),"-")</f>
        <v>-</v>
      </c>
      <c r="AZ117" s="588" t="str">
        <f>IFERROR(INDEX(Param!$A$31:$C$35,MATCH($AY117,Param!$C$31:$C$35,0),1),"-")</f>
        <v>-</v>
      </c>
      <c r="BA117" s="588" t="str">
        <f>IFERROR(IF(INDEX(Scénarios!$B$2:$AI$232,MATCH($S117,Scénarios!$AI$2:$AI$232,0),MATCH(BA$4,Scénarios!$B$4:$AI$4,0))=0,"",INDEX(Scénarios!$B$2:$AI$232,MATCH($S117,Scénarios!$AI$2:$AI$232,0),MATCH(BA$4,Scénarios!$B$4:$AI$4,0))),"-")</f>
        <v>-</v>
      </c>
      <c r="BB117" s="443" t="str">
        <f>IFERROR(IF(INDEX(Scénarios!$B$2:$AK$237,MATCH($S117,Scénarios!$AI$2:$AI$237,0),MATCH(BB$4,Scénarios!$B$4:$AK$4,0))=0,"",INDEX(Scénarios!$B$2:$AK$237,MATCH($S117,Scénarios!$AI$2:$AI$237,0),MATCH(BB$4,Scénarios!$B$4:$AK$4,0))),"-")</f>
        <v>-</v>
      </c>
      <c r="BC117" s="443" t="str">
        <f>IFERROR(INDEX(Scénarios!$B$2:$AV$232,MATCH($S117,Scénarios!$AI$2:$AI$232,0),MATCH(BC$4,Scénarios!$B$4:$AV$4,0)),"-")</f>
        <v>-</v>
      </c>
    </row>
    <row r="118" spans="15:55" ht="25.5" customHeight="1" x14ac:dyDescent="0.25">
      <c r="O118" s="604" t="str">
        <f t="shared" si="1"/>
        <v>Fiche R114 sans décision :
Veuillez ajouter une décision</v>
      </c>
      <c r="P118" s="609" t="s">
        <v>2188</v>
      </c>
      <c r="Q118" s="605" t="s">
        <v>2067</v>
      </c>
      <c r="R118" s="585" t="s">
        <v>2068</v>
      </c>
      <c r="S118" s="587" t="s">
        <v>2152</v>
      </c>
      <c r="T118" s="588" t="str">
        <f>IFERROR(INDEX(Tab_sel!$B$7:$C$18,MATCH($AB118,Tab_sel!$C$7:$C$18,0),1),"-")</f>
        <v>-</v>
      </c>
      <c r="U118" s="589" t="str">
        <f>IFERROR(INDEX(Scénarios!$B$2:$AI$232,MATCH($S118,Scénarios!$AI$2:$AI$232,0),MATCH(U$4,Scénarios!$B$4:$AI$4,0)),"-")</f>
        <v>-</v>
      </c>
      <c r="V118" s="588" t="str">
        <f>IFERROR(INDEX(Scénarios!$B$2:$AI$232,MATCH($S118,Scénarios!$AI$2:$AI$232,0),MATCH(V$4,Scénarios!$B$4:$AI$4,0)),"-")</f>
        <v>-</v>
      </c>
      <c r="W118" s="588" t="str">
        <f>IFERROR(INDEX(Scénarios!$B$2:$AI$232,MATCH($S118,Scénarios!$AI$2:$AI$232,0),MATCH(W$4,Scénarios!$B$4:$AI$4,0)),"-")</f>
        <v>-</v>
      </c>
      <c r="X118" s="588" t="str">
        <f>IFERROR(VLOOKUP(AD118,Expo!$D$4:$E$35,2,FALSE),"-")</f>
        <v>-</v>
      </c>
      <c r="Y118" s="859" t="str">
        <f>IFERROR(IF(INDEX(Scénarios!$B$2:$AI$232,MATCH($S118,Scénarios!$AI$2:$AI$232,0),MATCH(Y$4,Scénarios!$B$4:$AI$4,0))=0,"",INDEX(Scénarios!$B$2:$AI$232,MATCH($S118,Scénarios!$AI$2:$AI$232,0),MATCH(Y$4,Scénarios!$B$4:$AI$4,0))),"-")</f>
        <v>-</v>
      </c>
      <c r="Z118" s="589" t="str">
        <f>IFERROR(INDEX(Scénarios!$B$2:$AI$232,MATCH($S118,Scénarios!$AI$2:$AI$232,0),MATCH(Z$4,Scénarios!$B$4:$AI$4,0)),"-")</f>
        <v>-</v>
      </c>
      <c r="AA118" s="589" t="str">
        <f>IFERROR(INDEX(Scénarios!$B$2:$AI$232,MATCH($S118,Scénarios!$AI$2:$AI$232,0),MATCH(AA$4,Scénarios!$B$4:$AI$4,0)),"-")</f>
        <v>-</v>
      </c>
      <c r="AB118" s="586" t="str">
        <f>IFERROR(INDEX(Scénarios!$B$2:$AI$232,MATCH($S118,Scénarios!$AI$2:$AI$232,0),MATCH(AB$4,Scénarios!$B$4:$AI$4,0)),"-")</f>
        <v>-</v>
      </c>
      <c r="AC118" s="442" t="str">
        <f>IFERROR(INDEX(Tab_sel!$B$24:$C$27,MATCH($U118,Tab_sel!$C$24:$C$27,0),1),"-")</f>
        <v>-</v>
      </c>
      <c r="AD118" s="443" t="str">
        <f>IFERROR(INDEX(Scénarios!$B$2:$AI$232,MATCH($S118,Scénarios!$AI$2:$AI$232,0),MATCH(AD$4,Scénarios!$B$4:$AI$4,0)),"-")</f>
        <v>-</v>
      </c>
      <c r="AE118" s="460" t="str">
        <f>IFERROR(INDEX(Scénarios!$B$2:$AI$232,MATCH($S118,Scénarios!$AI$2:$AI$232,0),MATCH(AE$4,Scénarios!$B$4:$AI$4,0)),"-")</f>
        <v>-</v>
      </c>
      <c r="AF118" s="460" t="str">
        <f>IFERROR(INDEX(Scénarios!$B$2:$AI$232,MATCH($S118,Scénarios!$AI$2:$AI$232,0),MATCH(AF$4,Scénarios!$B$4:$AI$4,0)),"-")</f>
        <v>-</v>
      </c>
      <c r="AG118" s="460" t="str">
        <f>IFERROR(INDEX(Scénarios!$B$2:$AI$232,MATCH($S118,Scénarios!$AI$2:$AI$232,0),MATCH(AG$4,Scénarios!$B$4:$AI$4,0)),"-")</f>
        <v>-</v>
      </c>
      <c r="AH118" s="460" t="str">
        <f>IFERROR(INDEX(Scénarios!$B$2:$AI$232,MATCH($S118,Scénarios!$AI$2:$AI$232,0),MATCH(AH$4,Scénarios!$B$4:$AI$4,0)),"-")</f>
        <v>-</v>
      </c>
      <c r="AI118" s="443" t="str">
        <f>IFERROR(INDEX(Scénarios!$B$2:$AI$232,MATCH($S118,Scénarios!$AI$2:$AI$232,0),MATCH(AI$4,Scénarios!$B$4:$AI$4,0)),"-")</f>
        <v>-</v>
      </c>
      <c r="AJ118" s="443" t="str">
        <f>IFERROR(INDEX(Param!$A$3:$C$7,MATCH($AI118,Param!$C$3:$C$7,0),1),"-")</f>
        <v>-</v>
      </c>
      <c r="AK118" s="443" t="str">
        <f>IFERROR(INDEX(Scénarios!$B$2:$AI$232,MATCH($S118,Scénarios!$AI$2:$AI$232,0),MATCH(AK$4,Scénarios!$B$4:$AI$4,0)),"-")</f>
        <v>-</v>
      </c>
      <c r="AL118" s="443" t="str">
        <f>IFERROR(INDEX(Scénarios!$B$2:$AI$232,MATCH($S118,Scénarios!$AI$2:$AI$232,0),MATCH(AL$4,Scénarios!$B$4:$AI$4,0)),"-")</f>
        <v>-</v>
      </c>
      <c r="AM118" s="443" t="str">
        <f>IFERROR(INDEX(Param!$A$10:$C$14,MATCH($AL118,Param!$C$10:$C$14,0),1),"-")</f>
        <v>-</v>
      </c>
      <c r="AN118" s="443" t="str">
        <f>IFERROR(IF(INDEX(Scénarios!$B$2:$AI$232,MATCH($S118,Scénarios!$AI$2:$AI$232,0),MATCH(AN$4,Scénarios!$B$4:$AI$4,0))=0,"",INDEX(Scénarios!$B$2:$AI$232,MATCH($S118,Scénarios!$AI$2:$AI$232,0),MATCH(AN$4,Scénarios!$B$4:$AI$4,0))),"-")</f>
        <v>-</v>
      </c>
      <c r="AO118" s="443" t="str">
        <f>IFERROR(INDEX(Scénarios!$B$2:$AI$232,MATCH($S118,Scénarios!$AI$2:$AI$232,0),MATCH(AO$4,Scénarios!$B$4:$AI$4,0)),"-")</f>
        <v>-</v>
      </c>
      <c r="AP118" s="443" t="str">
        <f>IFERROR(INDEX(Param!$A$17:$C$21,MATCH($AO118,Param!$C$17:$C$21,0),1),"-")</f>
        <v>-</v>
      </c>
      <c r="AQ118" s="443" t="str">
        <f>IFERROR(IF(INDEX(Scénarios!$B$2:$AI$232,MATCH($S118,Scénarios!$AI$2:$AI$232,0),MATCH(AQ$4,Scénarios!$B$4:$AI$4,0))=0,"",INDEX(Scénarios!$B$2:$AI$232,MATCH($S118,Scénarios!$AI$2:$AI$232,0),MATCH(AQ$4,Scénarios!$B$4:$AI$4,0))),"-")</f>
        <v>-</v>
      </c>
      <c r="AR118" s="443" t="str">
        <f>IFERROR(INDEX(Scénarios!$B$2:$AI$232,MATCH($S118,Scénarios!$AI$2:$AI$232,0),MATCH(AR$4,Scénarios!$B$4:$AI$4,0)),"-")</f>
        <v>-</v>
      </c>
      <c r="AS118" s="443" t="str">
        <f>IFERROR(INDEX(Param!$A$24:$C$28,MATCH($AR118,Param!$C$24:$C$28,0),1),"-")</f>
        <v>-</v>
      </c>
      <c r="AT118" s="443" t="str">
        <f>IFERROR(IF(INDEX(Scénarios!$B$2:$AI$232,MATCH($S118,Scénarios!$AI$2:$AI$232,0),MATCH(AT$4,Scénarios!$B$4:$AI$4,0))=0,"",INDEX(Scénarios!$B$2:$AI$232,MATCH($S118,Scénarios!$AI$2:$AI$232,0),MATCH(AT$4,Scénarios!$B$4:$AI$4,0))),"-")</f>
        <v>-</v>
      </c>
      <c r="AU118" s="462" t="str">
        <f>IFERROR(INDEX(Scénarios!$B$2:$AI$232,MATCH($S118,Scénarios!$AI$2:$AI$232,0),MATCH(AU$4,Scénarios!$B$4:$AI$4,0)),"-")</f>
        <v>-</v>
      </c>
      <c r="AV118" s="462" t="str">
        <f>IFERROR(INDEX(Scénarios!$B$2:$AI$232,MATCH($S118,Scénarios!$AI$2:$AI$232,0),MATCH(AV$4,Scénarios!$B$4:$AI$4,0)),"-")</f>
        <v>-</v>
      </c>
      <c r="AW118" s="462" t="str">
        <f>IFERROR(INDEX(Scénarios!$B$2:$AI$232,MATCH($S118,Scénarios!$AI$2:$AI$232,0),MATCH(AW$4,Scénarios!$B$4:$AI$4,0)),"-")</f>
        <v>-</v>
      </c>
      <c r="AX118" s="462" t="str">
        <f>IFERROR(INDEX(Scénarios!$B$2:$AI$232,MATCH($S118,Scénarios!$AI$2:$AI$232,0),MATCH(AX$4,Scénarios!$B$4:$AI$4,0)),"-")</f>
        <v>-</v>
      </c>
      <c r="AY118" s="443" t="str">
        <f>IFERROR(INDEX(Scénarios!$B$2:$AI$232,MATCH($S118,Scénarios!$AI$2:$AI$232,0),MATCH(AY$4,Scénarios!$B$4:$AI$4,0)),"-")</f>
        <v>-</v>
      </c>
      <c r="AZ118" s="588" t="str">
        <f>IFERROR(INDEX(Param!$A$31:$C$35,MATCH($AY118,Param!$C$31:$C$35,0),1),"-")</f>
        <v>-</v>
      </c>
      <c r="BA118" s="588" t="str">
        <f>IFERROR(IF(INDEX(Scénarios!$B$2:$AI$232,MATCH($S118,Scénarios!$AI$2:$AI$232,0),MATCH(BA$4,Scénarios!$B$4:$AI$4,0))=0,"",INDEX(Scénarios!$B$2:$AI$232,MATCH($S118,Scénarios!$AI$2:$AI$232,0),MATCH(BA$4,Scénarios!$B$4:$AI$4,0))),"-")</f>
        <v>-</v>
      </c>
      <c r="BB118" s="443" t="str">
        <f>IFERROR(IF(INDEX(Scénarios!$B$2:$AK$237,MATCH($S118,Scénarios!$AI$2:$AI$237,0),MATCH(BB$4,Scénarios!$B$4:$AK$4,0))=0,"",INDEX(Scénarios!$B$2:$AK$237,MATCH($S118,Scénarios!$AI$2:$AI$237,0),MATCH(BB$4,Scénarios!$B$4:$AK$4,0))),"-")</f>
        <v>-</v>
      </c>
      <c r="BC118" s="443" t="str">
        <f>IFERROR(INDEX(Scénarios!$B$2:$AV$232,MATCH($S118,Scénarios!$AI$2:$AI$232,0),MATCH(BC$4,Scénarios!$B$4:$AV$4,0)),"-")</f>
        <v>-</v>
      </c>
    </row>
    <row r="119" spans="15:55" ht="25.5" customHeight="1" x14ac:dyDescent="0.25">
      <c r="O119" s="604" t="str">
        <f t="shared" si="1"/>
        <v>Fiche R115 sans décision :
Veuillez ajouter une décision</v>
      </c>
      <c r="P119" s="609" t="s">
        <v>2188</v>
      </c>
      <c r="Q119" s="605" t="s">
        <v>2067</v>
      </c>
      <c r="R119" s="585" t="s">
        <v>2068</v>
      </c>
      <c r="S119" s="587" t="s">
        <v>2153</v>
      </c>
      <c r="T119" s="588" t="str">
        <f>IFERROR(INDEX(Tab_sel!$B$7:$C$18,MATCH($AB119,Tab_sel!$C$7:$C$18,0),1),"-")</f>
        <v>-</v>
      </c>
      <c r="U119" s="589" t="str">
        <f>IFERROR(INDEX(Scénarios!$B$2:$AI$232,MATCH($S119,Scénarios!$AI$2:$AI$232,0),MATCH(U$4,Scénarios!$B$4:$AI$4,0)),"-")</f>
        <v>-</v>
      </c>
      <c r="V119" s="588" t="str">
        <f>IFERROR(INDEX(Scénarios!$B$2:$AI$232,MATCH($S119,Scénarios!$AI$2:$AI$232,0),MATCH(V$4,Scénarios!$B$4:$AI$4,0)),"-")</f>
        <v>-</v>
      </c>
      <c r="W119" s="588" t="str">
        <f>IFERROR(INDEX(Scénarios!$B$2:$AI$232,MATCH($S119,Scénarios!$AI$2:$AI$232,0),MATCH(W$4,Scénarios!$B$4:$AI$4,0)),"-")</f>
        <v>-</v>
      </c>
      <c r="X119" s="588" t="str">
        <f>IFERROR(VLOOKUP(AD119,Expo!$D$4:$E$35,2,FALSE),"-")</f>
        <v>-</v>
      </c>
      <c r="Y119" s="859" t="str">
        <f>IFERROR(IF(INDEX(Scénarios!$B$2:$AI$232,MATCH($S119,Scénarios!$AI$2:$AI$232,0),MATCH(Y$4,Scénarios!$B$4:$AI$4,0))=0,"",INDEX(Scénarios!$B$2:$AI$232,MATCH($S119,Scénarios!$AI$2:$AI$232,0),MATCH(Y$4,Scénarios!$B$4:$AI$4,0))),"-")</f>
        <v>-</v>
      </c>
      <c r="Z119" s="589" t="str">
        <f>IFERROR(INDEX(Scénarios!$B$2:$AI$232,MATCH($S119,Scénarios!$AI$2:$AI$232,0),MATCH(Z$4,Scénarios!$B$4:$AI$4,0)),"-")</f>
        <v>-</v>
      </c>
      <c r="AA119" s="589" t="str">
        <f>IFERROR(INDEX(Scénarios!$B$2:$AI$232,MATCH($S119,Scénarios!$AI$2:$AI$232,0),MATCH(AA$4,Scénarios!$B$4:$AI$4,0)),"-")</f>
        <v>-</v>
      </c>
      <c r="AB119" s="586" t="str">
        <f>IFERROR(INDEX(Scénarios!$B$2:$AI$232,MATCH($S119,Scénarios!$AI$2:$AI$232,0),MATCH(AB$4,Scénarios!$B$4:$AI$4,0)),"-")</f>
        <v>-</v>
      </c>
      <c r="AC119" s="442" t="str">
        <f>IFERROR(INDEX(Tab_sel!$B$24:$C$27,MATCH($U119,Tab_sel!$C$24:$C$27,0),1),"-")</f>
        <v>-</v>
      </c>
      <c r="AD119" s="443" t="str">
        <f>IFERROR(INDEX(Scénarios!$B$2:$AI$232,MATCH($S119,Scénarios!$AI$2:$AI$232,0),MATCH(AD$4,Scénarios!$B$4:$AI$4,0)),"-")</f>
        <v>-</v>
      </c>
      <c r="AE119" s="460" t="str">
        <f>IFERROR(INDEX(Scénarios!$B$2:$AI$232,MATCH($S119,Scénarios!$AI$2:$AI$232,0),MATCH(AE$4,Scénarios!$B$4:$AI$4,0)),"-")</f>
        <v>-</v>
      </c>
      <c r="AF119" s="460" t="str">
        <f>IFERROR(INDEX(Scénarios!$B$2:$AI$232,MATCH($S119,Scénarios!$AI$2:$AI$232,0),MATCH(AF$4,Scénarios!$B$4:$AI$4,0)),"-")</f>
        <v>-</v>
      </c>
      <c r="AG119" s="460" t="str">
        <f>IFERROR(INDEX(Scénarios!$B$2:$AI$232,MATCH($S119,Scénarios!$AI$2:$AI$232,0),MATCH(AG$4,Scénarios!$B$4:$AI$4,0)),"-")</f>
        <v>-</v>
      </c>
      <c r="AH119" s="460" t="str">
        <f>IFERROR(INDEX(Scénarios!$B$2:$AI$232,MATCH($S119,Scénarios!$AI$2:$AI$232,0),MATCH(AH$4,Scénarios!$B$4:$AI$4,0)),"-")</f>
        <v>-</v>
      </c>
      <c r="AI119" s="443" t="str">
        <f>IFERROR(INDEX(Scénarios!$B$2:$AI$232,MATCH($S119,Scénarios!$AI$2:$AI$232,0),MATCH(AI$4,Scénarios!$B$4:$AI$4,0)),"-")</f>
        <v>-</v>
      </c>
      <c r="AJ119" s="443" t="str">
        <f>IFERROR(INDEX(Param!$A$3:$C$7,MATCH($AI119,Param!$C$3:$C$7,0),1),"-")</f>
        <v>-</v>
      </c>
      <c r="AK119" s="443" t="str">
        <f>IFERROR(INDEX(Scénarios!$B$2:$AI$232,MATCH($S119,Scénarios!$AI$2:$AI$232,0),MATCH(AK$4,Scénarios!$B$4:$AI$4,0)),"-")</f>
        <v>-</v>
      </c>
      <c r="AL119" s="443" t="str">
        <f>IFERROR(INDEX(Scénarios!$B$2:$AI$232,MATCH($S119,Scénarios!$AI$2:$AI$232,0),MATCH(AL$4,Scénarios!$B$4:$AI$4,0)),"-")</f>
        <v>-</v>
      </c>
      <c r="AM119" s="443" t="str">
        <f>IFERROR(INDEX(Param!$A$10:$C$14,MATCH($AL119,Param!$C$10:$C$14,0),1),"-")</f>
        <v>-</v>
      </c>
      <c r="AN119" s="443" t="str">
        <f>IFERROR(IF(INDEX(Scénarios!$B$2:$AI$232,MATCH($S119,Scénarios!$AI$2:$AI$232,0),MATCH(AN$4,Scénarios!$B$4:$AI$4,0))=0,"",INDEX(Scénarios!$B$2:$AI$232,MATCH($S119,Scénarios!$AI$2:$AI$232,0),MATCH(AN$4,Scénarios!$B$4:$AI$4,0))),"-")</f>
        <v>-</v>
      </c>
      <c r="AO119" s="443" t="str">
        <f>IFERROR(INDEX(Scénarios!$B$2:$AI$232,MATCH($S119,Scénarios!$AI$2:$AI$232,0),MATCH(AO$4,Scénarios!$B$4:$AI$4,0)),"-")</f>
        <v>-</v>
      </c>
      <c r="AP119" s="443" t="str">
        <f>IFERROR(INDEX(Param!$A$17:$C$21,MATCH($AO119,Param!$C$17:$C$21,0),1),"-")</f>
        <v>-</v>
      </c>
      <c r="AQ119" s="443" t="str">
        <f>IFERROR(IF(INDEX(Scénarios!$B$2:$AI$232,MATCH($S119,Scénarios!$AI$2:$AI$232,0),MATCH(AQ$4,Scénarios!$B$4:$AI$4,0))=0,"",INDEX(Scénarios!$B$2:$AI$232,MATCH($S119,Scénarios!$AI$2:$AI$232,0),MATCH(AQ$4,Scénarios!$B$4:$AI$4,0))),"-")</f>
        <v>-</v>
      </c>
      <c r="AR119" s="443" t="str">
        <f>IFERROR(INDEX(Scénarios!$B$2:$AI$232,MATCH($S119,Scénarios!$AI$2:$AI$232,0),MATCH(AR$4,Scénarios!$B$4:$AI$4,0)),"-")</f>
        <v>-</v>
      </c>
      <c r="AS119" s="443" t="str">
        <f>IFERROR(INDEX(Param!$A$24:$C$28,MATCH($AR119,Param!$C$24:$C$28,0),1),"-")</f>
        <v>-</v>
      </c>
      <c r="AT119" s="443" t="str">
        <f>IFERROR(IF(INDEX(Scénarios!$B$2:$AI$232,MATCH($S119,Scénarios!$AI$2:$AI$232,0),MATCH(AT$4,Scénarios!$B$4:$AI$4,0))=0,"",INDEX(Scénarios!$B$2:$AI$232,MATCH($S119,Scénarios!$AI$2:$AI$232,0),MATCH(AT$4,Scénarios!$B$4:$AI$4,0))),"-")</f>
        <v>-</v>
      </c>
      <c r="AU119" s="462" t="str">
        <f>IFERROR(INDEX(Scénarios!$B$2:$AI$232,MATCH($S119,Scénarios!$AI$2:$AI$232,0),MATCH(AU$4,Scénarios!$B$4:$AI$4,0)),"-")</f>
        <v>-</v>
      </c>
      <c r="AV119" s="462" t="str">
        <f>IFERROR(INDEX(Scénarios!$B$2:$AI$232,MATCH($S119,Scénarios!$AI$2:$AI$232,0),MATCH(AV$4,Scénarios!$B$4:$AI$4,0)),"-")</f>
        <v>-</v>
      </c>
      <c r="AW119" s="462" t="str">
        <f>IFERROR(INDEX(Scénarios!$B$2:$AI$232,MATCH($S119,Scénarios!$AI$2:$AI$232,0),MATCH(AW$4,Scénarios!$B$4:$AI$4,0)),"-")</f>
        <v>-</v>
      </c>
      <c r="AX119" s="462" t="str">
        <f>IFERROR(INDEX(Scénarios!$B$2:$AI$232,MATCH($S119,Scénarios!$AI$2:$AI$232,0),MATCH(AX$4,Scénarios!$B$4:$AI$4,0)),"-")</f>
        <v>-</v>
      </c>
      <c r="AY119" s="443" t="str">
        <f>IFERROR(INDEX(Scénarios!$B$2:$AI$232,MATCH($S119,Scénarios!$AI$2:$AI$232,0),MATCH(AY$4,Scénarios!$B$4:$AI$4,0)),"-")</f>
        <v>-</v>
      </c>
      <c r="AZ119" s="588" t="str">
        <f>IFERROR(INDEX(Param!$A$31:$C$35,MATCH($AY119,Param!$C$31:$C$35,0),1),"-")</f>
        <v>-</v>
      </c>
      <c r="BA119" s="588" t="str">
        <f>IFERROR(IF(INDEX(Scénarios!$B$2:$AI$232,MATCH($S119,Scénarios!$AI$2:$AI$232,0),MATCH(BA$4,Scénarios!$B$4:$AI$4,0))=0,"",INDEX(Scénarios!$B$2:$AI$232,MATCH($S119,Scénarios!$AI$2:$AI$232,0),MATCH(BA$4,Scénarios!$B$4:$AI$4,0))),"-")</f>
        <v>-</v>
      </c>
      <c r="BB119" s="443" t="str">
        <f>IFERROR(IF(INDEX(Scénarios!$B$2:$AK$237,MATCH($S119,Scénarios!$AI$2:$AI$237,0),MATCH(BB$4,Scénarios!$B$4:$AK$4,0))=0,"",INDEX(Scénarios!$B$2:$AK$237,MATCH($S119,Scénarios!$AI$2:$AI$237,0),MATCH(BB$4,Scénarios!$B$4:$AK$4,0))),"-")</f>
        <v>-</v>
      </c>
      <c r="BC119" s="443" t="str">
        <f>IFERROR(INDEX(Scénarios!$B$2:$AV$232,MATCH($S119,Scénarios!$AI$2:$AI$232,0),MATCH(BC$4,Scénarios!$B$4:$AV$4,0)),"-")</f>
        <v>-</v>
      </c>
    </row>
    <row r="120" spans="15:55" ht="25.5" customHeight="1" x14ac:dyDescent="0.25">
      <c r="O120" s="604" t="str">
        <f t="shared" si="1"/>
        <v>Fiche R116 sans décision :
Veuillez ajouter une décision</v>
      </c>
      <c r="P120" s="609" t="s">
        <v>2188</v>
      </c>
      <c r="Q120" s="605" t="s">
        <v>2067</v>
      </c>
      <c r="R120" s="585" t="s">
        <v>2068</v>
      </c>
      <c r="S120" s="587" t="s">
        <v>2154</v>
      </c>
      <c r="T120" s="588" t="str">
        <f>IFERROR(INDEX(Tab_sel!$B$7:$C$18,MATCH($AB120,Tab_sel!$C$7:$C$18,0),1),"-")</f>
        <v>-</v>
      </c>
      <c r="U120" s="589" t="str">
        <f>IFERROR(INDEX(Scénarios!$B$2:$AI$232,MATCH($S120,Scénarios!$AI$2:$AI$232,0),MATCH(U$4,Scénarios!$B$4:$AI$4,0)),"-")</f>
        <v>-</v>
      </c>
      <c r="V120" s="588" t="str">
        <f>IFERROR(INDEX(Scénarios!$B$2:$AI$232,MATCH($S120,Scénarios!$AI$2:$AI$232,0),MATCH(V$4,Scénarios!$B$4:$AI$4,0)),"-")</f>
        <v>-</v>
      </c>
      <c r="W120" s="588" t="str">
        <f>IFERROR(INDEX(Scénarios!$B$2:$AI$232,MATCH($S120,Scénarios!$AI$2:$AI$232,0),MATCH(W$4,Scénarios!$B$4:$AI$4,0)),"-")</f>
        <v>-</v>
      </c>
      <c r="X120" s="588" t="str">
        <f>IFERROR(VLOOKUP(AD120,Expo!$D$4:$E$35,2,FALSE),"-")</f>
        <v>-</v>
      </c>
      <c r="Y120" s="859" t="str">
        <f>IFERROR(IF(INDEX(Scénarios!$B$2:$AI$232,MATCH($S120,Scénarios!$AI$2:$AI$232,0),MATCH(Y$4,Scénarios!$B$4:$AI$4,0))=0,"",INDEX(Scénarios!$B$2:$AI$232,MATCH($S120,Scénarios!$AI$2:$AI$232,0),MATCH(Y$4,Scénarios!$B$4:$AI$4,0))),"-")</f>
        <v>-</v>
      </c>
      <c r="Z120" s="589" t="str">
        <f>IFERROR(INDEX(Scénarios!$B$2:$AI$232,MATCH($S120,Scénarios!$AI$2:$AI$232,0),MATCH(Z$4,Scénarios!$B$4:$AI$4,0)),"-")</f>
        <v>-</v>
      </c>
      <c r="AA120" s="589" t="str">
        <f>IFERROR(INDEX(Scénarios!$B$2:$AI$232,MATCH($S120,Scénarios!$AI$2:$AI$232,0),MATCH(AA$4,Scénarios!$B$4:$AI$4,0)),"-")</f>
        <v>-</v>
      </c>
      <c r="AB120" s="586" t="str">
        <f>IFERROR(INDEX(Scénarios!$B$2:$AI$232,MATCH($S120,Scénarios!$AI$2:$AI$232,0),MATCH(AB$4,Scénarios!$B$4:$AI$4,0)),"-")</f>
        <v>-</v>
      </c>
      <c r="AC120" s="442" t="str">
        <f>IFERROR(INDEX(Tab_sel!$B$24:$C$27,MATCH($U120,Tab_sel!$C$24:$C$27,0),1),"-")</f>
        <v>-</v>
      </c>
      <c r="AD120" s="443" t="str">
        <f>IFERROR(INDEX(Scénarios!$B$2:$AI$232,MATCH($S120,Scénarios!$AI$2:$AI$232,0),MATCH(AD$4,Scénarios!$B$4:$AI$4,0)),"-")</f>
        <v>-</v>
      </c>
      <c r="AE120" s="460" t="str">
        <f>IFERROR(INDEX(Scénarios!$B$2:$AI$232,MATCH($S120,Scénarios!$AI$2:$AI$232,0),MATCH(AE$4,Scénarios!$B$4:$AI$4,0)),"-")</f>
        <v>-</v>
      </c>
      <c r="AF120" s="460" t="str">
        <f>IFERROR(INDEX(Scénarios!$B$2:$AI$232,MATCH($S120,Scénarios!$AI$2:$AI$232,0),MATCH(AF$4,Scénarios!$B$4:$AI$4,0)),"-")</f>
        <v>-</v>
      </c>
      <c r="AG120" s="460" t="str">
        <f>IFERROR(INDEX(Scénarios!$B$2:$AI$232,MATCH($S120,Scénarios!$AI$2:$AI$232,0),MATCH(AG$4,Scénarios!$B$4:$AI$4,0)),"-")</f>
        <v>-</v>
      </c>
      <c r="AH120" s="460" t="str">
        <f>IFERROR(INDEX(Scénarios!$B$2:$AI$232,MATCH($S120,Scénarios!$AI$2:$AI$232,0),MATCH(AH$4,Scénarios!$B$4:$AI$4,0)),"-")</f>
        <v>-</v>
      </c>
      <c r="AI120" s="443" t="str">
        <f>IFERROR(INDEX(Scénarios!$B$2:$AI$232,MATCH($S120,Scénarios!$AI$2:$AI$232,0),MATCH(AI$4,Scénarios!$B$4:$AI$4,0)),"-")</f>
        <v>-</v>
      </c>
      <c r="AJ120" s="443" t="str">
        <f>IFERROR(INDEX(Param!$A$3:$C$7,MATCH($AI120,Param!$C$3:$C$7,0),1),"-")</f>
        <v>-</v>
      </c>
      <c r="AK120" s="443" t="str">
        <f>IFERROR(INDEX(Scénarios!$B$2:$AI$232,MATCH($S120,Scénarios!$AI$2:$AI$232,0),MATCH(AK$4,Scénarios!$B$4:$AI$4,0)),"-")</f>
        <v>-</v>
      </c>
      <c r="AL120" s="443" t="str">
        <f>IFERROR(INDEX(Scénarios!$B$2:$AI$232,MATCH($S120,Scénarios!$AI$2:$AI$232,0),MATCH(AL$4,Scénarios!$B$4:$AI$4,0)),"-")</f>
        <v>-</v>
      </c>
      <c r="AM120" s="443" t="str">
        <f>IFERROR(INDEX(Param!$A$10:$C$14,MATCH($AL120,Param!$C$10:$C$14,0),1),"-")</f>
        <v>-</v>
      </c>
      <c r="AN120" s="443" t="str">
        <f>IFERROR(IF(INDEX(Scénarios!$B$2:$AI$232,MATCH($S120,Scénarios!$AI$2:$AI$232,0),MATCH(AN$4,Scénarios!$B$4:$AI$4,0))=0,"",INDEX(Scénarios!$B$2:$AI$232,MATCH($S120,Scénarios!$AI$2:$AI$232,0),MATCH(AN$4,Scénarios!$B$4:$AI$4,0))),"-")</f>
        <v>-</v>
      </c>
      <c r="AO120" s="443" t="str">
        <f>IFERROR(INDEX(Scénarios!$B$2:$AI$232,MATCH($S120,Scénarios!$AI$2:$AI$232,0),MATCH(AO$4,Scénarios!$B$4:$AI$4,0)),"-")</f>
        <v>-</v>
      </c>
      <c r="AP120" s="443" t="str">
        <f>IFERROR(INDEX(Param!$A$17:$C$21,MATCH($AO120,Param!$C$17:$C$21,0),1),"-")</f>
        <v>-</v>
      </c>
      <c r="AQ120" s="443" t="str">
        <f>IFERROR(IF(INDEX(Scénarios!$B$2:$AI$232,MATCH($S120,Scénarios!$AI$2:$AI$232,0),MATCH(AQ$4,Scénarios!$B$4:$AI$4,0))=0,"",INDEX(Scénarios!$B$2:$AI$232,MATCH($S120,Scénarios!$AI$2:$AI$232,0),MATCH(AQ$4,Scénarios!$B$4:$AI$4,0))),"-")</f>
        <v>-</v>
      </c>
      <c r="AR120" s="443" t="str">
        <f>IFERROR(INDEX(Scénarios!$B$2:$AI$232,MATCH($S120,Scénarios!$AI$2:$AI$232,0),MATCH(AR$4,Scénarios!$B$4:$AI$4,0)),"-")</f>
        <v>-</v>
      </c>
      <c r="AS120" s="443" t="str">
        <f>IFERROR(INDEX(Param!$A$24:$C$28,MATCH($AR120,Param!$C$24:$C$28,0),1),"-")</f>
        <v>-</v>
      </c>
      <c r="AT120" s="443" t="str">
        <f>IFERROR(IF(INDEX(Scénarios!$B$2:$AI$232,MATCH($S120,Scénarios!$AI$2:$AI$232,0),MATCH(AT$4,Scénarios!$B$4:$AI$4,0))=0,"",INDEX(Scénarios!$B$2:$AI$232,MATCH($S120,Scénarios!$AI$2:$AI$232,0),MATCH(AT$4,Scénarios!$B$4:$AI$4,0))),"-")</f>
        <v>-</v>
      </c>
      <c r="AU120" s="462" t="str">
        <f>IFERROR(INDEX(Scénarios!$B$2:$AI$232,MATCH($S120,Scénarios!$AI$2:$AI$232,0),MATCH(AU$4,Scénarios!$B$4:$AI$4,0)),"-")</f>
        <v>-</v>
      </c>
      <c r="AV120" s="462" t="str">
        <f>IFERROR(INDEX(Scénarios!$B$2:$AI$232,MATCH($S120,Scénarios!$AI$2:$AI$232,0),MATCH(AV$4,Scénarios!$B$4:$AI$4,0)),"-")</f>
        <v>-</v>
      </c>
      <c r="AW120" s="462" t="str">
        <f>IFERROR(INDEX(Scénarios!$B$2:$AI$232,MATCH($S120,Scénarios!$AI$2:$AI$232,0),MATCH(AW$4,Scénarios!$B$4:$AI$4,0)),"-")</f>
        <v>-</v>
      </c>
      <c r="AX120" s="462" t="str">
        <f>IFERROR(INDEX(Scénarios!$B$2:$AI$232,MATCH($S120,Scénarios!$AI$2:$AI$232,0),MATCH(AX$4,Scénarios!$B$4:$AI$4,0)),"-")</f>
        <v>-</v>
      </c>
      <c r="AY120" s="443" t="str">
        <f>IFERROR(INDEX(Scénarios!$B$2:$AI$232,MATCH($S120,Scénarios!$AI$2:$AI$232,0),MATCH(AY$4,Scénarios!$B$4:$AI$4,0)),"-")</f>
        <v>-</v>
      </c>
      <c r="AZ120" s="588" t="str">
        <f>IFERROR(INDEX(Param!$A$31:$C$35,MATCH($AY120,Param!$C$31:$C$35,0),1),"-")</f>
        <v>-</v>
      </c>
      <c r="BA120" s="588" t="str">
        <f>IFERROR(IF(INDEX(Scénarios!$B$2:$AI$232,MATCH($S120,Scénarios!$AI$2:$AI$232,0),MATCH(BA$4,Scénarios!$B$4:$AI$4,0))=0,"",INDEX(Scénarios!$B$2:$AI$232,MATCH($S120,Scénarios!$AI$2:$AI$232,0),MATCH(BA$4,Scénarios!$B$4:$AI$4,0))),"-")</f>
        <v>-</v>
      </c>
      <c r="BB120" s="443" t="str">
        <f>IFERROR(IF(INDEX(Scénarios!$B$2:$AK$237,MATCH($S120,Scénarios!$AI$2:$AI$237,0),MATCH(BB$4,Scénarios!$B$4:$AK$4,0))=0,"",INDEX(Scénarios!$B$2:$AK$237,MATCH($S120,Scénarios!$AI$2:$AI$237,0),MATCH(BB$4,Scénarios!$B$4:$AK$4,0))),"-")</f>
        <v>-</v>
      </c>
      <c r="BC120" s="443" t="str">
        <f>IFERROR(INDEX(Scénarios!$B$2:$AV$232,MATCH($S120,Scénarios!$AI$2:$AI$232,0),MATCH(BC$4,Scénarios!$B$4:$AV$4,0)),"-")</f>
        <v>-</v>
      </c>
    </row>
    <row r="121" spans="15:55" ht="25.5" customHeight="1" x14ac:dyDescent="0.25">
      <c r="O121" s="604" t="str">
        <f t="shared" si="1"/>
        <v>Fiche R117 sans décision :
Veuillez ajouter une décision</v>
      </c>
      <c r="P121" s="609" t="s">
        <v>2188</v>
      </c>
      <c r="Q121" s="605" t="s">
        <v>2067</v>
      </c>
      <c r="R121" s="585" t="s">
        <v>2068</v>
      </c>
      <c r="S121" s="587" t="s">
        <v>2155</v>
      </c>
      <c r="T121" s="588" t="str">
        <f>IFERROR(INDEX(Tab_sel!$B$7:$C$18,MATCH($AB121,Tab_sel!$C$7:$C$18,0),1),"-")</f>
        <v>-</v>
      </c>
      <c r="U121" s="589" t="str">
        <f>IFERROR(INDEX(Scénarios!$B$2:$AI$232,MATCH($S121,Scénarios!$AI$2:$AI$232,0),MATCH(U$4,Scénarios!$B$4:$AI$4,0)),"-")</f>
        <v>-</v>
      </c>
      <c r="V121" s="588" t="str">
        <f>IFERROR(INDEX(Scénarios!$B$2:$AI$232,MATCH($S121,Scénarios!$AI$2:$AI$232,0),MATCH(V$4,Scénarios!$B$4:$AI$4,0)),"-")</f>
        <v>-</v>
      </c>
      <c r="W121" s="588" t="str">
        <f>IFERROR(INDEX(Scénarios!$B$2:$AI$232,MATCH($S121,Scénarios!$AI$2:$AI$232,0),MATCH(W$4,Scénarios!$B$4:$AI$4,0)),"-")</f>
        <v>-</v>
      </c>
      <c r="X121" s="588" t="str">
        <f>IFERROR(VLOOKUP(AD121,Expo!$D$4:$E$35,2,FALSE),"-")</f>
        <v>-</v>
      </c>
      <c r="Y121" s="859" t="str">
        <f>IFERROR(IF(INDEX(Scénarios!$B$2:$AI$232,MATCH($S121,Scénarios!$AI$2:$AI$232,0),MATCH(Y$4,Scénarios!$B$4:$AI$4,0))=0,"",INDEX(Scénarios!$B$2:$AI$232,MATCH($S121,Scénarios!$AI$2:$AI$232,0),MATCH(Y$4,Scénarios!$B$4:$AI$4,0))),"-")</f>
        <v>-</v>
      </c>
      <c r="Z121" s="589" t="str">
        <f>IFERROR(INDEX(Scénarios!$B$2:$AI$232,MATCH($S121,Scénarios!$AI$2:$AI$232,0),MATCH(Z$4,Scénarios!$B$4:$AI$4,0)),"-")</f>
        <v>-</v>
      </c>
      <c r="AA121" s="589" t="str">
        <f>IFERROR(INDEX(Scénarios!$B$2:$AI$232,MATCH($S121,Scénarios!$AI$2:$AI$232,0),MATCH(AA$4,Scénarios!$B$4:$AI$4,0)),"-")</f>
        <v>-</v>
      </c>
      <c r="AB121" s="586" t="str">
        <f>IFERROR(INDEX(Scénarios!$B$2:$AI$232,MATCH($S121,Scénarios!$AI$2:$AI$232,0),MATCH(AB$4,Scénarios!$B$4:$AI$4,0)),"-")</f>
        <v>-</v>
      </c>
      <c r="AC121" s="442" t="str">
        <f>IFERROR(INDEX(Tab_sel!$B$24:$C$27,MATCH($U121,Tab_sel!$C$24:$C$27,0),1),"-")</f>
        <v>-</v>
      </c>
      <c r="AD121" s="443" t="str">
        <f>IFERROR(INDEX(Scénarios!$B$2:$AI$232,MATCH($S121,Scénarios!$AI$2:$AI$232,0),MATCH(AD$4,Scénarios!$B$4:$AI$4,0)),"-")</f>
        <v>-</v>
      </c>
      <c r="AE121" s="460" t="str">
        <f>IFERROR(INDEX(Scénarios!$B$2:$AI$232,MATCH($S121,Scénarios!$AI$2:$AI$232,0),MATCH(AE$4,Scénarios!$B$4:$AI$4,0)),"-")</f>
        <v>-</v>
      </c>
      <c r="AF121" s="460" t="str">
        <f>IFERROR(INDEX(Scénarios!$B$2:$AI$232,MATCH($S121,Scénarios!$AI$2:$AI$232,0),MATCH(AF$4,Scénarios!$B$4:$AI$4,0)),"-")</f>
        <v>-</v>
      </c>
      <c r="AG121" s="460" t="str">
        <f>IFERROR(INDEX(Scénarios!$B$2:$AI$232,MATCH($S121,Scénarios!$AI$2:$AI$232,0),MATCH(AG$4,Scénarios!$B$4:$AI$4,0)),"-")</f>
        <v>-</v>
      </c>
      <c r="AH121" s="460" t="str">
        <f>IFERROR(INDEX(Scénarios!$B$2:$AI$232,MATCH($S121,Scénarios!$AI$2:$AI$232,0),MATCH(AH$4,Scénarios!$B$4:$AI$4,0)),"-")</f>
        <v>-</v>
      </c>
      <c r="AI121" s="443" t="str">
        <f>IFERROR(INDEX(Scénarios!$B$2:$AI$232,MATCH($S121,Scénarios!$AI$2:$AI$232,0),MATCH(AI$4,Scénarios!$B$4:$AI$4,0)),"-")</f>
        <v>-</v>
      </c>
      <c r="AJ121" s="443" t="str">
        <f>IFERROR(INDEX(Param!$A$3:$C$7,MATCH($AI121,Param!$C$3:$C$7,0),1),"-")</f>
        <v>-</v>
      </c>
      <c r="AK121" s="443" t="str">
        <f>IFERROR(INDEX(Scénarios!$B$2:$AI$232,MATCH($S121,Scénarios!$AI$2:$AI$232,0),MATCH(AK$4,Scénarios!$B$4:$AI$4,0)),"-")</f>
        <v>-</v>
      </c>
      <c r="AL121" s="443" t="str">
        <f>IFERROR(INDEX(Scénarios!$B$2:$AI$232,MATCH($S121,Scénarios!$AI$2:$AI$232,0),MATCH(AL$4,Scénarios!$B$4:$AI$4,0)),"-")</f>
        <v>-</v>
      </c>
      <c r="AM121" s="443" t="str">
        <f>IFERROR(INDEX(Param!$A$10:$C$14,MATCH($AL121,Param!$C$10:$C$14,0),1),"-")</f>
        <v>-</v>
      </c>
      <c r="AN121" s="443" t="str">
        <f>IFERROR(IF(INDEX(Scénarios!$B$2:$AI$232,MATCH($S121,Scénarios!$AI$2:$AI$232,0),MATCH(AN$4,Scénarios!$B$4:$AI$4,0))=0,"",INDEX(Scénarios!$B$2:$AI$232,MATCH($S121,Scénarios!$AI$2:$AI$232,0),MATCH(AN$4,Scénarios!$B$4:$AI$4,0))),"-")</f>
        <v>-</v>
      </c>
      <c r="AO121" s="443" t="str">
        <f>IFERROR(INDEX(Scénarios!$B$2:$AI$232,MATCH($S121,Scénarios!$AI$2:$AI$232,0),MATCH(AO$4,Scénarios!$B$4:$AI$4,0)),"-")</f>
        <v>-</v>
      </c>
      <c r="AP121" s="443" t="str">
        <f>IFERROR(INDEX(Param!$A$17:$C$21,MATCH($AO121,Param!$C$17:$C$21,0),1),"-")</f>
        <v>-</v>
      </c>
      <c r="AQ121" s="443" t="str">
        <f>IFERROR(IF(INDEX(Scénarios!$B$2:$AI$232,MATCH($S121,Scénarios!$AI$2:$AI$232,0),MATCH(AQ$4,Scénarios!$B$4:$AI$4,0))=0,"",INDEX(Scénarios!$B$2:$AI$232,MATCH($S121,Scénarios!$AI$2:$AI$232,0),MATCH(AQ$4,Scénarios!$B$4:$AI$4,0))),"-")</f>
        <v>-</v>
      </c>
      <c r="AR121" s="443" t="str">
        <f>IFERROR(INDEX(Scénarios!$B$2:$AI$232,MATCH($S121,Scénarios!$AI$2:$AI$232,0),MATCH(AR$4,Scénarios!$B$4:$AI$4,0)),"-")</f>
        <v>-</v>
      </c>
      <c r="AS121" s="443" t="str">
        <f>IFERROR(INDEX(Param!$A$24:$C$28,MATCH($AR121,Param!$C$24:$C$28,0),1),"-")</f>
        <v>-</v>
      </c>
      <c r="AT121" s="443" t="str">
        <f>IFERROR(IF(INDEX(Scénarios!$B$2:$AI$232,MATCH($S121,Scénarios!$AI$2:$AI$232,0),MATCH(AT$4,Scénarios!$B$4:$AI$4,0))=0,"",INDEX(Scénarios!$B$2:$AI$232,MATCH($S121,Scénarios!$AI$2:$AI$232,0),MATCH(AT$4,Scénarios!$B$4:$AI$4,0))),"-")</f>
        <v>-</v>
      </c>
      <c r="AU121" s="462" t="str">
        <f>IFERROR(INDEX(Scénarios!$B$2:$AI$232,MATCH($S121,Scénarios!$AI$2:$AI$232,0),MATCH(AU$4,Scénarios!$B$4:$AI$4,0)),"-")</f>
        <v>-</v>
      </c>
      <c r="AV121" s="462" t="str">
        <f>IFERROR(INDEX(Scénarios!$B$2:$AI$232,MATCH($S121,Scénarios!$AI$2:$AI$232,0),MATCH(AV$4,Scénarios!$B$4:$AI$4,0)),"-")</f>
        <v>-</v>
      </c>
      <c r="AW121" s="462" t="str">
        <f>IFERROR(INDEX(Scénarios!$B$2:$AI$232,MATCH($S121,Scénarios!$AI$2:$AI$232,0),MATCH(AW$4,Scénarios!$B$4:$AI$4,0)),"-")</f>
        <v>-</v>
      </c>
      <c r="AX121" s="462" t="str">
        <f>IFERROR(INDEX(Scénarios!$B$2:$AI$232,MATCH($S121,Scénarios!$AI$2:$AI$232,0),MATCH(AX$4,Scénarios!$B$4:$AI$4,0)),"-")</f>
        <v>-</v>
      </c>
      <c r="AY121" s="443" t="str">
        <f>IFERROR(INDEX(Scénarios!$B$2:$AI$232,MATCH($S121,Scénarios!$AI$2:$AI$232,0),MATCH(AY$4,Scénarios!$B$4:$AI$4,0)),"-")</f>
        <v>-</v>
      </c>
      <c r="AZ121" s="588" t="str">
        <f>IFERROR(INDEX(Param!$A$31:$C$35,MATCH($AY121,Param!$C$31:$C$35,0),1),"-")</f>
        <v>-</v>
      </c>
      <c r="BA121" s="588" t="str">
        <f>IFERROR(IF(INDEX(Scénarios!$B$2:$AI$232,MATCH($S121,Scénarios!$AI$2:$AI$232,0),MATCH(BA$4,Scénarios!$B$4:$AI$4,0))=0,"",INDEX(Scénarios!$B$2:$AI$232,MATCH($S121,Scénarios!$AI$2:$AI$232,0),MATCH(BA$4,Scénarios!$B$4:$AI$4,0))),"-")</f>
        <v>-</v>
      </c>
      <c r="BB121" s="443" t="str">
        <f>IFERROR(IF(INDEX(Scénarios!$B$2:$AK$237,MATCH($S121,Scénarios!$AI$2:$AI$237,0),MATCH(BB$4,Scénarios!$B$4:$AK$4,0))=0,"",INDEX(Scénarios!$B$2:$AK$237,MATCH($S121,Scénarios!$AI$2:$AI$237,0),MATCH(BB$4,Scénarios!$B$4:$AK$4,0))),"-")</f>
        <v>-</v>
      </c>
      <c r="BC121" s="443" t="str">
        <f>IFERROR(INDEX(Scénarios!$B$2:$AV$232,MATCH($S121,Scénarios!$AI$2:$AI$232,0),MATCH(BC$4,Scénarios!$B$4:$AV$4,0)),"-")</f>
        <v>-</v>
      </c>
    </row>
    <row r="122" spans="15:55" ht="25.5" customHeight="1" x14ac:dyDescent="0.25">
      <c r="O122" s="604" t="str">
        <f t="shared" si="1"/>
        <v>Fiche R118 sans décision :
Veuillez ajouter une décision</v>
      </c>
      <c r="P122" s="609" t="s">
        <v>2188</v>
      </c>
      <c r="Q122" s="605" t="s">
        <v>2067</v>
      </c>
      <c r="R122" s="585" t="s">
        <v>2068</v>
      </c>
      <c r="S122" s="587" t="s">
        <v>2156</v>
      </c>
      <c r="T122" s="588" t="str">
        <f>IFERROR(INDEX(Tab_sel!$B$7:$C$18,MATCH($AB122,Tab_sel!$C$7:$C$18,0),1),"-")</f>
        <v>-</v>
      </c>
      <c r="U122" s="589" t="str">
        <f>IFERROR(INDEX(Scénarios!$B$2:$AI$232,MATCH($S122,Scénarios!$AI$2:$AI$232,0),MATCH(U$4,Scénarios!$B$4:$AI$4,0)),"-")</f>
        <v>-</v>
      </c>
      <c r="V122" s="588" t="str">
        <f>IFERROR(INDEX(Scénarios!$B$2:$AI$232,MATCH($S122,Scénarios!$AI$2:$AI$232,0),MATCH(V$4,Scénarios!$B$4:$AI$4,0)),"-")</f>
        <v>-</v>
      </c>
      <c r="W122" s="588" t="str">
        <f>IFERROR(INDEX(Scénarios!$B$2:$AI$232,MATCH($S122,Scénarios!$AI$2:$AI$232,0),MATCH(W$4,Scénarios!$B$4:$AI$4,0)),"-")</f>
        <v>-</v>
      </c>
      <c r="X122" s="588" t="str">
        <f>IFERROR(VLOOKUP(AD122,Expo!$D$4:$E$35,2,FALSE),"-")</f>
        <v>-</v>
      </c>
      <c r="Y122" s="859" t="str">
        <f>IFERROR(IF(INDEX(Scénarios!$B$2:$AI$232,MATCH($S122,Scénarios!$AI$2:$AI$232,0),MATCH(Y$4,Scénarios!$B$4:$AI$4,0))=0,"",INDEX(Scénarios!$B$2:$AI$232,MATCH($S122,Scénarios!$AI$2:$AI$232,0),MATCH(Y$4,Scénarios!$B$4:$AI$4,0))),"-")</f>
        <v>-</v>
      </c>
      <c r="Z122" s="589" t="str">
        <f>IFERROR(INDEX(Scénarios!$B$2:$AI$232,MATCH($S122,Scénarios!$AI$2:$AI$232,0),MATCH(Z$4,Scénarios!$B$4:$AI$4,0)),"-")</f>
        <v>-</v>
      </c>
      <c r="AA122" s="589" t="str">
        <f>IFERROR(INDEX(Scénarios!$B$2:$AI$232,MATCH($S122,Scénarios!$AI$2:$AI$232,0),MATCH(AA$4,Scénarios!$B$4:$AI$4,0)),"-")</f>
        <v>-</v>
      </c>
      <c r="AB122" s="586" t="str">
        <f>IFERROR(INDEX(Scénarios!$B$2:$AI$232,MATCH($S122,Scénarios!$AI$2:$AI$232,0),MATCH(AB$4,Scénarios!$B$4:$AI$4,0)),"-")</f>
        <v>-</v>
      </c>
      <c r="AC122" s="442" t="str">
        <f>IFERROR(INDEX(Tab_sel!$B$24:$C$27,MATCH($U122,Tab_sel!$C$24:$C$27,0),1),"-")</f>
        <v>-</v>
      </c>
      <c r="AD122" s="443" t="str">
        <f>IFERROR(INDEX(Scénarios!$B$2:$AI$232,MATCH($S122,Scénarios!$AI$2:$AI$232,0),MATCH(AD$4,Scénarios!$B$4:$AI$4,0)),"-")</f>
        <v>-</v>
      </c>
      <c r="AE122" s="460" t="str">
        <f>IFERROR(INDEX(Scénarios!$B$2:$AI$232,MATCH($S122,Scénarios!$AI$2:$AI$232,0),MATCH(AE$4,Scénarios!$B$4:$AI$4,0)),"-")</f>
        <v>-</v>
      </c>
      <c r="AF122" s="460" t="str">
        <f>IFERROR(INDEX(Scénarios!$B$2:$AI$232,MATCH($S122,Scénarios!$AI$2:$AI$232,0),MATCH(AF$4,Scénarios!$B$4:$AI$4,0)),"-")</f>
        <v>-</v>
      </c>
      <c r="AG122" s="460" t="str">
        <f>IFERROR(INDEX(Scénarios!$B$2:$AI$232,MATCH($S122,Scénarios!$AI$2:$AI$232,0),MATCH(AG$4,Scénarios!$B$4:$AI$4,0)),"-")</f>
        <v>-</v>
      </c>
      <c r="AH122" s="460" t="str">
        <f>IFERROR(INDEX(Scénarios!$B$2:$AI$232,MATCH($S122,Scénarios!$AI$2:$AI$232,0),MATCH(AH$4,Scénarios!$B$4:$AI$4,0)),"-")</f>
        <v>-</v>
      </c>
      <c r="AI122" s="443" t="str">
        <f>IFERROR(INDEX(Scénarios!$B$2:$AI$232,MATCH($S122,Scénarios!$AI$2:$AI$232,0),MATCH(AI$4,Scénarios!$B$4:$AI$4,0)),"-")</f>
        <v>-</v>
      </c>
      <c r="AJ122" s="443" t="str">
        <f>IFERROR(INDEX(Param!$A$3:$C$7,MATCH($AI122,Param!$C$3:$C$7,0),1),"-")</f>
        <v>-</v>
      </c>
      <c r="AK122" s="443" t="str">
        <f>IFERROR(INDEX(Scénarios!$B$2:$AI$232,MATCH($S122,Scénarios!$AI$2:$AI$232,0),MATCH(AK$4,Scénarios!$B$4:$AI$4,0)),"-")</f>
        <v>-</v>
      </c>
      <c r="AL122" s="443" t="str">
        <f>IFERROR(INDEX(Scénarios!$B$2:$AI$232,MATCH($S122,Scénarios!$AI$2:$AI$232,0),MATCH(AL$4,Scénarios!$B$4:$AI$4,0)),"-")</f>
        <v>-</v>
      </c>
      <c r="AM122" s="443" t="str">
        <f>IFERROR(INDEX(Param!$A$10:$C$14,MATCH($AL122,Param!$C$10:$C$14,0),1),"-")</f>
        <v>-</v>
      </c>
      <c r="AN122" s="443" t="str">
        <f>IFERROR(IF(INDEX(Scénarios!$B$2:$AI$232,MATCH($S122,Scénarios!$AI$2:$AI$232,0),MATCH(AN$4,Scénarios!$B$4:$AI$4,0))=0,"",INDEX(Scénarios!$B$2:$AI$232,MATCH($S122,Scénarios!$AI$2:$AI$232,0),MATCH(AN$4,Scénarios!$B$4:$AI$4,0))),"-")</f>
        <v>-</v>
      </c>
      <c r="AO122" s="443" t="str">
        <f>IFERROR(INDEX(Scénarios!$B$2:$AI$232,MATCH($S122,Scénarios!$AI$2:$AI$232,0),MATCH(AO$4,Scénarios!$B$4:$AI$4,0)),"-")</f>
        <v>-</v>
      </c>
      <c r="AP122" s="443" t="str">
        <f>IFERROR(INDEX(Param!$A$17:$C$21,MATCH($AO122,Param!$C$17:$C$21,0),1),"-")</f>
        <v>-</v>
      </c>
      <c r="AQ122" s="443" t="str">
        <f>IFERROR(IF(INDEX(Scénarios!$B$2:$AI$232,MATCH($S122,Scénarios!$AI$2:$AI$232,0),MATCH(AQ$4,Scénarios!$B$4:$AI$4,0))=0,"",INDEX(Scénarios!$B$2:$AI$232,MATCH($S122,Scénarios!$AI$2:$AI$232,0),MATCH(AQ$4,Scénarios!$B$4:$AI$4,0))),"-")</f>
        <v>-</v>
      </c>
      <c r="AR122" s="443" t="str">
        <f>IFERROR(INDEX(Scénarios!$B$2:$AI$232,MATCH($S122,Scénarios!$AI$2:$AI$232,0),MATCH(AR$4,Scénarios!$B$4:$AI$4,0)),"-")</f>
        <v>-</v>
      </c>
      <c r="AS122" s="443" t="str">
        <f>IFERROR(INDEX(Param!$A$24:$C$28,MATCH($AR122,Param!$C$24:$C$28,0),1),"-")</f>
        <v>-</v>
      </c>
      <c r="AT122" s="443" t="str">
        <f>IFERROR(IF(INDEX(Scénarios!$B$2:$AI$232,MATCH($S122,Scénarios!$AI$2:$AI$232,0),MATCH(AT$4,Scénarios!$B$4:$AI$4,0))=0,"",INDEX(Scénarios!$B$2:$AI$232,MATCH($S122,Scénarios!$AI$2:$AI$232,0),MATCH(AT$4,Scénarios!$B$4:$AI$4,0))),"-")</f>
        <v>-</v>
      </c>
      <c r="AU122" s="462" t="str">
        <f>IFERROR(INDEX(Scénarios!$B$2:$AI$232,MATCH($S122,Scénarios!$AI$2:$AI$232,0),MATCH(AU$4,Scénarios!$B$4:$AI$4,0)),"-")</f>
        <v>-</v>
      </c>
      <c r="AV122" s="462" t="str">
        <f>IFERROR(INDEX(Scénarios!$B$2:$AI$232,MATCH($S122,Scénarios!$AI$2:$AI$232,0),MATCH(AV$4,Scénarios!$B$4:$AI$4,0)),"-")</f>
        <v>-</v>
      </c>
      <c r="AW122" s="462" t="str">
        <f>IFERROR(INDEX(Scénarios!$B$2:$AI$232,MATCH($S122,Scénarios!$AI$2:$AI$232,0),MATCH(AW$4,Scénarios!$B$4:$AI$4,0)),"-")</f>
        <v>-</v>
      </c>
      <c r="AX122" s="462" t="str">
        <f>IFERROR(INDEX(Scénarios!$B$2:$AI$232,MATCH($S122,Scénarios!$AI$2:$AI$232,0),MATCH(AX$4,Scénarios!$B$4:$AI$4,0)),"-")</f>
        <v>-</v>
      </c>
      <c r="AY122" s="443" t="str">
        <f>IFERROR(INDEX(Scénarios!$B$2:$AI$232,MATCH($S122,Scénarios!$AI$2:$AI$232,0),MATCH(AY$4,Scénarios!$B$4:$AI$4,0)),"-")</f>
        <v>-</v>
      </c>
      <c r="AZ122" s="588" t="str">
        <f>IFERROR(INDEX(Param!$A$31:$C$35,MATCH($AY122,Param!$C$31:$C$35,0),1),"-")</f>
        <v>-</v>
      </c>
      <c r="BA122" s="588" t="str">
        <f>IFERROR(IF(INDEX(Scénarios!$B$2:$AI$232,MATCH($S122,Scénarios!$AI$2:$AI$232,0),MATCH(BA$4,Scénarios!$B$4:$AI$4,0))=0,"",INDEX(Scénarios!$B$2:$AI$232,MATCH($S122,Scénarios!$AI$2:$AI$232,0),MATCH(BA$4,Scénarios!$B$4:$AI$4,0))),"-")</f>
        <v>-</v>
      </c>
      <c r="BB122" s="443" t="str">
        <f>IFERROR(IF(INDEX(Scénarios!$B$2:$AK$237,MATCH($S122,Scénarios!$AI$2:$AI$237,0),MATCH(BB$4,Scénarios!$B$4:$AK$4,0))=0,"",INDEX(Scénarios!$B$2:$AK$237,MATCH($S122,Scénarios!$AI$2:$AI$237,0),MATCH(BB$4,Scénarios!$B$4:$AK$4,0))),"-")</f>
        <v>-</v>
      </c>
      <c r="BC122" s="443" t="str">
        <f>IFERROR(INDEX(Scénarios!$B$2:$AV$232,MATCH($S122,Scénarios!$AI$2:$AI$232,0),MATCH(BC$4,Scénarios!$B$4:$AV$4,0)),"-")</f>
        <v>-</v>
      </c>
    </row>
    <row r="123" spans="15:55" ht="25.5" customHeight="1" x14ac:dyDescent="0.25">
      <c r="O123" s="604" t="str">
        <f t="shared" si="1"/>
        <v>Fiche R119 sans décision :
Veuillez ajouter une décision</v>
      </c>
      <c r="P123" s="609" t="s">
        <v>2188</v>
      </c>
      <c r="Q123" s="605" t="s">
        <v>2067</v>
      </c>
      <c r="R123" s="585" t="s">
        <v>2068</v>
      </c>
      <c r="S123" s="587" t="s">
        <v>2157</v>
      </c>
      <c r="T123" s="588" t="str">
        <f>IFERROR(INDEX(Tab_sel!$B$7:$C$18,MATCH($AB123,Tab_sel!$C$7:$C$18,0),1),"-")</f>
        <v>-</v>
      </c>
      <c r="U123" s="589" t="str">
        <f>IFERROR(INDEX(Scénarios!$B$2:$AI$232,MATCH($S123,Scénarios!$AI$2:$AI$232,0),MATCH(U$4,Scénarios!$B$4:$AI$4,0)),"-")</f>
        <v>-</v>
      </c>
      <c r="V123" s="588" t="str">
        <f>IFERROR(INDEX(Scénarios!$B$2:$AI$232,MATCH($S123,Scénarios!$AI$2:$AI$232,0),MATCH(V$4,Scénarios!$B$4:$AI$4,0)),"-")</f>
        <v>-</v>
      </c>
      <c r="W123" s="588" t="str">
        <f>IFERROR(INDEX(Scénarios!$B$2:$AI$232,MATCH($S123,Scénarios!$AI$2:$AI$232,0),MATCH(W$4,Scénarios!$B$4:$AI$4,0)),"-")</f>
        <v>-</v>
      </c>
      <c r="X123" s="588" t="str">
        <f>IFERROR(VLOOKUP(AD123,Expo!$D$4:$E$35,2,FALSE),"-")</f>
        <v>-</v>
      </c>
      <c r="Y123" s="859" t="str">
        <f>IFERROR(IF(INDEX(Scénarios!$B$2:$AI$232,MATCH($S123,Scénarios!$AI$2:$AI$232,0),MATCH(Y$4,Scénarios!$B$4:$AI$4,0))=0,"",INDEX(Scénarios!$B$2:$AI$232,MATCH($S123,Scénarios!$AI$2:$AI$232,0),MATCH(Y$4,Scénarios!$B$4:$AI$4,0))),"-")</f>
        <v>-</v>
      </c>
      <c r="Z123" s="589" t="str">
        <f>IFERROR(INDEX(Scénarios!$B$2:$AI$232,MATCH($S123,Scénarios!$AI$2:$AI$232,0),MATCH(Z$4,Scénarios!$B$4:$AI$4,0)),"-")</f>
        <v>-</v>
      </c>
      <c r="AA123" s="589" t="str">
        <f>IFERROR(INDEX(Scénarios!$B$2:$AI$232,MATCH($S123,Scénarios!$AI$2:$AI$232,0),MATCH(AA$4,Scénarios!$B$4:$AI$4,0)),"-")</f>
        <v>-</v>
      </c>
      <c r="AB123" s="586" t="str">
        <f>IFERROR(INDEX(Scénarios!$B$2:$AI$232,MATCH($S123,Scénarios!$AI$2:$AI$232,0),MATCH(AB$4,Scénarios!$B$4:$AI$4,0)),"-")</f>
        <v>-</v>
      </c>
      <c r="AC123" s="442" t="str">
        <f>IFERROR(INDEX(Tab_sel!$B$24:$C$27,MATCH($U123,Tab_sel!$C$24:$C$27,0),1),"-")</f>
        <v>-</v>
      </c>
      <c r="AD123" s="443" t="str">
        <f>IFERROR(INDEX(Scénarios!$B$2:$AI$232,MATCH($S123,Scénarios!$AI$2:$AI$232,0),MATCH(AD$4,Scénarios!$B$4:$AI$4,0)),"-")</f>
        <v>-</v>
      </c>
      <c r="AE123" s="460" t="str">
        <f>IFERROR(INDEX(Scénarios!$B$2:$AI$232,MATCH($S123,Scénarios!$AI$2:$AI$232,0),MATCH(AE$4,Scénarios!$B$4:$AI$4,0)),"-")</f>
        <v>-</v>
      </c>
      <c r="AF123" s="460" t="str">
        <f>IFERROR(INDEX(Scénarios!$B$2:$AI$232,MATCH($S123,Scénarios!$AI$2:$AI$232,0),MATCH(AF$4,Scénarios!$B$4:$AI$4,0)),"-")</f>
        <v>-</v>
      </c>
      <c r="AG123" s="460" t="str">
        <f>IFERROR(INDEX(Scénarios!$B$2:$AI$232,MATCH($S123,Scénarios!$AI$2:$AI$232,0),MATCH(AG$4,Scénarios!$B$4:$AI$4,0)),"-")</f>
        <v>-</v>
      </c>
      <c r="AH123" s="460" t="str">
        <f>IFERROR(INDEX(Scénarios!$B$2:$AI$232,MATCH($S123,Scénarios!$AI$2:$AI$232,0),MATCH(AH$4,Scénarios!$B$4:$AI$4,0)),"-")</f>
        <v>-</v>
      </c>
      <c r="AI123" s="443" t="str">
        <f>IFERROR(INDEX(Scénarios!$B$2:$AI$232,MATCH($S123,Scénarios!$AI$2:$AI$232,0),MATCH(AI$4,Scénarios!$B$4:$AI$4,0)),"-")</f>
        <v>-</v>
      </c>
      <c r="AJ123" s="443" t="str">
        <f>IFERROR(INDEX(Param!$A$3:$C$7,MATCH($AI123,Param!$C$3:$C$7,0),1),"-")</f>
        <v>-</v>
      </c>
      <c r="AK123" s="443" t="str">
        <f>IFERROR(INDEX(Scénarios!$B$2:$AI$232,MATCH($S123,Scénarios!$AI$2:$AI$232,0),MATCH(AK$4,Scénarios!$B$4:$AI$4,0)),"-")</f>
        <v>-</v>
      </c>
      <c r="AL123" s="443" t="str">
        <f>IFERROR(INDEX(Scénarios!$B$2:$AI$232,MATCH($S123,Scénarios!$AI$2:$AI$232,0),MATCH(AL$4,Scénarios!$B$4:$AI$4,0)),"-")</f>
        <v>-</v>
      </c>
      <c r="AM123" s="443" t="str">
        <f>IFERROR(INDEX(Param!$A$10:$C$14,MATCH($AL123,Param!$C$10:$C$14,0),1),"-")</f>
        <v>-</v>
      </c>
      <c r="AN123" s="443" t="str">
        <f>IFERROR(IF(INDEX(Scénarios!$B$2:$AI$232,MATCH($S123,Scénarios!$AI$2:$AI$232,0),MATCH(AN$4,Scénarios!$B$4:$AI$4,0))=0,"",INDEX(Scénarios!$B$2:$AI$232,MATCH($S123,Scénarios!$AI$2:$AI$232,0),MATCH(AN$4,Scénarios!$B$4:$AI$4,0))),"-")</f>
        <v>-</v>
      </c>
      <c r="AO123" s="443" t="str">
        <f>IFERROR(INDEX(Scénarios!$B$2:$AI$232,MATCH($S123,Scénarios!$AI$2:$AI$232,0),MATCH(AO$4,Scénarios!$B$4:$AI$4,0)),"-")</f>
        <v>-</v>
      </c>
      <c r="AP123" s="443" t="str">
        <f>IFERROR(INDEX(Param!$A$17:$C$21,MATCH($AO123,Param!$C$17:$C$21,0),1),"-")</f>
        <v>-</v>
      </c>
      <c r="AQ123" s="443" t="str">
        <f>IFERROR(IF(INDEX(Scénarios!$B$2:$AI$232,MATCH($S123,Scénarios!$AI$2:$AI$232,0),MATCH(AQ$4,Scénarios!$B$4:$AI$4,0))=0,"",INDEX(Scénarios!$B$2:$AI$232,MATCH($S123,Scénarios!$AI$2:$AI$232,0),MATCH(AQ$4,Scénarios!$B$4:$AI$4,0))),"-")</f>
        <v>-</v>
      </c>
      <c r="AR123" s="443" t="str">
        <f>IFERROR(INDEX(Scénarios!$B$2:$AI$232,MATCH($S123,Scénarios!$AI$2:$AI$232,0),MATCH(AR$4,Scénarios!$B$4:$AI$4,0)),"-")</f>
        <v>-</v>
      </c>
      <c r="AS123" s="443" t="str">
        <f>IFERROR(INDEX(Param!$A$24:$C$28,MATCH($AR123,Param!$C$24:$C$28,0),1),"-")</f>
        <v>-</v>
      </c>
      <c r="AT123" s="443" t="str">
        <f>IFERROR(IF(INDEX(Scénarios!$B$2:$AI$232,MATCH($S123,Scénarios!$AI$2:$AI$232,0),MATCH(AT$4,Scénarios!$B$4:$AI$4,0))=0,"",INDEX(Scénarios!$B$2:$AI$232,MATCH($S123,Scénarios!$AI$2:$AI$232,0),MATCH(AT$4,Scénarios!$B$4:$AI$4,0))),"-")</f>
        <v>-</v>
      </c>
      <c r="AU123" s="462" t="str">
        <f>IFERROR(INDEX(Scénarios!$B$2:$AI$232,MATCH($S123,Scénarios!$AI$2:$AI$232,0),MATCH(AU$4,Scénarios!$B$4:$AI$4,0)),"-")</f>
        <v>-</v>
      </c>
      <c r="AV123" s="462" t="str">
        <f>IFERROR(INDEX(Scénarios!$B$2:$AI$232,MATCH($S123,Scénarios!$AI$2:$AI$232,0),MATCH(AV$4,Scénarios!$B$4:$AI$4,0)),"-")</f>
        <v>-</v>
      </c>
      <c r="AW123" s="462" t="str">
        <f>IFERROR(INDEX(Scénarios!$B$2:$AI$232,MATCH($S123,Scénarios!$AI$2:$AI$232,0),MATCH(AW$4,Scénarios!$B$4:$AI$4,0)),"-")</f>
        <v>-</v>
      </c>
      <c r="AX123" s="462" t="str">
        <f>IFERROR(INDEX(Scénarios!$B$2:$AI$232,MATCH($S123,Scénarios!$AI$2:$AI$232,0),MATCH(AX$4,Scénarios!$B$4:$AI$4,0)),"-")</f>
        <v>-</v>
      </c>
      <c r="AY123" s="443" t="str">
        <f>IFERROR(INDEX(Scénarios!$B$2:$AI$232,MATCH($S123,Scénarios!$AI$2:$AI$232,0),MATCH(AY$4,Scénarios!$B$4:$AI$4,0)),"-")</f>
        <v>-</v>
      </c>
      <c r="AZ123" s="588" t="str">
        <f>IFERROR(INDEX(Param!$A$31:$C$35,MATCH($AY123,Param!$C$31:$C$35,0),1),"-")</f>
        <v>-</v>
      </c>
      <c r="BA123" s="588" t="str">
        <f>IFERROR(IF(INDEX(Scénarios!$B$2:$AI$232,MATCH($S123,Scénarios!$AI$2:$AI$232,0),MATCH(BA$4,Scénarios!$B$4:$AI$4,0))=0,"",INDEX(Scénarios!$B$2:$AI$232,MATCH($S123,Scénarios!$AI$2:$AI$232,0),MATCH(BA$4,Scénarios!$B$4:$AI$4,0))),"-")</f>
        <v>-</v>
      </c>
      <c r="BB123" s="443" t="str">
        <f>IFERROR(IF(INDEX(Scénarios!$B$2:$AK$237,MATCH($S123,Scénarios!$AI$2:$AI$237,0),MATCH(BB$4,Scénarios!$B$4:$AK$4,0))=0,"",INDEX(Scénarios!$B$2:$AK$237,MATCH($S123,Scénarios!$AI$2:$AI$237,0),MATCH(BB$4,Scénarios!$B$4:$AK$4,0))),"-")</f>
        <v>-</v>
      </c>
      <c r="BC123" s="443" t="str">
        <f>IFERROR(INDEX(Scénarios!$B$2:$AV$232,MATCH($S123,Scénarios!$AI$2:$AI$232,0),MATCH(BC$4,Scénarios!$B$4:$AV$4,0)),"-")</f>
        <v>-</v>
      </c>
    </row>
    <row r="124" spans="15:55" ht="25.5" customHeight="1" x14ac:dyDescent="0.25">
      <c r="O124" s="604" t="str">
        <f t="shared" si="1"/>
        <v>Fiche R120 sans décision :
Veuillez ajouter une décision</v>
      </c>
      <c r="P124" s="609" t="s">
        <v>2188</v>
      </c>
      <c r="Q124" s="605" t="s">
        <v>2067</v>
      </c>
      <c r="R124" s="585" t="s">
        <v>2068</v>
      </c>
      <c r="S124" s="587" t="s">
        <v>2158</v>
      </c>
      <c r="T124" s="588" t="str">
        <f>IFERROR(INDEX(Tab_sel!$B$7:$C$18,MATCH($AB124,Tab_sel!$C$7:$C$18,0),1),"-")</f>
        <v>-</v>
      </c>
      <c r="U124" s="589" t="str">
        <f>IFERROR(INDEX(Scénarios!$B$2:$AI$232,MATCH($S124,Scénarios!$AI$2:$AI$232,0),MATCH(U$4,Scénarios!$B$4:$AI$4,0)),"-")</f>
        <v>-</v>
      </c>
      <c r="V124" s="588" t="str">
        <f>IFERROR(INDEX(Scénarios!$B$2:$AI$232,MATCH($S124,Scénarios!$AI$2:$AI$232,0),MATCH(V$4,Scénarios!$B$4:$AI$4,0)),"-")</f>
        <v>-</v>
      </c>
      <c r="W124" s="588" t="str">
        <f>IFERROR(INDEX(Scénarios!$B$2:$AI$232,MATCH($S124,Scénarios!$AI$2:$AI$232,0),MATCH(W$4,Scénarios!$B$4:$AI$4,0)),"-")</f>
        <v>-</v>
      </c>
      <c r="X124" s="588" t="str">
        <f>IFERROR(VLOOKUP(AD124,Expo!$D$4:$E$35,2,FALSE),"-")</f>
        <v>-</v>
      </c>
      <c r="Y124" s="859" t="str">
        <f>IFERROR(IF(INDEX(Scénarios!$B$2:$AI$232,MATCH($S124,Scénarios!$AI$2:$AI$232,0),MATCH(Y$4,Scénarios!$B$4:$AI$4,0))=0,"",INDEX(Scénarios!$B$2:$AI$232,MATCH($S124,Scénarios!$AI$2:$AI$232,0),MATCH(Y$4,Scénarios!$B$4:$AI$4,0))),"-")</f>
        <v>-</v>
      </c>
      <c r="Z124" s="589" t="str">
        <f>IFERROR(INDEX(Scénarios!$B$2:$AI$232,MATCH($S124,Scénarios!$AI$2:$AI$232,0),MATCH(Z$4,Scénarios!$B$4:$AI$4,0)),"-")</f>
        <v>-</v>
      </c>
      <c r="AA124" s="589" t="str">
        <f>IFERROR(INDEX(Scénarios!$B$2:$AI$232,MATCH($S124,Scénarios!$AI$2:$AI$232,0),MATCH(AA$4,Scénarios!$B$4:$AI$4,0)),"-")</f>
        <v>-</v>
      </c>
      <c r="AB124" s="586" t="str">
        <f>IFERROR(INDEX(Scénarios!$B$2:$AI$232,MATCH($S124,Scénarios!$AI$2:$AI$232,0),MATCH(AB$4,Scénarios!$B$4:$AI$4,0)),"-")</f>
        <v>-</v>
      </c>
      <c r="AC124" s="442" t="str">
        <f>IFERROR(INDEX(Tab_sel!$B$24:$C$27,MATCH($U124,Tab_sel!$C$24:$C$27,0),1),"-")</f>
        <v>-</v>
      </c>
      <c r="AD124" s="443" t="str">
        <f>IFERROR(INDEX(Scénarios!$B$2:$AI$232,MATCH($S124,Scénarios!$AI$2:$AI$232,0),MATCH(AD$4,Scénarios!$B$4:$AI$4,0)),"-")</f>
        <v>-</v>
      </c>
      <c r="AE124" s="460" t="str">
        <f>IFERROR(INDEX(Scénarios!$B$2:$AI$232,MATCH($S124,Scénarios!$AI$2:$AI$232,0),MATCH(AE$4,Scénarios!$B$4:$AI$4,0)),"-")</f>
        <v>-</v>
      </c>
      <c r="AF124" s="460" t="str">
        <f>IFERROR(INDEX(Scénarios!$B$2:$AI$232,MATCH($S124,Scénarios!$AI$2:$AI$232,0),MATCH(AF$4,Scénarios!$B$4:$AI$4,0)),"-")</f>
        <v>-</v>
      </c>
      <c r="AG124" s="460" t="str">
        <f>IFERROR(INDEX(Scénarios!$B$2:$AI$232,MATCH($S124,Scénarios!$AI$2:$AI$232,0),MATCH(AG$4,Scénarios!$B$4:$AI$4,0)),"-")</f>
        <v>-</v>
      </c>
      <c r="AH124" s="460" t="str">
        <f>IFERROR(INDEX(Scénarios!$B$2:$AI$232,MATCH($S124,Scénarios!$AI$2:$AI$232,0),MATCH(AH$4,Scénarios!$B$4:$AI$4,0)),"-")</f>
        <v>-</v>
      </c>
      <c r="AI124" s="443" t="str">
        <f>IFERROR(INDEX(Scénarios!$B$2:$AI$232,MATCH($S124,Scénarios!$AI$2:$AI$232,0),MATCH(AI$4,Scénarios!$B$4:$AI$4,0)),"-")</f>
        <v>-</v>
      </c>
      <c r="AJ124" s="443" t="str">
        <f>IFERROR(INDEX(Param!$A$3:$C$7,MATCH($AI124,Param!$C$3:$C$7,0),1),"-")</f>
        <v>-</v>
      </c>
      <c r="AK124" s="443" t="str">
        <f>IFERROR(INDEX(Scénarios!$B$2:$AI$232,MATCH($S124,Scénarios!$AI$2:$AI$232,0),MATCH(AK$4,Scénarios!$B$4:$AI$4,0)),"-")</f>
        <v>-</v>
      </c>
      <c r="AL124" s="443" t="str">
        <f>IFERROR(INDEX(Scénarios!$B$2:$AI$232,MATCH($S124,Scénarios!$AI$2:$AI$232,0),MATCH(AL$4,Scénarios!$B$4:$AI$4,0)),"-")</f>
        <v>-</v>
      </c>
      <c r="AM124" s="443" t="str">
        <f>IFERROR(INDEX(Param!$A$10:$C$14,MATCH($AL124,Param!$C$10:$C$14,0),1),"-")</f>
        <v>-</v>
      </c>
      <c r="AN124" s="443" t="str">
        <f>IFERROR(IF(INDEX(Scénarios!$B$2:$AI$232,MATCH($S124,Scénarios!$AI$2:$AI$232,0),MATCH(AN$4,Scénarios!$B$4:$AI$4,0))=0,"",INDEX(Scénarios!$B$2:$AI$232,MATCH($S124,Scénarios!$AI$2:$AI$232,0),MATCH(AN$4,Scénarios!$B$4:$AI$4,0))),"-")</f>
        <v>-</v>
      </c>
      <c r="AO124" s="443" t="str">
        <f>IFERROR(INDEX(Scénarios!$B$2:$AI$232,MATCH($S124,Scénarios!$AI$2:$AI$232,0),MATCH(AO$4,Scénarios!$B$4:$AI$4,0)),"-")</f>
        <v>-</v>
      </c>
      <c r="AP124" s="443" t="str">
        <f>IFERROR(INDEX(Param!$A$17:$C$21,MATCH($AO124,Param!$C$17:$C$21,0),1),"-")</f>
        <v>-</v>
      </c>
      <c r="AQ124" s="443" t="str">
        <f>IFERROR(IF(INDEX(Scénarios!$B$2:$AI$232,MATCH($S124,Scénarios!$AI$2:$AI$232,0),MATCH(AQ$4,Scénarios!$B$4:$AI$4,0))=0,"",INDEX(Scénarios!$B$2:$AI$232,MATCH($S124,Scénarios!$AI$2:$AI$232,0),MATCH(AQ$4,Scénarios!$B$4:$AI$4,0))),"-")</f>
        <v>-</v>
      </c>
      <c r="AR124" s="443" t="str">
        <f>IFERROR(INDEX(Scénarios!$B$2:$AI$232,MATCH($S124,Scénarios!$AI$2:$AI$232,0),MATCH(AR$4,Scénarios!$B$4:$AI$4,0)),"-")</f>
        <v>-</v>
      </c>
      <c r="AS124" s="443" t="str">
        <f>IFERROR(INDEX(Param!$A$24:$C$28,MATCH($AR124,Param!$C$24:$C$28,0),1),"-")</f>
        <v>-</v>
      </c>
      <c r="AT124" s="443" t="str">
        <f>IFERROR(IF(INDEX(Scénarios!$B$2:$AI$232,MATCH($S124,Scénarios!$AI$2:$AI$232,0),MATCH(AT$4,Scénarios!$B$4:$AI$4,0))=0,"",INDEX(Scénarios!$B$2:$AI$232,MATCH($S124,Scénarios!$AI$2:$AI$232,0),MATCH(AT$4,Scénarios!$B$4:$AI$4,0))),"-")</f>
        <v>-</v>
      </c>
      <c r="AU124" s="462" t="str">
        <f>IFERROR(INDEX(Scénarios!$B$2:$AI$232,MATCH($S124,Scénarios!$AI$2:$AI$232,0),MATCH(AU$4,Scénarios!$B$4:$AI$4,0)),"-")</f>
        <v>-</v>
      </c>
      <c r="AV124" s="462" t="str">
        <f>IFERROR(INDEX(Scénarios!$B$2:$AI$232,MATCH($S124,Scénarios!$AI$2:$AI$232,0),MATCH(AV$4,Scénarios!$B$4:$AI$4,0)),"-")</f>
        <v>-</v>
      </c>
      <c r="AW124" s="462" t="str">
        <f>IFERROR(INDEX(Scénarios!$B$2:$AI$232,MATCH($S124,Scénarios!$AI$2:$AI$232,0),MATCH(AW$4,Scénarios!$B$4:$AI$4,0)),"-")</f>
        <v>-</v>
      </c>
      <c r="AX124" s="462" t="str">
        <f>IFERROR(INDEX(Scénarios!$B$2:$AI$232,MATCH($S124,Scénarios!$AI$2:$AI$232,0),MATCH(AX$4,Scénarios!$B$4:$AI$4,0)),"-")</f>
        <v>-</v>
      </c>
      <c r="AY124" s="443" t="str">
        <f>IFERROR(INDEX(Scénarios!$B$2:$AI$232,MATCH($S124,Scénarios!$AI$2:$AI$232,0),MATCH(AY$4,Scénarios!$B$4:$AI$4,0)),"-")</f>
        <v>-</v>
      </c>
      <c r="AZ124" s="588" t="str">
        <f>IFERROR(INDEX(Param!$A$31:$C$35,MATCH($AY124,Param!$C$31:$C$35,0),1),"-")</f>
        <v>-</v>
      </c>
      <c r="BA124" s="588" t="str">
        <f>IFERROR(IF(INDEX(Scénarios!$B$2:$AI$232,MATCH($S124,Scénarios!$AI$2:$AI$232,0),MATCH(BA$4,Scénarios!$B$4:$AI$4,0))=0,"",INDEX(Scénarios!$B$2:$AI$232,MATCH($S124,Scénarios!$AI$2:$AI$232,0),MATCH(BA$4,Scénarios!$B$4:$AI$4,0))),"-")</f>
        <v>-</v>
      </c>
      <c r="BB124" s="443" t="str">
        <f>IFERROR(IF(INDEX(Scénarios!$B$2:$AK$237,MATCH($S124,Scénarios!$AI$2:$AI$237,0),MATCH(BB$4,Scénarios!$B$4:$AK$4,0))=0,"",INDEX(Scénarios!$B$2:$AK$237,MATCH($S124,Scénarios!$AI$2:$AI$237,0),MATCH(BB$4,Scénarios!$B$4:$AK$4,0))),"-")</f>
        <v>-</v>
      </c>
      <c r="BC124" s="443" t="str">
        <f>IFERROR(INDEX(Scénarios!$B$2:$AV$232,MATCH($S124,Scénarios!$AI$2:$AI$232,0),MATCH(BC$4,Scénarios!$B$4:$AV$4,0)),"-")</f>
        <v>-</v>
      </c>
    </row>
    <row r="125" spans="15:55" ht="25.5" customHeight="1" x14ac:dyDescent="0.25">
      <c r="O125" s="604" t="str">
        <f t="shared" si="1"/>
        <v>Fiche R121 sans décision :
Veuillez ajouter une décision</v>
      </c>
      <c r="P125" s="609" t="s">
        <v>2188</v>
      </c>
      <c r="Q125" s="605" t="s">
        <v>2067</v>
      </c>
      <c r="R125" s="585" t="s">
        <v>2068</v>
      </c>
      <c r="S125" s="587" t="s">
        <v>2159</v>
      </c>
      <c r="T125" s="588" t="str">
        <f>IFERROR(INDEX(Tab_sel!$B$7:$C$18,MATCH($AB125,Tab_sel!$C$7:$C$18,0),1),"-")</f>
        <v>-</v>
      </c>
      <c r="U125" s="589" t="str">
        <f>IFERROR(INDEX(Scénarios!$B$2:$AI$232,MATCH($S125,Scénarios!$AI$2:$AI$232,0),MATCH(U$4,Scénarios!$B$4:$AI$4,0)),"-")</f>
        <v>-</v>
      </c>
      <c r="V125" s="588" t="str">
        <f>IFERROR(INDEX(Scénarios!$B$2:$AI$232,MATCH($S125,Scénarios!$AI$2:$AI$232,0),MATCH(V$4,Scénarios!$B$4:$AI$4,0)),"-")</f>
        <v>-</v>
      </c>
      <c r="W125" s="588" t="str">
        <f>IFERROR(INDEX(Scénarios!$B$2:$AI$232,MATCH($S125,Scénarios!$AI$2:$AI$232,0),MATCH(W$4,Scénarios!$B$4:$AI$4,0)),"-")</f>
        <v>-</v>
      </c>
      <c r="X125" s="588" t="str">
        <f>IFERROR(VLOOKUP(AD125,Expo!$D$4:$E$35,2,FALSE),"-")</f>
        <v>-</v>
      </c>
      <c r="Y125" s="859" t="str">
        <f>IFERROR(IF(INDEX(Scénarios!$B$2:$AI$232,MATCH($S125,Scénarios!$AI$2:$AI$232,0),MATCH(Y$4,Scénarios!$B$4:$AI$4,0))=0,"",INDEX(Scénarios!$B$2:$AI$232,MATCH($S125,Scénarios!$AI$2:$AI$232,0),MATCH(Y$4,Scénarios!$B$4:$AI$4,0))),"-")</f>
        <v>-</v>
      </c>
      <c r="Z125" s="589" t="str">
        <f>IFERROR(INDEX(Scénarios!$B$2:$AI$232,MATCH($S125,Scénarios!$AI$2:$AI$232,0),MATCH(Z$4,Scénarios!$B$4:$AI$4,0)),"-")</f>
        <v>-</v>
      </c>
      <c r="AA125" s="589" t="str">
        <f>IFERROR(INDEX(Scénarios!$B$2:$AI$232,MATCH($S125,Scénarios!$AI$2:$AI$232,0),MATCH(AA$4,Scénarios!$B$4:$AI$4,0)),"-")</f>
        <v>-</v>
      </c>
      <c r="AB125" s="586" t="str">
        <f>IFERROR(INDEX(Scénarios!$B$2:$AI$232,MATCH($S125,Scénarios!$AI$2:$AI$232,0),MATCH(AB$4,Scénarios!$B$4:$AI$4,0)),"-")</f>
        <v>-</v>
      </c>
      <c r="AC125" s="442" t="str">
        <f>IFERROR(INDEX(Tab_sel!$B$24:$C$27,MATCH($U125,Tab_sel!$C$24:$C$27,0),1),"-")</f>
        <v>-</v>
      </c>
      <c r="AD125" s="443" t="str">
        <f>IFERROR(INDEX(Scénarios!$B$2:$AI$232,MATCH($S125,Scénarios!$AI$2:$AI$232,0),MATCH(AD$4,Scénarios!$B$4:$AI$4,0)),"-")</f>
        <v>-</v>
      </c>
      <c r="AE125" s="460" t="str">
        <f>IFERROR(INDEX(Scénarios!$B$2:$AI$232,MATCH($S125,Scénarios!$AI$2:$AI$232,0),MATCH(AE$4,Scénarios!$B$4:$AI$4,0)),"-")</f>
        <v>-</v>
      </c>
      <c r="AF125" s="460" t="str">
        <f>IFERROR(INDEX(Scénarios!$B$2:$AI$232,MATCH($S125,Scénarios!$AI$2:$AI$232,0),MATCH(AF$4,Scénarios!$B$4:$AI$4,0)),"-")</f>
        <v>-</v>
      </c>
      <c r="AG125" s="460" t="str">
        <f>IFERROR(INDEX(Scénarios!$B$2:$AI$232,MATCH($S125,Scénarios!$AI$2:$AI$232,0),MATCH(AG$4,Scénarios!$B$4:$AI$4,0)),"-")</f>
        <v>-</v>
      </c>
      <c r="AH125" s="460" t="str">
        <f>IFERROR(INDEX(Scénarios!$B$2:$AI$232,MATCH($S125,Scénarios!$AI$2:$AI$232,0),MATCH(AH$4,Scénarios!$B$4:$AI$4,0)),"-")</f>
        <v>-</v>
      </c>
      <c r="AI125" s="443" t="str">
        <f>IFERROR(INDEX(Scénarios!$B$2:$AI$232,MATCH($S125,Scénarios!$AI$2:$AI$232,0),MATCH(AI$4,Scénarios!$B$4:$AI$4,0)),"-")</f>
        <v>-</v>
      </c>
      <c r="AJ125" s="443" t="str">
        <f>IFERROR(INDEX(Param!$A$3:$C$7,MATCH($AI125,Param!$C$3:$C$7,0),1),"-")</f>
        <v>-</v>
      </c>
      <c r="AK125" s="443" t="str">
        <f>IFERROR(INDEX(Scénarios!$B$2:$AI$232,MATCH($S125,Scénarios!$AI$2:$AI$232,0),MATCH(AK$4,Scénarios!$B$4:$AI$4,0)),"-")</f>
        <v>-</v>
      </c>
      <c r="AL125" s="443" t="str">
        <f>IFERROR(INDEX(Scénarios!$B$2:$AI$232,MATCH($S125,Scénarios!$AI$2:$AI$232,0),MATCH(AL$4,Scénarios!$B$4:$AI$4,0)),"-")</f>
        <v>-</v>
      </c>
      <c r="AM125" s="443" t="str">
        <f>IFERROR(INDEX(Param!$A$10:$C$14,MATCH($AL125,Param!$C$10:$C$14,0),1),"-")</f>
        <v>-</v>
      </c>
      <c r="AN125" s="443" t="str">
        <f>IFERROR(IF(INDEX(Scénarios!$B$2:$AI$232,MATCH($S125,Scénarios!$AI$2:$AI$232,0),MATCH(AN$4,Scénarios!$B$4:$AI$4,0))=0,"",INDEX(Scénarios!$B$2:$AI$232,MATCH($S125,Scénarios!$AI$2:$AI$232,0),MATCH(AN$4,Scénarios!$B$4:$AI$4,0))),"-")</f>
        <v>-</v>
      </c>
      <c r="AO125" s="443" t="str">
        <f>IFERROR(INDEX(Scénarios!$B$2:$AI$232,MATCH($S125,Scénarios!$AI$2:$AI$232,0),MATCH(AO$4,Scénarios!$B$4:$AI$4,0)),"-")</f>
        <v>-</v>
      </c>
      <c r="AP125" s="443" t="str">
        <f>IFERROR(INDEX(Param!$A$17:$C$21,MATCH($AO125,Param!$C$17:$C$21,0),1),"-")</f>
        <v>-</v>
      </c>
      <c r="AQ125" s="443" t="str">
        <f>IFERROR(IF(INDEX(Scénarios!$B$2:$AI$232,MATCH($S125,Scénarios!$AI$2:$AI$232,0),MATCH(AQ$4,Scénarios!$B$4:$AI$4,0))=0,"",INDEX(Scénarios!$B$2:$AI$232,MATCH($S125,Scénarios!$AI$2:$AI$232,0),MATCH(AQ$4,Scénarios!$B$4:$AI$4,0))),"-")</f>
        <v>-</v>
      </c>
      <c r="AR125" s="443" t="str">
        <f>IFERROR(INDEX(Scénarios!$B$2:$AI$232,MATCH($S125,Scénarios!$AI$2:$AI$232,0),MATCH(AR$4,Scénarios!$B$4:$AI$4,0)),"-")</f>
        <v>-</v>
      </c>
      <c r="AS125" s="443" t="str">
        <f>IFERROR(INDEX(Param!$A$24:$C$28,MATCH($AR125,Param!$C$24:$C$28,0),1),"-")</f>
        <v>-</v>
      </c>
      <c r="AT125" s="443" t="str">
        <f>IFERROR(IF(INDEX(Scénarios!$B$2:$AI$232,MATCH($S125,Scénarios!$AI$2:$AI$232,0),MATCH(AT$4,Scénarios!$B$4:$AI$4,0))=0,"",INDEX(Scénarios!$B$2:$AI$232,MATCH($S125,Scénarios!$AI$2:$AI$232,0),MATCH(AT$4,Scénarios!$B$4:$AI$4,0))),"-")</f>
        <v>-</v>
      </c>
      <c r="AU125" s="462" t="str">
        <f>IFERROR(INDEX(Scénarios!$B$2:$AI$232,MATCH($S125,Scénarios!$AI$2:$AI$232,0),MATCH(AU$4,Scénarios!$B$4:$AI$4,0)),"-")</f>
        <v>-</v>
      </c>
      <c r="AV125" s="462" t="str">
        <f>IFERROR(INDEX(Scénarios!$B$2:$AI$232,MATCH($S125,Scénarios!$AI$2:$AI$232,0),MATCH(AV$4,Scénarios!$B$4:$AI$4,0)),"-")</f>
        <v>-</v>
      </c>
      <c r="AW125" s="462" t="str">
        <f>IFERROR(INDEX(Scénarios!$B$2:$AI$232,MATCH($S125,Scénarios!$AI$2:$AI$232,0),MATCH(AW$4,Scénarios!$B$4:$AI$4,0)),"-")</f>
        <v>-</v>
      </c>
      <c r="AX125" s="462" t="str">
        <f>IFERROR(INDEX(Scénarios!$B$2:$AI$232,MATCH($S125,Scénarios!$AI$2:$AI$232,0),MATCH(AX$4,Scénarios!$B$4:$AI$4,0)),"-")</f>
        <v>-</v>
      </c>
      <c r="AY125" s="443" t="str">
        <f>IFERROR(INDEX(Scénarios!$B$2:$AI$232,MATCH($S125,Scénarios!$AI$2:$AI$232,0),MATCH(AY$4,Scénarios!$B$4:$AI$4,0)),"-")</f>
        <v>-</v>
      </c>
      <c r="AZ125" s="588" t="str">
        <f>IFERROR(INDEX(Param!$A$31:$C$35,MATCH($AY125,Param!$C$31:$C$35,0),1),"-")</f>
        <v>-</v>
      </c>
      <c r="BA125" s="588" t="str">
        <f>IFERROR(IF(INDEX(Scénarios!$B$2:$AI$232,MATCH($S125,Scénarios!$AI$2:$AI$232,0),MATCH(BA$4,Scénarios!$B$4:$AI$4,0))=0,"",INDEX(Scénarios!$B$2:$AI$232,MATCH($S125,Scénarios!$AI$2:$AI$232,0),MATCH(BA$4,Scénarios!$B$4:$AI$4,0))),"-")</f>
        <v>-</v>
      </c>
      <c r="BB125" s="443" t="str">
        <f>IFERROR(IF(INDEX(Scénarios!$B$2:$AK$237,MATCH($S125,Scénarios!$AI$2:$AI$237,0),MATCH(BB$4,Scénarios!$B$4:$AK$4,0))=0,"",INDEX(Scénarios!$B$2:$AK$237,MATCH($S125,Scénarios!$AI$2:$AI$237,0),MATCH(BB$4,Scénarios!$B$4:$AK$4,0))),"-")</f>
        <v>-</v>
      </c>
      <c r="BC125" s="443" t="str">
        <f>IFERROR(INDEX(Scénarios!$B$2:$AV$232,MATCH($S125,Scénarios!$AI$2:$AI$232,0),MATCH(BC$4,Scénarios!$B$4:$AV$4,0)),"-")</f>
        <v>-</v>
      </c>
    </row>
    <row r="126" spans="15:55" ht="25.5" customHeight="1" x14ac:dyDescent="0.25">
      <c r="O126" s="604" t="str">
        <f t="shared" si="1"/>
        <v>Fiche R122 sans décision :
Veuillez ajouter une décision</v>
      </c>
      <c r="P126" s="609" t="s">
        <v>2188</v>
      </c>
      <c r="Q126" s="605" t="s">
        <v>2067</v>
      </c>
      <c r="R126" s="585" t="s">
        <v>2068</v>
      </c>
      <c r="S126" s="587" t="s">
        <v>2160</v>
      </c>
      <c r="T126" s="588" t="str">
        <f>IFERROR(INDEX(Tab_sel!$B$7:$C$18,MATCH($AB126,Tab_sel!$C$7:$C$18,0),1),"-")</f>
        <v>-</v>
      </c>
      <c r="U126" s="589" t="str">
        <f>IFERROR(INDEX(Scénarios!$B$2:$AI$232,MATCH($S126,Scénarios!$AI$2:$AI$232,0),MATCH(U$4,Scénarios!$B$4:$AI$4,0)),"-")</f>
        <v>-</v>
      </c>
      <c r="V126" s="588" t="str">
        <f>IFERROR(INDEX(Scénarios!$B$2:$AI$232,MATCH($S126,Scénarios!$AI$2:$AI$232,0),MATCH(V$4,Scénarios!$B$4:$AI$4,0)),"-")</f>
        <v>-</v>
      </c>
      <c r="W126" s="588" t="str">
        <f>IFERROR(INDEX(Scénarios!$B$2:$AI$232,MATCH($S126,Scénarios!$AI$2:$AI$232,0),MATCH(W$4,Scénarios!$B$4:$AI$4,0)),"-")</f>
        <v>-</v>
      </c>
      <c r="X126" s="588" t="str">
        <f>IFERROR(VLOOKUP(AD126,Expo!$D$4:$E$35,2,FALSE),"-")</f>
        <v>-</v>
      </c>
      <c r="Y126" s="859" t="str">
        <f>IFERROR(IF(INDEX(Scénarios!$B$2:$AI$232,MATCH($S126,Scénarios!$AI$2:$AI$232,0),MATCH(Y$4,Scénarios!$B$4:$AI$4,0))=0,"",INDEX(Scénarios!$B$2:$AI$232,MATCH($S126,Scénarios!$AI$2:$AI$232,0),MATCH(Y$4,Scénarios!$B$4:$AI$4,0))),"-")</f>
        <v>-</v>
      </c>
      <c r="Z126" s="589" t="str">
        <f>IFERROR(INDEX(Scénarios!$B$2:$AI$232,MATCH($S126,Scénarios!$AI$2:$AI$232,0),MATCH(Z$4,Scénarios!$B$4:$AI$4,0)),"-")</f>
        <v>-</v>
      </c>
      <c r="AA126" s="589" t="str">
        <f>IFERROR(INDEX(Scénarios!$B$2:$AI$232,MATCH($S126,Scénarios!$AI$2:$AI$232,0),MATCH(AA$4,Scénarios!$B$4:$AI$4,0)),"-")</f>
        <v>-</v>
      </c>
      <c r="AB126" s="586" t="str">
        <f>IFERROR(INDEX(Scénarios!$B$2:$AI$232,MATCH($S126,Scénarios!$AI$2:$AI$232,0),MATCH(AB$4,Scénarios!$B$4:$AI$4,0)),"-")</f>
        <v>-</v>
      </c>
      <c r="AC126" s="442" t="str">
        <f>IFERROR(INDEX(Tab_sel!$B$24:$C$27,MATCH($U126,Tab_sel!$C$24:$C$27,0),1),"-")</f>
        <v>-</v>
      </c>
      <c r="AD126" s="443" t="str">
        <f>IFERROR(INDEX(Scénarios!$B$2:$AI$232,MATCH($S126,Scénarios!$AI$2:$AI$232,0),MATCH(AD$4,Scénarios!$B$4:$AI$4,0)),"-")</f>
        <v>-</v>
      </c>
      <c r="AE126" s="460" t="str">
        <f>IFERROR(INDEX(Scénarios!$B$2:$AI$232,MATCH($S126,Scénarios!$AI$2:$AI$232,0),MATCH(AE$4,Scénarios!$B$4:$AI$4,0)),"-")</f>
        <v>-</v>
      </c>
      <c r="AF126" s="460" t="str">
        <f>IFERROR(INDEX(Scénarios!$B$2:$AI$232,MATCH($S126,Scénarios!$AI$2:$AI$232,0),MATCH(AF$4,Scénarios!$B$4:$AI$4,0)),"-")</f>
        <v>-</v>
      </c>
      <c r="AG126" s="460" t="str">
        <f>IFERROR(INDEX(Scénarios!$B$2:$AI$232,MATCH($S126,Scénarios!$AI$2:$AI$232,0),MATCH(AG$4,Scénarios!$B$4:$AI$4,0)),"-")</f>
        <v>-</v>
      </c>
      <c r="AH126" s="460" t="str">
        <f>IFERROR(INDEX(Scénarios!$B$2:$AI$232,MATCH($S126,Scénarios!$AI$2:$AI$232,0),MATCH(AH$4,Scénarios!$B$4:$AI$4,0)),"-")</f>
        <v>-</v>
      </c>
      <c r="AI126" s="443" t="str">
        <f>IFERROR(INDEX(Scénarios!$B$2:$AI$232,MATCH($S126,Scénarios!$AI$2:$AI$232,0),MATCH(AI$4,Scénarios!$B$4:$AI$4,0)),"-")</f>
        <v>-</v>
      </c>
      <c r="AJ126" s="443" t="str">
        <f>IFERROR(INDEX(Param!$A$3:$C$7,MATCH($AI126,Param!$C$3:$C$7,0),1),"-")</f>
        <v>-</v>
      </c>
      <c r="AK126" s="443" t="str">
        <f>IFERROR(INDEX(Scénarios!$B$2:$AI$232,MATCH($S126,Scénarios!$AI$2:$AI$232,0),MATCH(AK$4,Scénarios!$B$4:$AI$4,0)),"-")</f>
        <v>-</v>
      </c>
      <c r="AL126" s="443" t="str">
        <f>IFERROR(INDEX(Scénarios!$B$2:$AI$232,MATCH($S126,Scénarios!$AI$2:$AI$232,0),MATCH(AL$4,Scénarios!$B$4:$AI$4,0)),"-")</f>
        <v>-</v>
      </c>
      <c r="AM126" s="443" t="str">
        <f>IFERROR(INDEX(Param!$A$10:$C$14,MATCH($AL126,Param!$C$10:$C$14,0),1),"-")</f>
        <v>-</v>
      </c>
      <c r="AN126" s="443" t="str">
        <f>IFERROR(IF(INDEX(Scénarios!$B$2:$AI$232,MATCH($S126,Scénarios!$AI$2:$AI$232,0),MATCH(AN$4,Scénarios!$B$4:$AI$4,0))=0,"",INDEX(Scénarios!$B$2:$AI$232,MATCH($S126,Scénarios!$AI$2:$AI$232,0),MATCH(AN$4,Scénarios!$B$4:$AI$4,0))),"-")</f>
        <v>-</v>
      </c>
      <c r="AO126" s="443" t="str">
        <f>IFERROR(INDEX(Scénarios!$B$2:$AI$232,MATCH($S126,Scénarios!$AI$2:$AI$232,0),MATCH(AO$4,Scénarios!$B$4:$AI$4,0)),"-")</f>
        <v>-</v>
      </c>
      <c r="AP126" s="443" t="str">
        <f>IFERROR(INDEX(Param!$A$17:$C$21,MATCH($AO126,Param!$C$17:$C$21,0),1),"-")</f>
        <v>-</v>
      </c>
      <c r="AQ126" s="443" t="str">
        <f>IFERROR(IF(INDEX(Scénarios!$B$2:$AI$232,MATCH($S126,Scénarios!$AI$2:$AI$232,0),MATCH(AQ$4,Scénarios!$B$4:$AI$4,0))=0,"",INDEX(Scénarios!$B$2:$AI$232,MATCH($S126,Scénarios!$AI$2:$AI$232,0),MATCH(AQ$4,Scénarios!$B$4:$AI$4,0))),"-")</f>
        <v>-</v>
      </c>
      <c r="AR126" s="443" t="str">
        <f>IFERROR(INDEX(Scénarios!$B$2:$AI$232,MATCH($S126,Scénarios!$AI$2:$AI$232,0),MATCH(AR$4,Scénarios!$B$4:$AI$4,0)),"-")</f>
        <v>-</v>
      </c>
      <c r="AS126" s="443" t="str">
        <f>IFERROR(INDEX(Param!$A$24:$C$28,MATCH($AR126,Param!$C$24:$C$28,0),1),"-")</f>
        <v>-</v>
      </c>
      <c r="AT126" s="443" t="str">
        <f>IFERROR(IF(INDEX(Scénarios!$B$2:$AI$232,MATCH($S126,Scénarios!$AI$2:$AI$232,0),MATCH(AT$4,Scénarios!$B$4:$AI$4,0))=0,"",INDEX(Scénarios!$B$2:$AI$232,MATCH($S126,Scénarios!$AI$2:$AI$232,0),MATCH(AT$4,Scénarios!$B$4:$AI$4,0))),"-")</f>
        <v>-</v>
      </c>
      <c r="AU126" s="462" t="str">
        <f>IFERROR(INDEX(Scénarios!$B$2:$AI$232,MATCH($S126,Scénarios!$AI$2:$AI$232,0),MATCH(AU$4,Scénarios!$B$4:$AI$4,0)),"-")</f>
        <v>-</v>
      </c>
      <c r="AV126" s="462" t="str">
        <f>IFERROR(INDEX(Scénarios!$B$2:$AI$232,MATCH($S126,Scénarios!$AI$2:$AI$232,0),MATCH(AV$4,Scénarios!$B$4:$AI$4,0)),"-")</f>
        <v>-</v>
      </c>
      <c r="AW126" s="462" t="str">
        <f>IFERROR(INDEX(Scénarios!$B$2:$AI$232,MATCH($S126,Scénarios!$AI$2:$AI$232,0),MATCH(AW$4,Scénarios!$B$4:$AI$4,0)),"-")</f>
        <v>-</v>
      </c>
      <c r="AX126" s="462" t="str">
        <f>IFERROR(INDEX(Scénarios!$B$2:$AI$232,MATCH($S126,Scénarios!$AI$2:$AI$232,0),MATCH(AX$4,Scénarios!$B$4:$AI$4,0)),"-")</f>
        <v>-</v>
      </c>
      <c r="AY126" s="443" t="str">
        <f>IFERROR(INDEX(Scénarios!$B$2:$AI$232,MATCH($S126,Scénarios!$AI$2:$AI$232,0),MATCH(AY$4,Scénarios!$B$4:$AI$4,0)),"-")</f>
        <v>-</v>
      </c>
      <c r="AZ126" s="588" t="str">
        <f>IFERROR(INDEX(Param!$A$31:$C$35,MATCH($AY126,Param!$C$31:$C$35,0),1),"-")</f>
        <v>-</v>
      </c>
      <c r="BA126" s="588" t="str">
        <f>IFERROR(IF(INDEX(Scénarios!$B$2:$AI$232,MATCH($S126,Scénarios!$AI$2:$AI$232,0),MATCH(BA$4,Scénarios!$B$4:$AI$4,0))=0,"",INDEX(Scénarios!$B$2:$AI$232,MATCH($S126,Scénarios!$AI$2:$AI$232,0),MATCH(BA$4,Scénarios!$B$4:$AI$4,0))),"-")</f>
        <v>-</v>
      </c>
      <c r="BB126" s="443" t="str">
        <f>IFERROR(IF(INDEX(Scénarios!$B$2:$AK$237,MATCH($S126,Scénarios!$AI$2:$AI$237,0),MATCH(BB$4,Scénarios!$B$4:$AK$4,0))=0,"",INDEX(Scénarios!$B$2:$AK$237,MATCH($S126,Scénarios!$AI$2:$AI$237,0),MATCH(BB$4,Scénarios!$B$4:$AK$4,0))),"-")</f>
        <v>-</v>
      </c>
      <c r="BC126" s="443" t="str">
        <f>IFERROR(INDEX(Scénarios!$B$2:$AV$232,MATCH($S126,Scénarios!$AI$2:$AI$232,0),MATCH(BC$4,Scénarios!$B$4:$AV$4,0)),"-")</f>
        <v>-</v>
      </c>
    </row>
    <row r="127" spans="15:55" ht="25.5" customHeight="1" x14ac:dyDescent="0.25">
      <c r="O127" s="604" t="str">
        <f t="shared" si="1"/>
        <v>Fiche R123 sans décision :
Veuillez ajouter une décision</v>
      </c>
      <c r="P127" s="609" t="s">
        <v>2188</v>
      </c>
      <c r="Q127" s="605" t="s">
        <v>2067</v>
      </c>
      <c r="R127" s="585" t="s">
        <v>2068</v>
      </c>
      <c r="S127" s="587" t="s">
        <v>2161</v>
      </c>
      <c r="T127" s="588" t="str">
        <f>IFERROR(INDEX(Tab_sel!$B$7:$C$18,MATCH($AB127,Tab_sel!$C$7:$C$18,0),1),"-")</f>
        <v>-</v>
      </c>
      <c r="U127" s="589" t="str">
        <f>IFERROR(INDEX(Scénarios!$B$2:$AI$232,MATCH($S127,Scénarios!$AI$2:$AI$232,0),MATCH(U$4,Scénarios!$B$4:$AI$4,0)),"-")</f>
        <v>-</v>
      </c>
      <c r="V127" s="588" t="str">
        <f>IFERROR(INDEX(Scénarios!$B$2:$AI$232,MATCH($S127,Scénarios!$AI$2:$AI$232,0),MATCH(V$4,Scénarios!$B$4:$AI$4,0)),"-")</f>
        <v>-</v>
      </c>
      <c r="W127" s="588" t="str">
        <f>IFERROR(INDEX(Scénarios!$B$2:$AI$232,MATCH($S127,Scénarios!$AI$2:$AI$232,0),MATCH(W$4,Scénarios!$B$4:$AI$4,0)),"-")</f>
        <v>-</v>
      </c>
      <c r="X127" s="588" t="str">
        <f>IFERROR(VLOOKUP(AD127,Expo!$D$4:$E$35,2,FALSE),"-")</f>
        <v>-</v>
      </c>
      <c r="Y127" s="859" t="str">
        <f>IFERROR(IF(INDEX(Scénarios!$B$2:$AI$232,MATCH($S127,Scénarios!$AI$2:$AI$232,0),MATCH(Y$4,Scénarios!$B$4:$AI$4,0))=0,"",INDEX(Scénarios!$B$2:$AI$232,MATCH($S127,Scénarios!$AI$2:$AI$232,0),MATCH(Y$4,Scénarios!$B$4:$AI$4,0))),"-")</f>
        <v>-</v>
      </c>
      <c r="Z127" s="589" t="str">
        <f>IFERROR(INDEX(Scénarios!$B$2:$AI$232,MATCH($S127,Scénarios!$AI$2:$AI$232,0),MATCH(Z$4,Scénarios!$B$4:$AI$4,0)),"-")</f>
        <v>-</v>
      </c>
      <c r="AA127" s="589" t="str">
        <f>IFERROR(INDEX(Scénarios!$B$2:$AI$232,MATCH($S127,Scénarios!$AI$2:$AI$232,0),MATCH(AA$4,Scénarios!$B$4:$AI$4,0)),"-")</f>
        <v>-</v>
      </c>
      <c r="AB127" s="586" t="str">
        <f>IFERROR(INDEX(Scénarios!$B$2:$AI$232,MATCH($S127,Scénarios!$AI$2:$AI$232,0),MATCH(AB$4,Scénarios!$B$4:$AI$4,0)),"-")</f>
        <v>-</v>
      </c>
      <c r="AC127" s="442" t="str">
        <f>IFERROR(INDEX(Tab_sel!$B$24:$C$27,MATCH($U127,Tab_sel!$C$24:$C$27,0),1),"-")</f>
        <v>-</v>
      </c>
      <c r="AD127" s="443" t="str">
        <f>IFERROR(INDEX(Scénarios!$B$2:$AI$232,MATCH($S127,Scénarios!$AI$2:$AI$232,0),MATCH(AD$4,Scénarios!$B$4:$AI$4,0)),"-")</f>
        <v>-</v>
      </c>
      <c r="AE127" s="460" t="str">
        <f>IFERROR(INDEX(Scénarios!$B$2:$AI$232,MATCH($S127,Scénarios!$AI$2:$AI$232,0),MATCH(AE$4,Scénarios!$B$4:$AI$4,0)),"-")</f>
        <v>-</v>
      </c>
      <c r="AF127" s="460" t="str">
        <f>IFERROR(INDEX(Scénarios!$B$2:$AI$232,MATCH($S127,Scénarios!$AI$2:$AI$232,0),MATCH(AF$4,Scénarios!$B$4:$AI$4,0)),"-")</f>
        <v>-</v>
      </c>
      <c r="AG127" s="460" t="str">
        <f>IFERROR(INDEX(Scénarios!$B$2:$AI$232,MATCH($S127,Scénarios!$AI$2:$AI$232,0),MATCH(AG$4,Scénarios!$B$4:$AI$4,0)),"-")</f>
        <v>-</v>
      </c>
      <c r="AH127" s="460" t="str">
        <f>IFERROR(INDEX(Scénarios!$B$2:$AI$232,MATCH($S127,Scénarios!$AI$2:$AI$232,0),MATCH(AH$4,Scénarios!$B$4:$AI$4,0)),"-")</f>
        <v>-</v>
      </c>
      <c r="AI127" s="443" t="str">
        <f>IFERROR(INDEX(Scénarios!$B$2:$AI$232,MATCH($S127,Scénarios!$AI$2:$AI$232,0),MATCH(AI$4,Scénarios!$B$4:$AI$4,0)),"-")</f>
        <v>-</v>
      </c>
      <c r="AJ127" s="443" t="str">
        <f>IFERROR(INDEX(Param!$A$3:$C$7,MATCH($AI127,Param!$C$3:$C$7,0),1),"-")</f>
        <v>-</v>
      </c>
      <c r="AK127" s="443" t="str">
        <f>IFERROR(INDEX(Scénarios!$B$2:$AI$232,MATCH($S127,Scénarios!$AI$2:$AI$232,0),MATCH(AK$4,Scénarios!$B$4:$AI$4,0)),"-")</f>
        <v>-</v>
      </c>
      <c r="AL127" s="443" t="str">
        <f>IFERROR(INDEX(Scénarios!$B$2:$AI$232,MATCH($S127,Scénarios!$AI$2:$AI$232,0),MATCH(AL$4,Scénarios!$B$4:$AI$4,0)),"-")</f>
        <v>-</v>
      </c>
      <c r="AM127" s="443" t="str">
        <f>IFERROR(INDEX(Param!$A$10:$C$14,MATCH($AL127,Param!$C$10:$C$14,0),1),"-")</f>
        <v>-</v>
      </c>
      <c r="AN127" s="443" t="str">
        <f>IFERROR(IF(INDEX(Scénarios!$B$2:$AI$232,MATCH($S127,Scénarios!$AI$2:$AI$232,0),MATCH(AN$4,Scénarios!$B$4:$AI$4,0))=0,"",INDEX(Scénarios!$B$2:$AI$232,MATCH($S127,Scénarios!$AI$2:$AI$232,0),MATCH(AN$4,Scénarios!$B$4:$AI$4,0))),"-")</f>
        <v>-</v>
      </c>
      <c r="AO127" s="443" t="str">
        <f>IFERROR(INDEX(Scénarios!$B$2:$AI$232,MATCH($S127,Scénarios!$AI$2:$AI$232,0),MATCH(AO$4,Scénarios!$B$4:$AI$4,0)),"-")</f>
        <v>-</v>
      </c>
      <c r="AP127" s="443" t="str">
        <f>IFERROR(INDEX(Param!$A$17:$C$21,MATCH($AO127,Param!$C$17:$C$21,0),1),"-")</f>
        <v>-</v>
      </c>
      <c r="AQ127" s="443" t="str">
        <f>IFERROR(IF(INDEX(Scénarios!$B$2:$AI$232,MATCH($S127,Scénarios!$AI$2:$AI$232,0),MATCH(AQ$4,Scénarios!$B$4:$AI$4,0))=0,"",INDEX(Scénarios!$B$2:$AI$232,MATCH($S127,Scénarios!$AI$2:$AI$232,0),MATCH(AQ$4,Scénarios!$B$4:$AI$4,0))),"-")</f>
        <v>-</v>
      </c>
      <c r="AR127" s="443" t="str">
        <f>IFERROR(INDEX(Scénarios!$B$2:$AI$232,MATCH($S127,Scénarios!$AI$2:$AI$232,0),MATCH(AR$4,Scénarios!$B$4:$AI$4,0)),"-")</f>
        <v>-</v>
      </c>
      <c r="AS127" s="443" t="str">
        <f>IFERROR(INDEX(Param!$A$24:$C$28,MATCH($AR127,Param!$C$24:$C$28,0),1),"-")</f>
        <v>-</v>
      </c>
      <c r="AT127" s="443" t="str">
        <f>IFERROR(IF(INDEX(Scénarios!$B$2:$AI$232,MATCH($S127,Scénarios!$AI$2:$AI$232,0),MATCH(AT$4,Scénarios!$B$4:$AI$4,0))=0,"",INDEX(Scénarios!$B$2:$AI$232,MATCH($S127,Scénarios!$AI$2:$AI$232,0),MATCH(AT$4,Scénarios!$B$4:$AI$4,0))),"-")</f>
        <v>-</v>
      </c>
      <c r="AU127" s="462" t="str">
        <f>IFERROR(INDEX(Scénarios!$B$2:$AI$232,MATCH($S127,Scénarios!$AI$2:$AI$232,0),MATCH(AU$4,Scénarios!$B$4:$AI$4,0)),"-")</f>
        <v>-</v>
      </c>
      <c r="AV127" s="462" t="str">
        <f>IFERROR(INDEX(Scénarios!$B$2:$AI$232,MATCH($S127,Scénarios!$AI$2:$AI$232,0),MATCH(AV$4,Scénarios!$B$4:$AI$4,0)),"-")</f>
        <v>-</v>
      </c>
      <c r="AW127" s="462" t="str">
        <f>IFERROR(INDEX(Scénarios!$B$2:$AI$232,MATCH($S127,Scénarios!$AI$2:$AI$232,0),MATCH(AW$4,Scénarios!$B$4:$AI$4,0)),"-")</f>
        <v>-</v>
      </c>
      <c r="AX127" s="462" t="str">
        <f>IFERROR(INDEX(Scénarios!$B$2:$AI$232,MATCH($S127,Scénarios!$AI$2:$AI$232,0),MATCH(AX$4,Scénarios!$B$4:$AI$4,0)),"-")</f>
        <v>-</v>
      </c>
      <c r="AY127" s="443" t="str">
        <f>IFERROR(INDEX(Scénarios!$B$2:$AI$232,MATCH($S127,Scénarios!$AI$2:$AI$232,0),MATCH(AY$4,Scénarios!$B$4:$AI$4,0)),"-")</f>
        <v>-</v>
      </c>
      <c r="AZ127" s="588" t="str">
        <f>IFERROR(INDEX(Param!$A$31:$C$35,MATCH($AY127,Param!$C$31:$C$35,0),1),"-")</f>
        <v>-</v>
      </c>
      <c r="BA127" s="588" t="str">
        <f>IFERROR(IF(INDEX(Scénarios!$B$2:$AI$232,MATCH($S127,Scénarios!$AI$2:$AI$232,0),MATCH(BA$4,Scénarios!$B$4:$AI$4,0))=0,"",INDEX(Scénarios!$B$2:$AI$232,MATCH($S127,Scénarios!$AI$2:$AI$232,0),MATCH(BA$4,Scénarios!$B$4:$AI$4,0))),"-")</f>
        <v>-</v>
      </c>
      <c r="BB127" s="443" t="str">
        <f>IFERROR(IF(INDEX(Scénarios!$B$2:$AK$237,MATCH($S127,Scénarios!$AI$2:$AI$237,0),MATCH(BB$4,Scénarios!$B$4:$AK$4,0))=0,"",INDEX(Scénarios!$B$2:$AK$237,MATCH($S127,Scénarios!$AI$2:$AI$237,0),MATCH(BB$4,Scénarios!$B$4:$AK$4,0))),"-")</f>
        <v>-</v>
      </c>
      <c r="BC127" s="443" t="str">
        <f>IFERROR(INDEX(Scénarios!$B$2:$AV$232,MATCH($S127,Scénarios!$AI$2:$AI$232,0),MATCH(BC$4,Scénarios!$B$4:$AV$4,0)),"-")</f>
        <v>-</v>
      </c>
    </row>
    <row r="128" spans="15:55" ht="25.5" customHeight="1" x14ac:dyDescent="0.25">
      <c r="O128" s="604" t="str">
        <f t="shared" si="1"/>
        <v>Fiche R124 sans décision :
Veuillez ajouter une décision</v>
      </c>
      <c r="P128" s="609" t="s">
        <v>2188</v>
      </c>
      <c r="Q128" s="605" t="s">
        <v>2067</v>
      </c>
      <c r="R128" s="585" t="s">
        <v>2068</v>
      </c>
      <c r="S128" s="587" t="s">
        <v>2162</v>
      </c>
      <c r="T128" s="588" t="str">
        <f>IFERROR(INDEX(Tab_sel!$B$7:$C$18,MATCH($AB128,Tab_sel!$C$7:$C$18,0),1),"-")</f>
        <v>-</v>
      </c>
      <c r="U128" s="589" t="str">
        <f>IFERROR(INDEX(Scénarios!$B$2:$AI$232,MATCH($S128,Scénarios!$AI$2:$AI$232,0),MATCH(U$4,Scénarios!$B$4:$AI$4,0)),"-")</f>
        <v>-</v>
      </c>
      <c r="V128" s="588" t="str">
        <f>IFERROR(INDEX(Scénarios!$B$2:$AI$232,MATCH($S128,Scénarios!$AI$2:$AI$232,0),MATCH(V$4,Scénarios!$B$4:$AI$4,0)),"-")</f>
        <v>-</v>
      </c>
      <c r="W128" s="588" t="str">
        <f>IFERROR(INDEX(Scénarios!$B$2:$AI$232,MATCH($S128,Scénarios!$AI$2:$AI$232,0),MATCH(W$4,Scénarios!$B$4:$AI$4,0)),"-")</f>
        <v>-</v>
      </c>
      <c r="X128" s="588" t="str">
        <f>IFERROR(VLOOKUP(AD128,Expo!$D$4:$E$35,2,FALSE),"-")</f>
        <v>-</v>
      </c>
      <c r="Y128" s="859" t="str">
        <f>IFERROR(IF(INDEX(Scénarios!$B$2:$AI$232,MATCH($S128,Scénarios!$AI$2:$AI$232,0),MATCH(Y$4,Scénarios!$B$4:$AI$4,0))=0,"",INDEX(Scénarios!$B$2:$AI$232,MATCH($S128,Scénarios!$AI$2:$AI$232,0),MATCH(Y$4,Scénarios!$B$4:$AI$4,0))),"-")</f>
        <v>-</v>
      </c>
      <c r="Z128" s="589" t="str">
        <f>IFERROR(INDEX(Scénarios!$B$2:$AI$232,MATCH($S128,Scénarios!$AI$2:$AI$232,0),MATCH(Z$4,Scénarios!$B$4:$AI$4,0)),"-")</f>
        <v>-</v>
      </c>
      <c r="AA128" s="589" t="str">
        <f>IFERROR(INDEX(Scénarios!$B$2:$AI$232,MATCH($S128,Scénarios!$AI$2:$AI$232,0),MATCH(AA$4,Scénarios!$B$4:$AI$4,0)),"-")</f>
        <v>-</v>
      </c>
      <c r="AB128" s="586" t="str">
        <f>IFERROR(INDEX(Scénarios!$B$2:$AI$232,MATCH($S128,Scénarios!$AI$2:$AI$232,0),MATCH(AB$4,Scénarios!$B$4:$AI$4,0)),"-")</f>
        <v>-</v>
      </c>
      <c r="AC128" s="442" t="str">
        <f>IFERROR(INDEX(Tab_sel!$B$24:$C$27,MATCH($U128,Tab_sel!$C$24:$C$27,0),1),"-")</f>
        <v>-</v>
      </c>
      <c r="AD128" s="443" t="str">
        <f>IFERROR(INDEX(Scénarios!$B$2:$AI$232,MATCH($S128,Scénarios!$AI$2:$AI$232,0),MATCH(AD$4,Scénarios!$B$4:$AI$4,0)),"-")</f>
        <v>-</v>
      </c>
      <c r="AE128" s="460" t="str">
        <f>IFERROR(INDEX(Scénarios!$B$2:$AI$232,MATCH($S128,Scénarios!$AI$2:$AI$232,0),MATCH(AE$4,Scénarios!$B$4:$AI$4,0)),"-")</f>
        <v>-</v>
      </c>
      <c r="AF128" s="460" t="str">
        <f>IFERROR(INDEX(Scénarios!$B$2:$AI$232,MATCH($S128,Scénarios!$AI$2:$AI$232,0),MATCH(AF$4,Scénarios!$B$4:$AI$4,0)),"-")</f>
        <v>-</v>
      </c>
      <c r="AG128" s="460" t="str">
        <f>IFERROR(INDEX(Scénarios!$B$2:$AI$232,MATCH($S128,Scénarios!$AI$2:$AI$232,0),MATCH(AG$4,Scénarios!$B$4:$AI$4,0)),"-")</f>
        <v>-</v>
      </c>
      <c r="AH128" s="460" t="str">
        <f>IFERROR(INDEX(Scénarios!$B$2:$AI$232,MATCH($S128,Scénarios!$AI$2:$AI$232,0),MATCH(AH$4,Scénarios!$B$4:$AI$4,0)),"-")</f>
        <v>-</v>
      </c>
      <c r="AI128" s="443" t="str">
        <f>IFERROR(INDEX(Scénarios!$B$2:$AI$232,MATCH($S128,Scénarios!$AI$2:$AI$232,0),MATCH(AI$4,Scénarios!$B$4:$AI$4,0)),"-")</f>
        <v>-</v>
      </c>
      <c r="AJ128" s="443" t="str">
        <f>IFERROR(INDEX(Param!$A$3:$C$7,MATCH($AI128,Param!$C$3:$C$7,0),1),"-")</f>
        <v>-</v>
      </c>
      <c r="AK128" s="443" t="str">
        <f>IFERROR(INDEX(Scénarios!$B$2:$AI$232,MATCH($S128,Scénarios!$AI$2:$AI$232,0),MATCH(AK$4,Scénarios!$B$4:$AI$4,0)),"-")</f>
        <v>-</v>
      </c>
      <c r="AL128" s="443" t="str">
        <f>IFERROR(INDEX(Scénarios!$B$2:$AI$232,MATCH($S128,Scénarios!$AI$2:$AI$232,0),MATCH(AL$4,Scénarios!$B$4:$AI$4,0)),"-")</f>
        <v>-</v>
      </c>
      <c r="AM128" s="443" t="str">
        <f>IFERROR(INDEX(Param!$A$10:$C$14,MATCH($AL128,Param!$C$10:$C$14,0),1),"-")</f>
        <v>-</v>
      </c>
      <c r="AN128" s="443" t="str">
        <f>IFERROR(IF(INDEX(Scénarios!$B$2:$AI$232,MATCH($S128,Scénarios!$AI$2:$AI$232,0),MATCH(AN$4,Scénarios!$B$4:$AI$4,0))=0,"",INDEX(Scénarios!$B$2:$AI$232,MATCH($S128,Scénarios!$AI$2:$AI$232,0),MATCH(AN$4,Scénarios!$B$4:$AI$4,0))),"-")</f>
        <v>-</v>
      </c>
      <c r="AO128" s="443" t="str">
        <f>IFERROR(INDEX(Scénarios!$B$2:$AI$232,MATCH($S128,Scénarios!$AI$2:$AI$232,0),MATCH(AO$4,Scénarios!$B$4:$AI$4,0)),"-")</f>
        <v>-</v>
      </c>
      <c r="AP128" s="443" t="str">
        <f>IFERROR(INDEX(Param!$A$17:$C$21,MATCH($AO128,Param!$C$17:$C$21,0),1),"-")</f>
        <v>-</v>
      </c>
      <c r="AQ128" s="443" t="str">
        <f>IFERROR(IF(INDEX(Scénarios!$B$2:$AI$232,MATCH($S128,Scénarios!$AI$2:$AI$232,0),MATCH(AQ$4,Scénarios!$B$4:$AI$4,0))=0,"",INDEX(Scénarios!$B$2:$AI$232,MATCH($S128,Scénarios!$AI$2:$AI$232,0),MATCH(AQ$4,Scénarios!$B$4:$AI$4,0))),"-")</f>
        <v>-</v>
      </c>
      <c r="AR128" s="443" t="str">
        <f>IFERROR(INDEX(Scénarios!$B$2:$AI$232,MATCH($S128,Scénarios!$AI$2:$AI$232,0),MATCH(AR$4,Scénarios!$B$4:$AI$4,0)),"-")</f>
        <v>-</v>
      </c>
      <c r="AS128" s="443" t="str">
        <f>IFERROR(INDEX(Param!$A$24:$C$28,MATCH($AR128,Param!$C$24:$C$28,0),1),"-")</f>
        <v>-</v>
      </c>
      <c r="AT128" s="443" t="str">
        <f>IFERROR(IF(INDEX(Scénarios!$B$2:$AI$232,MATCH($S128,Scénarios!$AI$2:$AI$232,0),MATCH(AT$4,Scénarios!$B$4:$AI$4,0))=0,"",INDEX(Scénarios!$B$2:$AI$232,MATCH($S128,Scénarios!$AI$2:$AI$232,0),MATCH(AT$4,Scénarios!$B$4:$AI$4,0))),"-")</f>
        <v>-</v>
      </c>
      <c r="AU128" s="462" t="str">
        <f>IFERROR(INDEX(Scénarios!$B$2:$AI$232,MATCH($S128,Scénarios!$AI$2:$AI$232,0),MATCH(AU$4,Scénarios!$B$4:$AI$4,0)),"-")</f>
        <v>-</v>
      </c>
      <c r="AV128" s="462" t="str">
        <f>IFERROR(INDEX(Scénarios!$B$2:$AI$232,MATCH($S128,Scénarios!$AI$2:$AI$232,0),MATCH(AV$4,Scénarios!$B$4:$AI$4,0)),"-")</f>
        <v>-</v>
      </c>
      <c r="AW128" s="462" t="str">
        <f>IFERROR(INDEX(Scénarios!$B$2:$AI$232,MATCH($S128,Scénarios!$AI$2:$AI$232,0),MATCH(AW$4,Scénarios!$B$4:$AI$4,0)),"-")</f>
        <v>-</v>
      </c>
      <c r="AX128" s="462" t="str">
        <f>IFERROR(INDEX(Scénarios!$B$2:$AI$232,MATCH($S128,Scénarios!$AI$2:$AI$232,0),MATCH(AX$4,Scénarios!$B$4:$AI$4,0)),"-")</f>
        <v>-</v>
      </c>
      <c r="AY128" s="443" t="str">
        <f>IFERROR(INDEX(Scénarios!$B$2:$AI$232,MATCH($S128,Scénarios!$AI$2:$AI$232,0),MATCH(AY$4,Scénarios!$B$4:$AI$4,0)),"-")</f>
        <v>-</v>
      </c>
      <c r="AZ128" s="588" t="str">
        <f>IFERROR(INDEX(Param!$A$31:$C$35,MATCH($AY128,Param!$C$31:$C$35,0),1),"-")</f>
        <v>-</v>
      </c>
      <c r="BA128" s="588" t="str">
        <f>IFERROR(IF(INDEX(Scénarios!$B$2:$AI$232,MATCH($S128,Scénarios!$AI$2:$AI$232,0),MATCH(BA$4,Scénarios!$B$4:$AI$4,0))=0,"",INDEX(Scénarios!$B$2:$AI$232,MATCH($S128,Scénarios!$AI$2:$AI$232,0),MATCH(BA$4,Scénarios!$B$4:$AI$4,0))),"-")</f>
        <v>-</v>
      </c>
      <c r="BB128" s="443" t="str">
        <f>IFERROR(IF(INDEX(Scénarios!$B$2:$AK$237,MATCH($S128,Scénarios!$AI$2:$AI$237,0),MATCH(BB$4,Scénarios!$B$4:$AK$4,0))=0,"",INDEX(Scénarios!$B$2:$AK$237,MATCH($S128,Scénarios!$AI$2:$AI$237,0),MATCH(BB$4,Scénarios!$B$4:$AK$4,0))),"-")</f>
        <v>-</v>
      </c>
      <c r="BC128" s="443" t="str">
        <f>IFERROR(INDEX(Scénarios!$B$2:$AV$232,MATCH($S128,Scénarios!$AI$2:$AI$232,0),MATCH(BC$4,Scénarios!$B$4:$AV$4,0)),"-")</f>
        <v>-</v>
      </c>
    </row>
    <row r="129" spans="15:55" ht="25.5" customHeight="1" x14ac:dyDescent="0.25">
      <c r="O129" s="604" t="str">
        <f t="shared" si="1"/>
        <v>Fiche R125 sans décision :
Veuillez ajouter une décision</v>
      </c>
      <c r="P129" s="609" t="s">
        <v>2188</v>
      </c>
      <c r="Q129" s="605" t="s">
        <v>2067</v>
      </c>
      <c r="R129" s="585" t="s">
        <v>2068</v>
      </c>
      <c r="S129" s="587" t="s">
        <v>2163</v>
      </c>
      <c r="T129" s="588" t="str">
        <f>IFERROR(INDEX(Tab_sel!$B$7:$C$18,MATCH($AB129,Tab_sel!$C$7:$C$18,0),1),"-")</f>
        <v>-</v>
      </c>
      <c r="U129" s="589" t="str">
        <f>IFERROR(INDEX(Scénarios!$B$2:$AI$232,MATCH($S129,Scénarios!$AI$2:$AI$232,0),MATCH(U$4,Scénarios!$B$4:$AI$4,0)),"-")</f>
        <v>-</v>
      </c>
      <c r="V129" s="588" t="str">
        <f>IFERROR(INDEX(Scénarios!$B$2:$AI$232,MATCH($S129,Scénarios!$AI$2:$AI$232,0),MATCH(V$4,Scénarios!$B$4:$AI$4,0)),"-")</f>
        <v>-</v>
      </c>
      <c r="W129" s="588" t="str">
        <f>IFERROR(INDEX(Scénarios!$B$2:$AI$232,MATCH($S129,Scénarios!$AI$2:$AI$232,0),MATCH(W$4,Scénarios!$B$4:$AI$4,0)),"-")</f>
        <v>-</v>
      </c>
      <c r="X129" s="588" t="str">
        <f>IFERROR(VLOOKUP(AD129,Expo!$D$4:$E$35,2,FALSE),"-")</f>
        <v>-</v>
      </c>
      <c r="Y129" s="859" t="str">
        <f>IFERROR(IF(INDEX(Scénarios!$B$2:$AI$232,MATCH($S129,Scénarios!$AI$2:$AI$232,0),MATCH(Y$4,Scénarios!$B$4:$AI$4,0))=0,"",INDEX(Scénarios!$B$2:$AI$232,MATCH($S129,Scénarios!$AI$2:$AI$232,0),MATCH(Y$4,Scénarios!$B$4:$AI$4,0))),"-")</f>
        <v>-</v>
      </c>
      <c r="Z129" s="589" t="str">
        <f>IFERROR(INDEX(Scénarios!$B$2:$AI$232,MATCH($S129,Scénarios!$AI$2:$AI$232,0),MATCH(Z$4,Scénarios!$B$4:$AI$4,0)),"-")</f>
        <v>-</v>
      </c>
      <c r="AA129" s="589" t="str">
        <f>IFERROR(INDEX(Scénarios!$B$2:$AI$232,MATCH($S129,Scénarios!$AI$2:$AI$232,0),MATCH(AA$4,Scénarios!$B$4:$AI$4,0)),"-")</f>
        <v>-</v>
      </c>
      <c r="AB129" s="586" t="str">
        <f>IFERROR(INDEX(Scénarios!$B$2:$AI$232,MATCH($S129,Scénarios!$AI$2:$AI$232,0),MATCH(AB$4,Scénarios!$B$4:$AI$4,0)),"-")</f>
        <v>-</v>
      </c>
      <c r="AC129" s="442" t="str">
        <f>IFERROR(INDEX(Tab_sel!$B$24:$C$27,MATCH($U129,Tab_sel!$C$24:$C$27,0),1),"-")</f>
        <v>-</v>
      </c>
      <c r="AD129" s="443" t="str">
        <f>IFERROR(INDEX(Scénarios!$B$2:$AI$232,MATCH($S129,Scénarios!$AI$2:$AI$232,0),MATCH(AD$4,Scénarios!$B$4:$AI$4,0)),"-")</f>
        <v>-</v>
      </c>
      <c r="AE129" s="460" t="str">
        <f>IFERROR(INDEX(Scénarios!$B$2:$AI$232,MATCH($S129,Scénarios!$AI$2:$AI$232,0),MATCH(AE$4,Scénarios!$B$4:$AI$4,0)),"-")</f>
        <v>-</v>
      </c>
      <c r="AF129" s="460" t="str">
        <f>IFERROR(INDEX(Scénarios!$B$2:$AI$232,MATCH($S129,Scénarios!$AI$2:$AI$232,0),MATCH(AF$4,Scénarios!$B$4:$AI$4,0)),"-")</f>
        <v>-</v>
      </c>
      <c r="AG129" s="460" t="str">
        <f>IFERROR(INDEX(Scénarios!$B$2:$AI$232,MATCH($S129,Scénarios!$AI$2:$AI$232,0),MATCH(AG$4,Scénarios!$B$4:$AI$4,0)),"-")</f>
        <v>-</v>
      </c>
      <c r="AH129" s="460" t="str">
        <f>IFERROR(INDEX(Scénarios!$B$2:$AI$232,MATCH($S129,Scénarios!$AI$2:$AI$232,0),MATCH(AH$4,Scénarios!$B$4:$AI$4,0)),"-")</f>
        <v>-</v>
      </c>
      <c r="AI129" s="443" t="str">
        <f>IFERROR(INDEX(Scénarios!$B$2:$AI$232,MATCH($S129,Scénarios!$AI$2:$AI$232,0),MATCH(AI$4,Scénarios!$B$4:$AI$4,0)),"-")</f>
        <v>-</v>
      </c>
      <c r="AJ129" s="443" t="str">
        <f>IFERROR(INDEX(Param!$A$3:$C$7,MATCH($AI129,Param!$C$3:$C$7,0),1),"-")</f>
        <v>-</v>
      </c>
      <c r="AK129" s="443" t="str">
        <f>IFERROR(INDEX(Scénarios!$B$2:$AI$232,MATCH($S129,Scénarios!$AI$2:$AI$232,0),MATCH(AK$4,Scénarios!$B$4:$AI$4,0)),"-")</f>
        <v>-</v>
      </c>
      <c r="AL129" s="443" t="str">
        <f>IFERROR(INDEX(Scénarios!$B$2:$AI$232,MATCH($S129,Scénarios!$AI$2:$AI$232,0),MATCH(AL$4,Scénarios!$B$4:$AI$4,0)),"-")</f>
        <v>-</v>
      </c>
      <c r="AM129" s="443" t="str">
        <f>IFERROR(INDEX(Param!$A$10:$C$14,MATCH($AL129,Param!$C$10:$C$14,0),1),"-")</f>
        <v>-</v>
      </c>
      <c r="AN129" s="443" t="str">
        <f>IFERROR(IF(INDEX(Scénarios!$B$2:$AI$232,MATCH($S129,Scénarios!$AI$2:$AI$232,0),MATCH(AN$4,Scénarios!$B$4:$AI$4,0))=0,"",INDEX(Scénarios!$B$2:$AI$232,MATCH($S129,Scénarios!$AI$2:$AI$232,0),MATCH(AN$4,Scénarios!$B$4:$AI$4,0))),"-")</f>
        <v>-</v>
      </c>
      <c r="AO129" s="443" t="str">
        <f>IFERROR(INDEX(Scénarios!$B$2:$AI$232,MATCH($S129,Scénarios!$AI$2:$AI$232,0),MATCH(AO$4,Scénarios!$B$4:$AI$4,0)),"-")</f>
        <v>-</v>
      </c>
      <c r="AP129" s="443" t="str">
        <f>IFERROR(INDEX(Param!$A$17:$C$21,MATCH($AO129,Param!$C$17:$C$21,0),1),"-")</f>
        <v>-</v>
      </c>
      <c r="AQ129" s="443" t="str">
        <f>IFERROR(IF(INDEX(Scénarios!$B$2:$AI$232,MATCH($S129,Scénarios!$AI$2:$AI$232,0),MATCH(AQ$4,Scénarios!$B$4:$AI$4,0))=0,"",INDEX(Scénarios!$B$2:$AI$232,MATCH($S129,Scénarios!$AI$2:$AI$232,0),MATCH(AQ$4,Scénarios!$B$4:$AI$4,0))),"-")</f>
        <v>-</v>
      </c>
      <c r="AR129" s="443" t="str">
        <f>IFERROR(INDEX(Scénarios!$B$2:$AI$232,MATCH($S129,Scénarios!$AI$2:$AI$232,0),MATCH(AR$4,Scénarios!$B$4:$AI$4,0)),"-")</f>
        <v>-</v>
      </c>
      <c r="AS129" s="443" t="str">
        <f>IFERROR(INDEX(Param!$A$24:$C$28,MATCH($AR129,Param!$C$24:$C$28,0),1),"-")</f>
        <v>-</v>
      </c>
      <c r="AT129" s="443" t="str">
        <f>IFERROR(IF(INDEX(Scénarios!$B$2:$AI$232,MATCH($S129,Scénarios!$AI$2:$AI$232,0),MATCH(AT$4,Scénarios!$B$4:$AI$4,0))=0,"",INDEX(Scénarios!$B$2:$AI$232,MATCH($S129,Scénarios!$AI$2:$AI$232,0),MATCH(AT$4,Scénarios!$B$4:$AI$4,0))),"-")</f>
        <v>-</v>
      </c>
      <c r="AU129" s="462" t="str">
        <f>IFERROR(INDEX(Scénarios!$B$2:$AI$232,MATCH($S129,Scénarios!$AI$2:$AI$232,0),MATCH(AU$4,Scénarios!$B$4:$AI$4,0)),"-")</f>
        <v>-</v>
      </c>
      <c r="AV129" s="462" t="str">
        <f>IFERROR(INDEX(Scénarios!$B$2:$AI$232,MATCH($S129,Scénarios!$AI$2:$AI$232,0),MATCH(AV$4,Scénarios!$B$4:$AI$4,0)),"-")</f>
        <v>-</v>
      </c>
      <c r="AW129" s="462" t="str">
        <f>IFERROR(INDEX(Scénarios!$B$2:$AI$232,MATCH($S129,Scénarios!$AI$2:$AI$232,0),MATCH(AW$4,Scénarios!$B$4:$AI$4,0)),"-")</f>
        <v>-</v>
      </c>
      <c r="AX129" s="462" t="str">
        <f>IFERROR(INDEX(Scénarios!$B$2:$AI$232,MATCH($S129,Scénarios!$AI$2:$AI$232,0),MATCH(AX$4,Scénarios!$B$4:$AI$4,0)),"-")</f>
        <v>-</v>
      </c>
      <c r="AY129" s="443" t="str">
        <f>IFERROR(INDEX(Scénarios!$B$2:$AI$232,MATCH($S129,Scénarios!$AI$2:$AI$232,0),MATCH(AY$4,Scénarios!$B$4:$AI$4,0)),"-")</f>
        <v>-</v>
      </c>
      <c r="AZ129" s="588" t="str">
        <f>IFERROR(INDEX(Param!$A$31:$C$35,MATCH($AY129,Param!$C$31:$C$35,0),1),"-")</f>
        <v>-</v>
      </c>
      <c r="BA129" s="588" t="str">
        <f>IFERROR(IF(INDEX(Scénarios!$B$2:$AI$232,MATCH($S129,Scénarios!$AI$2:$AI$232,0),MATCH(BA$4,Scénarios!$B$4:$AI$4,0))=0,"",INDEX(Scénarios!$B$2:$AI$232,MATCH($S129,Scénarios!$AI$2:$AI$232,0),MATCH(BA$4,Scénarios!$B$4:$AI$4,0))),"-")</f>
        <v>-</v>
      </c>
      <c r="BB129" s="443" t="str">
        <f>IFERROR(IF(INDEX(Scénarios!$B$2:$AK$237,MATCH($S129,Scénarios!$AI$2:$AI$237,0),MATCH(BB$4,Scénarios!$B$4:$AK$4,0))=0,"",INDEX(Scénarios!$B$2:$AK$237,MATCH($S129,Scénarios!$AI$2:$AI$237,0),MATCH(BB$4,Scénarios!$B$4:$AK$4,0))),"-")</f>
        <v>-</v>
      </c>
      <c r="BC129" s="443" t="str">
        <f>IFERROR(INDEX(Scénarios!$B$2:$AV$232,MATCH($S129,Scénarios!$AI$2:$AI$232,0),MATCH(BC$4,Scénarios!$B$4:$AV$4,0)),"-")</f>
        <v>-</v>
      </c>
    </row>
    <row r="130" spans="15:55" ht="25.5" customHeight="1" x14ac:dyDescent="0.25">
      <c r="O130" s="604" t="str">
        <f t="shared" si="1"/>
        <v>Fiche R126 sans décision :
Veuillez ajouter une décision</v>
      </c>
      <c r="P130" s="609" t="s">
        <v>2188</v>
      </c>
      <c r="Q130" s="605" t="s">
        <v>2067</v>
      </c>
      <c r="R130" s="585" t="s">
        <v>2068</v>
      </c>
      <c r="S130" s="587" t="s">
        <v>2164</v>
      </c>
      <c r="T130" s="588" t="str">
        <f>IFERROR(INDEX(Tab_sel!$B$7:$C$18,MATCH($AB130,Tab_sel!$C$7:$C$18,0),1),"-")</f>
        <v>-</v>
      </c>
      <c r="U130" s="589" t="str">
        <f>IFERROR(INDEX(Scénarios!$B$2:$AI$232,MATCH($S130,Scénarios!$AI$2:$AI$232,0),MATCH(U$4,Scénarios!$B$4:$AI$4,0)),"-")</f>
        <v>-</v>
      </c>
      <c r="V130" s="588" t="str">
        <f>IFERROR(INDEX(Scénarios!$B$2:$AI$232,MATCH($S130,Scénarios!$AI$2:$AI$232,0),MATCH(V$4,Scénarios!$B$4:$AI$4,0)),"-")</f>
        <v>-</v>
      </c>
      <c r="W130" s="588" t="str">
        <f>IFERROR(INDEX(Scénarios!$B$2:$AI$232,MATCH($S130,Scénarios!$AI$2:$AI$232,0),MATCH(W$4,Scénarios!$B$4:$AI$4,0)),"-")</f>
        <v>-</v>
      </c>
      <c r="X130" s="588" t="str">
        <f>IFERROR(VLOOKUP(AD130,Expo!$D$4:$E$35,2,FALSE),"-")</f>
        <v>-</v>
      </c>
      <c r="Y130" s="859" t="str">
        <f>IFERROR(IF(INDEX(Scénarios!$B$2:$AI$232,MATCH($S130,Scénarios!$AI$2:$AI$232,0),MATCH(Y$4,Scénarios!$B$4:$AI$4,0))=0,"",INDEX(Scénarios!$B$2:$AI$232,MATCH($S130,Scénarios!$AI$2:$AI$232,0),MATCH(Y$4,Scénarios!$B$4:$AI$4,0))),"-")</f>
        <v>-</v>
      </c>
      <c r="Z130" s="589" t="str">
        <f>IFERROR(INDEX(Scénarios!$B$2:$AI$232,MATCH($S130,Scénarios!$AI$2:$AI$232,0),MATCH(Z$4,Scénarios!$B$4:$AI$4,0)),"-")</f>
        <v>-</v>
      </c>
      <c r="AA130" s="589" t="str">
        <f>IFERROR(INDEX(Scénarios!$B$2:$AI$232,MATCH($S130,Scénarios!$AI$2:$AI$232,0),MATCH(AA$4,Scénarios!$B$4:$AI$4,0)),"-")</f>
        <v>-</v>
      </c>
      <c r="AB130" s="586" t="str">
        <f>IFERROR(INDEX(Scénarios!$B$2:$AI$232,MATCH($S130,Scénarios!$AI$2:$AI$232,0),MATCH(AB$4,Scénarios!$B$4:$AI$4,0)),"-")</f>
        <v>-</v>
      </c>
      <c r="AC130" s="442" t="str">
        <f>IFERROR(INDEX(Tab_sel!$B$24:$C$27,MATCH($U130,Tab_sel!$C$24:$C$27,0),1),"-")</f>
        <v>-</v>
      </c>
      <c r="AD130" s="443" t="str">
        <f>IFERROR(INDEX(Scénarios!$B$2:$AI$232,MATCH($S130,Scénarios!$AI$2:$AI$232,0),MATCH(AD$4,Scénarios!$B$4:$AI$4,0)),"-")</f>
        <v>-</v>
      </c>
      <c r="AE130" s="460" t="str">
        <f>IFERROR(INDEX(Scénarios!$B$2:$AI$232,MATCH($S130,Scénarios!$AI$2:$AI$232,0),MATCH(AE$4,Scénarios!$B$4:$AI$4,0)),"-")</f>
        <v>-</v>
      </c>
      <c r="AF130" s="460" t="str">
        <f>IFERROR(INDEX(Scénarios!$B$2:$AI$232,MATCH($S130,Scénarios!$AI$2:$AI$232,0),MATCH(AF$4,Scénarios!$B$4:$AI$4,0)),"-")</f>
        <v>-</v>
      </c>
      <c r="AG130" s="460" t="str">
        <f>IFERROR(INDEX(Scénarios!$B$2:$AI$232,MATCH($S130,Scénarios!$AI$2:$AI$232,0),MATCH(AG$4,Scénarios!$B$4:$AI$4,0)),"-")</f>
        <v>-</v>
      </c>
      <c r="AH130" s="460" t="str">
        <f>IFERROR(INDEX(Scénarios!$B$2:$AI$232,MATCH($S130,Scénarios!$AI$2:$AI$232,0),MATCH(AH$4,Scénarios!$B$4:$AI$4,0)),"-")</f>
        <v>-</v>
      </c>
      <c r="AI130" s="443" t="str">
        <f>IFERROR(INDEX(Scénarios!$B$2:$AI$232,MATCH($S130,Scénarios!$AI$2:$AI$232,0),MATCH(AI$4,Scénarios!$B$4:$AI$4,0)),"-")</f>
        <v>-</v>
      </c>
      <c r="AJ130" s="443" t="str">
        <f>IFERROR(INDEX(Param!$A$3:$C$7,MATCH($AI130,Param!$C$3:$C$7,0),1),"-")</f>
        <v>-</v>
      </c>
      <c r="AK130" s="443" t="str">
        <f>IFERROR(INDEX(Scénarios!$B$2:$AI$232,MATCH($S130,Scénarios!$AI$2:$AI$232,0),MATCH(AK$4,Scénarios!$B$4:$AI$4,0)),"-")</f>
        <v>-</v>
      </c>
      <c r="AL130" s="443" t="str">
        <f>IFERROR(INDEX(Scénarios!$B$2:$AI$232,MATCH($S130,Scénarios!$AI$2:$AI$232,0),MATCH(AL$4,Scénarios!$B$4:$AI$4,0)),"-")</f>
        <v>-</v>
      </c>
      <c r="AM130" s="443" t="str">
        <f>IFERROR(INDEX(Param!$A$10:$C$14,MATCH($AL130,Param!$C$10:$C$14,0),1),"-")</f>
        <v>-</v>
      </c>
      <c r="AN130" s="443" t="str">
        <f>IFERROR(IF(INDEX(Scénarios!$B$2:$AI$232,MATCH($S130,Scénarios!$AI$2:$AI$232,0),MATCH(AN$4,Scénarios!$B$4:$AI$4,0))=0,"",INDEX(Scénarios!$B$2:$AI$232,MATCH($S130,Scénarios!$AI$2:$AI$232,0),MATCH(AN$4,Scénarios!$B$4:$AI$4,0))),"-")</f>
        <v>-</v>
      </c>
      <c r="AO130" s="443" t="str">
        <f>IFERROR(INDEX(Scénarios!$B$2:$AI$232,MATCH($S130,Scénarios!$AI$2:$AI$232,0),MATCH(AO$4,Scénarios!$B$4:$AI$4,0)),"-")</f>
        <v>-</v>
      </c>
      <c r="AP130" s="443" t="str">
        <f>IFERROR(INDEX(Param!$A$17:$C$21,MATCH($AO130,Param!$C$17:$C$21,0),1),"-")</f>
        <v>-</v>
      </c>
      <c r="AQ130" s="443" t="str">
        <f>IFERROR(IF(INDEX(Scénarios!$B$2:$AI$232,MATCH($S130,Scénarios!$AI$2:$AI$232,0),MATCH(AQ$4,Scénarios!$B$4:$AI$4,0))=0,"",INDEX(Scénarios!$B$2:$AI$232,MATCH($S130,Scénarios!$AI$2:$AI$232,0),MATCH(AQ$4,Scénarios!$B$4:$AI$4,0))),"-")</f>
        <v>-</v>
      </c>
      <c r="AR130" s="443" t="str">
        <f>IFERROR(INDEX(Scénarios!$B$2:$AI$232,MATCH($S130,Scénarios!$AI$2:$AI$232,0),MATCH(AR$4,Scénarios!$B$4:$AI$4,0)),"-")</f>
        <v>-</v>
      </c>
      <c r="AS130" s="443" t="str">
        <f>IFERROR(INDEX(Param!$A$24:$C$28,MATCH($AR130,Param!$C$24:$C$28,0),1),"-")</f>
        <v>-</v>
      </c>
      <c r="AT130" s="443" t="str">
        <f>IFERROR(IF(INDEX(Scénarios!$B$2:$AI$232,MATCH($S130,Scénarios!$AI$2:$AI$232,0),MATCH(AT$4,Scénarios!$B$4:$AI$4,0))=0,"",INDEX(Scénarios!$B$2:$AI$232,MATCH($S130,Scénarios!$AI$2:$AI$232,0),MATCH(AT$4,Scénarios!$B$4:$AI$4,0))),"-")</f>
        <v>-</v>
      </c>
      <c r="AU130" s="462" t="str">
        <f>IFERROR(INDEX(Scénarios!$B$2:$AI$232,MATCH($S130,Scénarios!$AI$2:$AI$232,0),MATCH(AU$4,Scénarios!$B$4:$AI$4,0)),"-")</f>
        <v>-</v>
      </c>
      <c r="AV130" s="462" t="str">
        <f>IFERROR(INDEX(Scénarios!$B$2:$AI$232,MATCH($S130,Scénarios!$AI$2:$AI$232,0),MATCH(AV$4,Scénarios!$B$4:$AI$4,0)),"-")</f>
        <v>-</v>
      </c>
      <c r="AW130" s="462" t="str">
        <f>IFERROR(INDEX(Scénarios!$B$2:$AI$232,MATCH($S130,Scénarios!$AI$2:$AI$232,0),MATCH(AW$4,Scénarios!$B$4:$AI$4,0)),"-")</f>
        <v>-</v>
      </c>
      <c r="AX130" s="462" t="str">
        <f>IFERROR(INDEX(Scénarios!$B$2:$AI$232,MATCH($S130,Scénarios!$AI$2:$AI$232,0),MATCH(AX$4,Scénarios!$B$4:$AI$4,0)),"-")</f>
        <v>-</v>
      </c>
      <c r="AY130" s="443" t="str">
        <f>IFERROR(INDEX(Scénarios!$B$2:$AI$232,MATCH($S130,Scénarios!$AI$2:$AI$232,0),MATCH(AY$4,Scénarios!$B$4:$AI$4,0)),"-")</f>
        <v>-</v>
      </c>
      <c r="AZ130" s="588" t="str">
        <f>IFERROR(INDEX(Param!$A$31:$C$35,MATCH($AY130,Param!$C$31:$C$35,0),1),"-")</f>
        <v>-</v>
      </c>
      <c r="BA130" s="588" t="str">
        <f>IFERROR(IF(INDEX(Scénarios!$B$2:$AI$232,MATCH($S130,Scénarios!$AI$2:$AI$232,0),MATCH(BA$4,Scénarios!$B$4:$AI$4,0))=0,"",INDEX(Scénarios!$B$2:$AI$232,MATCH($S130,Scénarios!$AI$2:$AI$232,0),MATCH(BA$4,Scénarios!$B$4:$AI$4,0))),"-")</f>
        <v>-</v>
      </c>
      <c r="BB130" s="443" t="str">
        <f>IFERROR(IF(INDEX(Scénarios!$B$2:$AK$237,MATCH($S130,Scénarios!$AI$2:$AI$237,0),MATCH(BB$4,Scénarios!$B$4:$AK$4,0))=0,"",INDEX(Scénarios!$B$2:$AK$237,MATCH($S130,Scénarios!$AI$2:$AI$237,0),MATCH(BB$4,Scénarios!$B$4:$AK$4,0))),"-")</f>
        <v>-</v>
      </c>
      <c r="BC130" s="443" t="str">
        <f>IFERROR(INDEX(Scénarios!$B$2:$AV$232,MATCH($S130,Scénarios!$AI$2:$AI$232,0),MATCH(BC$4,Scénarios!$B$4:$AV$4,0)),"-")</f>
        <v>-</v>
      </c>
    </row>
    <row r="131" spans="15:55" ht="25.5" customHeight="1" x14ac:dyDescent="0.25">
      <c r="O131" s="604" t="str">
        <f t="shared" si="1"/>
        <v>Fiche R127 sans décision :
Veuillez ajouter une décision</v>
      </c>
      <c r="P131" s="609" t="s">
        <v>2188</v>
      </c>
      <c r="Q131" s="605" t="s">
        <v>2067</v>
      </c>
      <c r="R131" s="585" t="s">
        <v>2068</v>
      </c>
      <c r="S131" s="587" t="s">
        <v>2165</v>
      </c>
      <c r="T131" s="588" t="str">
        <f>IFERROR(INDEX(Tab_sel!$B$7:$C$18,MATCH($AB131,Tab_sel!$C$7:$C$18,0),1),"-")</f>
        <v>-</v>
      </c>
      <c r="U131" s="589" t="str">
        <f>IFERROR(INDEX(Scénarios!$B$2:$AI$232,MATCH($S131,Scénarios!$AI$2:$AI$232,0),MATCH(U$4,Scénarios!$B$4:$AI$4,0)),"-")</f>
        <v>-</v>
      </c>
      <c r="V131" s="588" t="str">
        <f>IFERROR(INDEX(Scénarios!$B$2:$AI$232,MATCH($S131,Scénarios!$AI$2:$AI$232,0),MATCH(V$4,Scénarios!$B$4:$AI$4,0)),"-")</f>
        <v>-</v>
      </c>
      <c r="W131" s="588" t="str">
        <f>IFERROR(INDEX(Scénarios!$B$2:$AI$232,MATCH($S131,Scénarios!$AI$2:$AI$232,0),MATCH(W$4,Scénarios!$B$4:$AI$4,0)),"-")</f>
        <v>-</v>
      </c>
      <c r="X131" s="588" t="str">
        <f>IFERROR(VLOOKUP(AD131,Expo!$D$4:$E$35,2,FALSE),"-")</f>
        <v>-</v>
      </c>
      <c r="Y131" s="859" t="str">
        <f>IFERROR(IF(INDEX(Scénarios!$B$2:$AI$232,MATCH($S131,Scénarios!$AI$2:$AI$232,0),MATCH(Y$4,Scénarios!$B$4:$AI$4,0))=0,"",INDEX(Scénarios!$B$2:$AI$232,MATCH($S131,Scénarios!$AI$2:$AI$232,0),MATCH(Y$4,Scénarios!$B$4:$AI$4,0))),"-")</f>
        <v>-</v>
      </c>
      <c r="Z131" s="589" t="str">
        <f>IFERROR(INDEX(Scénarios!$B$2:$AI$232,MATCH($S131,Scénarios!$AI$2:$AI$232,0),MATCH(Z$4,Scénarios!$B$4:$AI$4,0)),"-")</f>
        <v>-</v>
      </c>
      <c r="AA131" s="589" t="str">
        <f>IFERROR(INDEX(Scénarios!$B$2:$AI$232,MATCH($S131,Scénarios!$AI$2:$AI$232,0),MATCH(AA$4,Scénarios!$B$4:$AI$4,0)),"-")</f>
        <v>-</v>
      </c>
      <c r="AB131" s="586" t="str">
        <f>IFERROR(INDEX(Scénarios!$B$2:$AI$232,MATCH($S131,Scénarios!$AI$2:$AI$232,0),MATCH(AB$4,Scénarios!$B$4:$AI$4,0)),"-")</f>
        <v>-</v>
      </c>
      <c r="AC131" s="442" t="str">
        <f>IFERROR(INDEX(Tab_sel!$B$24:$C$27,MATCH($U131,Tab_sel!$C$24:$C$27,0),1),"-")</f>
        <v>-</v>
      </c>
      <c r="AD131" s="443" t="str">
        <f>IFERROR(INDEX(Scénarios!$B$2:$AI$232,MATCH($S131,Scénarios!$AI$2:$AI$232,0),MATCH(AD$4,Scénarios!$B$4:$AI$4,0)),"-")</f>
        <v>-</v>
      </c>
      <c r="AE131" s="460" t="str">
        <f>IFERROR(INDEX(Scénarios!$B$2:$AI$232,MATCH($S131,Scénarios!$AI$2:$AI$232,0),MATCH(AE$4,Scénarios!$B$4:$AI$4,0)),"-")</f>
        <v>-</v>
      </c>
      <c r="AF131" s="460" t="str">
        <f>IFERROR(INDEX(Scénarios!$B$2:$AI$232,MATCH($S131,Scénarios!$AI$2:$AI$232,0),MATCH(AF$4,Scénarios!$B$4:$AI$4,0)),"-")</f>
        <v>-</v>
      </c>
      <c r="AG131" s="460" t="str">
        <f>IFERROR(INDEX(Scénarios!$B$2:$AI$232,MATCH($S131,Scénarios!$AI$2:$AI$232,0),MATCH(AG$4,Scénarios!$B$4:$AI$4,0)),"-")</f>
        <v>-</v>
      </c>
      <c r="AH131" s="460" t="str">
        <f>IFERROR(INDEX(Scénarios!$B$2:$AI$232,MATCH($S131,Scénarios!$AI$2:$AI$232,0),MATCH(AH$4,Scénarios!$B$4:$AI$4,0)),"-")</f>
        <v>-</v>
      </c>
      <c r="AI131" s="443" t="str">
        <f>IFERROR(INDEX(Scénarios!$B$2:$AI$232,MATCH($S131,Scénarios!$AI$2:$AI$232,0),MATCH(AI$4,Scénarios!$B$4:$AI$4,0)),"-")</f>
        <v>-</v>
      </c>
      <c r="AJ131" s="443" t="str">
        <f>IFERROR(INDEX(Param!$A$3:$C$7,MATCH($AI131,Param!$C$3:$C$7,0),1),"-")</f>
        <v>-</v>
      </c>
      <c r="AK131" s="443" t="str">
        <f>IFERROR(INDEX(Scénarios!$B$2:$AI$232,MATCH($S131,Scénarios!$AI$2:$AI$232,0),MATCH(AK$4,Scénarios!$B$4:$AI$4,0)),"-")</f>
        <v>-</v>
      </c>
      <c r="AL131" s="443" t="str">
        <f>IFERROR(INDEX(Scénarios!$B$2:$AI$232,MATCH($S131,Scénarios!$AI$2:$AI$232,0),MATCH(AL$4,Scénarios!$B$4:$AI$4,0)),"-")</f>
        <v>-</v>
      </c>
      <c r="AM131" s="443" t="str">
        <f>IFERROR(INDEX(Param!$A$10:$C$14,MATCH($AL131,Param!$C$10:$C$14,0),1),"-")</f>
        <v>-</v>
      </c>
      <c r="AN131" s="443" t="str">
        <f>IFERROR(IF(INDEX(Scénarios!$B$2:$AI$232,MATCH($S131,Scénarios!$AI$2:$AI$232,0),MATCH(AN$4,Scénarios!$B$4:$AI$4,0))=0,"",INDEX(Scénarios!$B$2:$AI$232,MATCH($S131,Scénarios!$AI$2:$AI$232,0),MATCH(AN$4,Scénarios!$B$4:$AI$4,0))),"-")</f>
        <v>-</v>
      </c>
      <c r="AO131" s="443" t="str">
        <f>IFERROR(INDEX(Scénarios!$B$2:$AI$232,MATCH($S131,Scénarios!$AI$2:$AI$232,0),MATCH(AO$4,Scénarios!$B$4:$AI$4,0)),"-")</f>
        <v>-</v>
      </c>
      <c r="AP131" s="443" t="str">
        <f>IFERROR(INDEX(Param!$A$17:$C$21,MATCH($AO131,Param!$C$17:$C$21,0),1),"-")</f>
        <v>-</v>
      </c>
      <c r="AQ131" s="443" t="str">
        <f>IFERROR(IF(INDEX(Scénarios!$B$2:$AI$232,MATCH($S131,Scénarios!$AI$2:$AI$232,0),MATCH(AQ$4,Scénarios!$B$4:$AI$4,0))=0,"",INDEX(Scénarios!$B$2:$AI$232,MATCH($S131,Scénarios!$AI$2:$AI$232,0),MATCH(AQ$4,Scénarios!$B$4:$AI$4,0))),"-")</f>
        <v>-</v>
      </c>
      <c r="AR131" s="443" t="str">
        <f>IFERROR(INDEX(Scénarios!$B$2:$AI$232,MATCH($S131,Scénarios!$AI$2:$AI$232,0),MATCH(AR$4,Scénarios!$B$4:$AI$4,0)),"-")</f>
        <v>-</v>
      </c>
      <c r="AS131" s="443" t="str">
        <f>IFERROR(INDEX(Param!$A$24:$C$28,MATCH($AR131,Param!$C$24:$C$28,0),1),"-")</f>
        <v>-</v>
      </c>
      <c r="AT131" s="443" t="str">
        <f>IFERROR(IF(INDEX(Scénarios!$B$2:$AI$232,MATCH($S131,Scénarios!$AI$2:$AI$232,0),MATCH(AT$4,Scénarios!$B$4:$AI$4,0))=0,"",INDEX(Scénarios!$B$2:$AI$232,MATCH($S131,Scénarios!$AI$2:$AI$232,0),MATCH(AT$4,Scénarios!$B$4:$AI$4,0))),"-")</f>
        <v>-</v>
      </c>
      <c r="AU131" s="462" t="str">
        <f>IFERROR(INDEX(Scénarios!$B$2:$AI$232,MATCH($S131,Scénarios!$AI$2:$AI$232,0),MATCH(AU$4,Scénarios!$B$4:$AI$4,0)),"-")</f>
        <v>-</v>
      </c>
      <c r="AV131" s="462" t="str">
        <f>IFERROR(INDEX(Scénarios!$B$2:$AI$232,MATCH($S131,Scénarios!$AI$2:$AI$232,0),MATCH(AV$4,Scénarios!$B$4:$AI$4,0)),"-")</f>
        <v>-</v>
      </c>
      <c r="AW131" s="462" t="str">
        <f>IFERROR(INDEX(Scénarios!$B$2:$AI$232,MATCH($S131,Scénarios!$AI$2:$AI$232,0),MATCH(AW$4,Scénarios!$B$4:$AI$4,0)),"-")</f>
        <v>-</v>
      </c>
      <c r="AX131" s="462" t="str">
        <f>IFERROR(INDEX(Scénarios!$B$2:$AI$232,MATCH($S131,Scénarios!$AI$2:$AI$232,0),MATCH(AX$4,Scénarios!$B$4:$AI$4,0)),"-")</f>
        <v>-</v>
      </c>
      <c r="AY131" s="443" t="str">
        <f>IFERROR(INDEX(Scénarios!$B$2:$AI$232,MATCH($S131,Scénarios!$AI$2:$AI$232,0),MATCH(AY$4,Scénarios!$B$4:$AI$4,0)),"-")</f>
        <v>-</v>
      </c>
      <c r="AZ131" s="588" t="str">
        <f>IFERROR(INDEX(Param!$A$31:$C$35,MATCH($AY131,Param!$C$31:$C$35,0),1),"-")</f>
        <v>-</v>
      </c>
      <c r="BA131" s="588" t="str">
        <f>IFERROR(IF(INDEX(Scénarios!$B$2:$AI$232,MATCH($S131,Scénarios!$AI$2:$AI$232,0),MATCH(BA$4,Scénarios!$B$4:$AI$4,0))=0,"",INDEX(Scénarios!$B$2:$AI$232,MATCH($S131,Scénarios!$AI$2:$AI$232,0),MATCH(BA$4,Scénarios!$B$4:$AI$4,0))),"-")</f>
        <v>-</v>
      </c>
      <c r="BB131" s="443" t="str">
        <f>IFERROR(IF(INDEX(Scénarios!$B$2:$AK$237,MATCH($S131,Scénarios!$AI$2:$AI$237,0),MATCH(BB$4,Scénarios!$B$4:$AK$4,0))=0,"",INDEX(Scénarios!$B$2:$AK$237,MATCH($S131,Scénarios!$AI$2:$AI$237,0),MATCH(BB$4,Scénarios!$B$4:$AK$4,0))),"-")</f>
        <v>-</v>
      </c>
      <c r="BC131" s="443" t="str">
        <f>IFERROR(INDEX(Scénarios!$B$2:$AV$232,MATCH($S131,Scénarios!$AI$2:$AI$232,0),MATCH(BC$4,Scénarios!$B$4:$AV$4,0)),"-")</f>
        <v>-</v>
      </c>
    </row>
    <row r="132" spans="15:55" ht="25.5" customHeight="1" x14ac:dyDescent="0.25">
      <c r="O132" s="604" t="str">
        <f t="shared" si="1"/>
        <v>Fiche R128 sans décision :
Veuillez ajouter une décision</v>
      </c>
      <c r="P132" s="609" t="s">
        <v>2188</v>
      </c>
      <c r="Q132" s="605" t="s">
        <v>2067</v>
      </c>
      <c r="R132" s="585" t="s">
        <v>2068</v>
      </c>
      <c r="S132" s="587" t="s">
        <v>2166</v>
      </c>
      <c r="T132" s="588" t="str">
        <f>IFERROR(INDEX(Tab_sel!$B$7:$C$18,MATCH($AB132,Tab_sel!$C$7:$C$18,0),1),"-")</f>
        <v>-</v>
      </c>
      <c r="U132" s="589" t="str">
        <f>IFERROR(INDEX(Scénarios!$B$2:$AI$232,MATCH($S132,Scénarios!$AI$2:$AI$232,0),MATCH(U$4,Scénarios!$B$4:$AI$4,0)),"-")</f>
        <v>-</v>
      </c>
      <c r="V132" s="588" t="str">
        <f>IFERROR(INDEX(Scénarios!$B$2:$AI$232,MATCH($S132,Scénarios!$AI$2:$AI$232,0),MATCH(V$4,Scénarios!$B$4:$AI$4,0)),"-")</f>
        <v>-</v>
      </c>
      <c r="W132" s="588" t="str">
        <f>IFERROR(INDEX(Scénarios!$B$2:$AI$232,MATCH($S132,Scénarios!$AI$2:$AI$232,0),MATCH(W$4,Scénarios!$B$4:$AI$4,0)),"-")</f>
        <v>-</v>
      </c>
      <c r="X132" s="588" t="str">
        <f>IFERROR(VLOOKUP(AD132,Expo!$D$4:$E$35,2,FALSE),"-")</f>
        <v>-</v>
      </c>
      <c r="Y132" s="859" t="str">
        <f>IFERROR(IF(INDEX(Scénarios!$B$2:$AI$232,MATCH($S132,Scénarios!$AI$2:$AI$232,0),MATCH(Y$4,Scénarios!$B$4:$AI$4,0))=0,"",INDEX(Scénarios!$B$2:$AI$232,MATCH($S132,Scénarios!$AI$2:$AI$232,0),MATCH(Y$4,Scénarios!$B$4:$AI$4,0))),"-")</f>
        <v>-</v>
      </c>
      <c r="Z132" s="589" t="str">
        <f>IFERROR(INDEX(Scénarios!$B$2:$AI$232,MATCH($S132,Scénarios!$AI$2:$AI$232,0),MATCH(Z$4,Scénarios!$B$4:$AI$4,0)),"-")</f>
        <v>-</v>
      </c>
      <c r="AA132" s="589" t="str">
        <f>IFERROR(INDEX(Scénarios!$B$2:$AI$232,MATCH($S132,Scénarios!$AI$2:$AI$232,0),MATCH(AA$4,Scénarios!$B$4:$AI$4,0)),"-")</f>
        <v>-</v>
      </c>
      <c r="AB132" s="586" t="str">
        <f>IFERROR(INDEX(Scénarios!$B$2:$AI$232,MATCH($S132,Scénarios!$AI$2:$AI$232,0),MATCH(AB$4,Scénarios!$B$4:$AI$4,0)),"-")</f>
        <v>-</v>
      </c>
      <c r="AC132" s="442" t="str">
        <f>IFERROR(INDEX(Tab_sel!$B$24:$C$27,MATCH($U132,Tab_sel!$C$24:$C$27,0),1),"-")</f>
        <v>-</v>
      </c>
      <c r="AD132" s="443" t="str">
        <f>IFERROR(INDEX(Scénarios!$B$2:$AI$232,MATCH($S132,Scénarios!$AI$2:$AI$232,0),MATCH(AD$4,Scénarios!$B$4:$AI$4,0)),"-")</f>
        <v>-</v>
      </c>
      <c r="AE132" s="460" t="str">
        <f>IFERROR(INDEX(Scénarios!$B$2:$AI$232,MATCH($S132,Scénarios!$AI$2:$AI$232,0),MATCH(AE$4,Scénarios!$B$4:$AI$4,0)),"-")</f>
        <v>-</v>
      </c>
      <c r="AF132" s="460" t="str">
        <f>IFERROR(INDEX(Scénarios!$B$2:$AI$232,MATCH($S132,Scénarios!$AI$2:$AI$232,0),MATCH(AF$4,Scénarios!$B$4:$AI$4,0)),"-")</f>
        <v>-</v>
      </c>
      <c r="AG132" s="460" t="str">
        <f>IFERROR(INDEX(Scénarios!$B$2:$AI$232,MATCH($S132,Scénarios!$AI$2:$AI$232,0),MATCH(AG$4,Scénarios!$B$4:$AI$4,0)),"-")</f>
        <v>-</v>
      </c>
      <c r="AH132" s="460" t="str">
        <f>IFERROR(INDEX(Scénarios!$B$2:$AI$232,MATCH($S132,Scénarios!$AI$2:$AI$232,0),MATCH(AH$4,Scénarios!$B$4:$AI$4,0)),"-")</f>
        <v>-</v>
      </c>
      <c r="AI132" s="443" t="str">
        <f>IFERROR(INDEX(Scénarios!$B$2:$AI$232,MATCH($S132,Scénarios!$AI$2:$AI$232,0),MATCH(AI$4,Scénarios!$B$4:$AI$4,0)),"-")</f>
        <v>-</v>
      </c>
      <c r="AJ132" s="443" t="str">
        <f>IFERROR(INDEX(Param!$A$3:$C$7,MATCH($AI132,Param!$C$3:$C$7,0),1),"-")</f>
        <v>-</v>
      </c>
      <c r="AK132" s="443" t="str">
        <f>IFERROR(INDEX(Scénarios!$B$2:$AI$232,MATCH($S132,Scénarios!$AI$2:$AI$232,0),MATCH(AK$4,Scénarios!$B$4:$AI$4,0)),"-")</f>
        <v>-</v>
      </c>
      <c r="AL132" s="443" t="str">
        <f>IFERROR(INDEX(Scénarios!$B$2:$AI$232,MATCH($S132,Scénarios!$AI$2:$AI$232,0),MATCH(AL$4,Scénarios!$B$4:$AI$4,0)),"-")</f>
        <v>-</v>
      </c>
      <c r="AM132" s="443" t="str">
        <f>IFERROR(INDEX(Param!$A$10:$C$14,MATCH($AL132,Param!$C$10:$C$14,0),1),"-")</f>
        <v>-</v>
      </c>
      <c r="AN132" s="443" t="str">
        <f>IFERROR(IF(INDEX(Scénarios!$B$2:$AI$232,MATCH($S132,Scénarios!$AI$2:$AI$232,0),MATCH(AN$4,Scénarios!$B$4:$AI$4,0))=0,"",INDEX(Scénarios!$B$2:$AI$232,MATCH($S132,Scénarios!$AI$2:$AI$232,0),MATCH(AN$4,Scénarios!$B$4:$AI$4,0))),"-")</f>
        <v>-</v>
      </c>
      <c r="AO132" s="443" t="str">
        <f>IFERROR(INDEX(Scénarios!$B$2:$AI$232,MATCH($S132,Scénarios!$AI$2:$AI$232,0),MATCH(AO$4,Scénarios!$B$4:$AI$4,0)),"-")</f>
        <v>-</v>
      </c>
      <c r="AP132" s="443" t="str">
        <f>IFERROR(INDEX(Param!$A$17:$C$21,MATCH($AO132,Param!$C$17:$C$21,0),1),"-")</f>
        <v>-</v>
      </c>
      <c r="AQ132" s="443" t="str">
        <f>IFERROR(IF(INDEX(Scénarios!$B$2:$AI$232,MATCH($S132,Scénarios!$AI$2:$AI$232,0),MATCH(AQ$4,Scénarios!$B$4:$AI$4,0))=0,"",INDEX(Scénarios!$B$2:$AI$232,MATCH($S132,Scénarios!$AI$2:$AI$232,0),MATCH(AQ$4,Scénarios!$B$4:$AI$4,0))),"-")</f>
        <v>-</v>
      </c>
      <c r="AR132" s="443" t="str">
        <f>IFERROR(INDEX(Scénarios!$B$2:$AI$232,MATCH($S132,Scénarios!$AI$2:$AI$232,0),MATCH(AR$4,Scénarios!$B$4:$AI$4,0)),"-")</f>
        <v>-</v>
      </c>
      <c r="AS132" s="443" t="str">
        <f>IFERROR(INDEX(Param!$A$24:$C$28,MATCH($AR132,Param!$C$24:$C$28,0),1),"-")</f>
        <v>-</v>
      </c>
      <c r="AT132" s="443" t="str">
        <f>IFERROR(IF(INDEX(Scénarios!$B$2:$AI$232,MATCH($S132,Scénarios!$AI$2:$AI$232,0),MATCH(AT$4,Scénarios!$B$4:$AI$4,0))=0,"",INDEX(Scénarios!$B$2:$AI$232,MATCH($S132,Scénarios!$AI$2:$AI$232,0),MATCH(AT$4,Scénarios!$B$4:$AI$4,0))),"-")</f>
        <v>-</v>
      </c>
      <c r="AU132" s="462" t="str">
        <f>IFERROR(INDEX(Scénarios!$B$2:$AI$232,MATCH($S132,Scénarios!$AI$2:$AI$232,0),MATCH(AU$4,Scénarios!$B$4:$AI$4,0)),"-")</f>
        <v>-</v>
      </c>
      <c r="AV132" s="462" t="str">
        <f>IFERROR(INDEX(Scénarios!$B$2:$AI$232,MATCH($S132,Scénarios!$AI$2:$AI$232,0),MATCH(AV$4,Scénarios!$B$4:$AI$4,0)),"-")</f>
        <v>-</v>
      </c>
      <c r="AW132" s="462" t="str">
        <f>IFERROR(INDEX(Scénarios!$B$2:$AI$232,MATCH($S132,Scénarios!$AI$2:$AI$232,0),MATCH(AW$4,Scénarios!$B$4:$AI$4,0)),"-")</f>
        <v>-</v>
      </c>
      <c r="AX132" s="462" t="str">
        <f>IFERROR(INDEX(Scénarios!$B$2:$AI$232,MATCH($S132,Scénarios!$AI$2:$AI$232,0),MATCH(AX$4,Scénarios!$B$4:$AI$4,0)),"-")</f>
        <v>-</v>
      </c>
      <c r="AY132" s="443" t="str">
        <f>IFERROR(INDEX(Scénarios!$B$2:$AI$232,MATCH($S132,Scénarios!$AI$2:$AI$232,0),MATCH(AY$4,Scénarios!$B$4:$AI$4,0)),"-")</f>
        <v>-</v>
      </c>
      <c r="AZ132" s="588" t="str">
        <f>IFERROR(INDEX(Param!$A$31:$C$35,MATCH($AY132,Param!$C$31:$C$35,0),1),"-")</f>
        <v>-</v>
      </c>
      <c r="BA132" s="588" t="str">
        <f>IFERROR(IF(INDEX(Scénarios!$B$2:$AI$232,MATCH($S132,Scénarios!$AI$2:$AI$232,0),MATCH(BA$4,Scénarios!$B$4:$AI$4,0))=0,"",INDEX(Scénarios!$B$2:$AI$232,MATCH($S132,Scénarios!$AI$2:$AI$232,0),MATCH(BA$4,Scénarios!$B$4:$AI$4,0))),"-")</f>
        <v>-</v>
      </c>
      <c r="BB132" s="443" t="str">
        <f>IFERROR(IF(INDEX(Scénarios!$B$2:$AK$237,MATCH($S132,Scénarios!$AI$2:$AI$237,0),MATCH(BB$4,Scénarios!$B$4:$AK$4,0))=0,"",INDEX(Scénarios!$B$2:$AK$237,MATCH($S132,Scénarios!$AI$2:$AI$237,0),MATCH(BB$4,Scénarios!$B$4:$AK$4,0))),"-")</f>
        <v>-</v>
      </c>
      <c r="BC132" s="443" t="str">
        <f>IFERROR(INDEX(Scénarios!$B$2:$AV$232,MATCH($S132,Scénarios!$AI$2:$AI$232,0),MATCH(BC$4,Scénarios!$B$4:$AV$4,0)),"-")</f>
        <v>-</v>
      </c>
    </row>
    <row r="133" spans="15:55" ht="25.5" customHeight="1" x14ac:dyDescent="0.25">
      <c r="O133" s="604" t="str">
        <f t="shared" si="1"/>
        <v>Fiche R129 sans décision :
Veuillez ajouter une décision</v>
      </c>
      <c r="P133" s="609" t="s">
        <v>2188</v>
      </c>
      <c r="Q133" s="605" t="s">
        <v>2067</v>
      </c>
      <c r="R133" s="585" t="s">
        <v>2068</v>
      </c>
      <c r="S133" s="587" t="s">
        <v>2167</v>
      </c>
      <c r="T133" s="588" t="str">
        <f>IFERROR(INDEX(Tab_sel!$B$7:$C$18,MATCH($AB133,Tab_sel!$C$7:$C$18,0),1),"-")</f>
        <v>-</v>
      </c>
      <c r="U133" s="589" t="str">
        <f>IFERROR(INDEX(Scénarios!$B$2:$AI$232,MATCH($S133,Scénarios!$AI$2:$AI$232,0),MATCH(U$4,Scénarios!$B$4:$AI$4,0)),"-")</f>
        <v>-</v>
      </c>
      <c r="V133" s="588" t="str">
        <f>IFERROR(INDEX(Scénarios!$B$2:$AI$232,MATCH($S133,Scénarios!$AI$2:$AI$232,0),MATCH(V$4,Scénarios!$B$4:$AI$4,0)),"-")</f>
        <v>-</v>
      </c>
      <c r="W133" s="588" t="str">
        <f>IFERROR(INDEX(Scénarios!$B$2:$AI$232,MATCH($S133,Scénarios!$AI$2:$AI$232,0),MATCH(W$4,Scénarios!$B$4:$AI$4,0)),"-")</f>
        <v>-</v>
      </c>
      <c r="X133" s="588" t="str">
        <f>IFERROR(VLOOKUP(AD133,Expo!$D$4:$E$35,2,FALSE),"-")</f>
        <v>-</v>
      </c>
      <c r="Y133" s="859" t="str">
        <f>IFERROR(IF(INDEX(Scénarios!$B$2:$AI$232,MATCH($S133,Scénarios!$AI$2:$AI$232,0),MATCH(Y$4,Scénarios!$B$4:$AI$4,0))=0,"",INDEX(Scénarios!$B$2:$AI$232,MATCH($S133,Scénarios!$AI$2:$AI$232,0),MATCH(Y$4,Scénarios!$B$4:$AI$4,0))),"-")</f>
        <v>-</v>
      </c>
      <c r="Z133" s="589" t="str">
        <f>IFERROR(INDEX(Scénarios!$B$2:$AI$232,MATCH($S133,Scénarios!$AI$2:$AI$232,0),MATCH(Z$4,Scénarios!$B$4:$AI$4,0)),"-")</f>
        <v>-</v>
      </c>
      <c r="AA133" s="589" t="str">
        <f>IFERROR(INDEX(Scénarios!$B$2:$AI$232,MATCH($S133,Scénarios!$AI$2:$AI$232,0),MATCH(AA$4,Scénarios!$B$4:$AI$4,0)),"-")</f>
        <v>-</v>
      </c>
      <c r="AB133" s="586" t="str">
        <f>IFERROR(INDEX(Scénarios!$B$2:$AI$232,MATCH($S133,Scénarios!$AI$2:$AI$232,0),MATCH(AB$4,Scénarios!$B$4:$AI$4,0)),"-")</f>
        <v>-</v>
      </c>
      <c r="AC133" s="442" t="str">
        <f>IFERROR(INDEX(Tab_sel!$B$24:$C$27,MATCH($U133,Tab_sel!$C$24:$C$27,0),1),"-")</f>
        <v>-</v>
      </c>
      <c r="AD133" s="443" t="str">
        <f>IFERROR(INDEX(Scénarios!$B$2:$AI$232,MATCH($S133,Scénarios!$AI$2:$AI$232,0),MATCH(AD$4,Scénarios!$B$4:$AI$4,0)),"-")</f>
        <v>-</v>
      </c>
      <c r="AE133" s="460" t="str">
        <f>IFERROR(INDEX(Scénarios!$B$2:$AI$232,MATCH($S133,Scénarios!$AI$2:$AI$232,0),MATCH(AE$4,Scénarios!$B$4:$AI$4,0)),"-")</f>
        <v>-</v>
      </c>
      <c r="AF133" s="460" t="str">
        <f>IFERROR(INDEX(Scénarios!$B$2:$AI$232,MATCH($S133,Scénarios!$AI$2:$AI$232,0),MATCH(AF$4,Scénarios!$B$4:$AI$4,0)),"-")</f>
        <v>-</v>
      </c>
      <c r="AG133" s="460" t="str">
        <f>IFERROR(INDEX(Scénarios!$B$2:$AI$232,MATCH($S133,Scénarios!$AI$2:$AI$232,0),MATCH(AG$4,Scénarios!$B$4:$AI$4,0)),"-")</f>
        <v>-</v>
      </c>
      <c r="AH133" s="460" t="str">
        <f>IFERROR(INDEX(Scénarios!$B$2:$AI$232,MATCH($S133,Scénarios!$AI$2:$AI$232,0),MATCH(AH$4,Scénarios!$B$4:$AI$4,0)),"-")</f>
        <v>-</v>
      </c>
      <c r="AI133" s="443" t="str">
        <f>IFERROR(INDEX(Scénarios!$B$2:$AI$232,MATCH($S133,Scénarios!$AI$2:$AI$232,0),MATCH(AI$4,Scénarios!$B$4:$AI$4,0)),"-")</f>
        <v>-</v>
      </c>
      <c r="AJ133" s="443" t="str">
        <f>IFERROR(INDEX(Param!$A$3:$C$7,MATCH($AI133,Param!$C$3:$C$7,0),1),"-")</f>
        <v>-</v>
      </c>
      <c r="AK133" s="443" t="str">
        <f>IFERROR(INDEX(Scénarios!$B$2:$AI$232,MATCH($S133,Scénarios!$AI$2:$AI$232,0),MATCH(AK$4,Scénarios!$B$4:$AI$4,0)),"-")</f>
        <v>-</v>
      </c>
      <c r="AL133" s="443" t="str">
        <f>IFERROR(INDEX(Scénarios!$B$2:$AI$232,MATCH($S133,Scénarios!$AI$2:$AI$232,0),MATCH(AL$4,Scénarios!$B$4:$AI$4,0)),"-")</f>
        <v>-</v>
      </c>
      <c r="AM133" s="443" t="str">
        <f>IFERROR(INDEX(Param!$A$10:$C$14,MATCH($AL133,Param!$C$10:$C$14,0),1),"-")</f>
        <v>-</v>
      </c>
      <c r="AN133" s="443" t="str">
        <f>IFERROR(IF(INDEX(Scénarios!$B$2:$AI$232,MATCH($S133,Scénarios!$AI$2:$AI$232,0),MATCH(AN$4,Scénarios!$B$4:$AI$4,0))=0,"",INDEX(Scénarios!$B$2:$AI$232,MATCH($S133,Scénarios!$AI$2:$AI$232,0),MATCH(AN$4,Scénarios!$B$4:$AI$4,0))),"-")</f>
        <v>-</v>
      </c>
      <c r="AO133" s="443" t="str">
        <f>IFERROR(INDEX(Scénarios!$B$2:$AI$232,MATCH($S133,Scénarios!$AI$2:$AI$232,0),MATCH(AO$4,Scénarios!$B$4:$AI$4,0)),"-")</f>
        <v>-</v>
      </c>
      <c r="AP133" s="443" t="str">
        <f>IFERROR(INDEX(Param!$A$17:$C$21,MATCH($AO133,Param!$C$17:$C$21,0),1),"-")</f>
        <v>-</v>
      </c>
      <c r="AQ133" s="443" t="str">
        <f>IFERROR(IF(INDEX(Scénarios!$B$2:$AI$232,MATCH($S133,Scénarios!$AI$2:$AI$232,0),MATCH(AQ$4,Scénarios!$B$4:$AI$4,0))=0,"",INDEX(Scénarios!$B$2:$AI$232,MATCH($S133,Scénarios!$AI$2:$AI$232,0),MATCH(AQ$4,Scénarios!$B$4:$AI$4,0))),"-")</f>
        <v>-</v>
      </c>
      <c r="AR133" s="443" t="str">
        <f>IFERROR(INDEX(Scénarios!$B$2:$AI$232,MATCH($S133,Scénarios!$AI$2:$AI$232,0),MATCH(AR$4,Scénarios!$B$4:$AI$4,0)),"-")</f>
        <v>-</v>
      </c>
      <c r="AS133" s="443" t="str">
        <f>IFERROR(INDEX(Param!$A$24:$C$28,MATCH($AR133,Param!$C$24:$C$28,0),1),"-")</f>
        <v>-</v>
      </c>
      <c r="AT133" s="443" t="str">
        <f>IFERROR(IF(INDEX(Scénarios!$B$2:$AI$232,MATCH($S133,Scénarios!$AI$2:$AI$232,0),MATCH(AT$4,Scénarios!$B$4:$AI$4,0))=0,"",INDEX(Scénarios!$B$2:$AI$232,MATCH($S133,Scénarios!$AI$2:$AI$232,0),MATCH(AT$4,Scénarios!$B$4:$AI$4,0))),"-")</f>
        <v>-</v>
      </c>
      <c r="AU133" s="462" t="str">
        <f>IFERROR(INDEX(Scénarios!$B$2:$AI$232,MATCH($S133,Scénarios!$AI$2:$AI$232,0),MATCH(AU$4,Scénarios!$B$4:$AI$4,0)),"-")</f>
        <v>-</v>
      </c>
      <c r="AV133" s="462" t="str">
        <f>IFERROR(INDEX(Scénarios!$B$2:$AI$232,MATCH($S133,Scénarios!$AI$2:$AI$232,0),MATCH(AV$4,Scénarios!$B$4:$AI$4,0)),"-")</f>
        <v>-</v>
      </c>
      <c r="AW133" s="462" t="str">
        <f>IFERROR(INDEX(Scénarios!$B$2:$AI$232,MATCH($S133,Scénarios!$AI$2:$AI$232,0),MATCH(AW$4,Scénarios!$B$4:$AI$4,0)),"-")</f>
        <v>-</v>
      </c>
      <c r="AX133" s="462" t="str">
        <f>IFERROR(INDEX(Scénarios!$B$2:$AI$232,MATCH($S133,Scénarios!$AI$2:$AI$232,0),MATCH(AX$4,Scénarios!$B$4:$AI$4,0)),"-")</f>
        <v>-</v>
      </c>
      <c r="AY133" s="443" t="str">
        <f>IFERROR(INDEX(Scénarios!$B$2:$AI$232,MATCH($S133,Scénarios!$AI$2:$AI$232,0),MATCH(AY$4,Scénarios!$B$4:$AI$4,0)),"-")</f>
        <v>-</v>
      </c>
      <c r="AZ133" s="588" t="str">
        <f>IFERROR(INDEX(Param!$A$31:$C$35,MATCH($AY133,Param!$C$31:$C$35,0),1),"-")</f>
        <v>-</v>
      </c>
      <c r="BA133" s="588" t="str">
        <f>IFERROR(IF(INDEX(Scénarios!$B$2:$AI$232,MATCH($S133,Scénarios!$AI$2:$AI$232,0),MATCH(BA$4,Scénarios!$B$4:$AI$4,0))=0,"",INDEX(Scénarios!$B$2:$AI$232,MATCH($S133,Scénarios!$AI$2:$AI$232,0),MATCH(BA$4,Scénarios!$B$4:$AI$4,0))),"-")</f>
        <v>-</v>
      </c>
      <c r="BB133" s="443" t="str">
        <f>IFERROR(IF(INDEX(Scénarios!$B$2:$AK$237,MATCH($S133,Scénarios!$AI$2:$AI$237,0),MATCH(BB$4,Scénarios!$B$4:$AK$4,0))=0,"",INDEX(Scénarios!$B$2:$AK$237,MATCH($S133,Scénarios!$AI$2:$AI$237,0),MATCH(BB$4,Scénarios!$B$4:$AK$4,0))),"-")</f>
        <v>-</v>
      </c>
      <c r="BC133" s="443" t="str">
        <f>IFERROR(INDEX(Scénarios!$B$2:$AV$232,MATCH($S133,Scénarios!$AI$2:$AI$232,0),MATCH(BC$4,Scénarios!$B$4:$AV$4,0)),"-")</f>
        <v>-</v>
      </c>
    </row>
    <row r="134" spans="15:55" ht="25.5" customHeight="1" x14ac:dyDescent="0.25">
      <c r="O134" s="604" t="str">
        <f>IF($BB134=1,"Fiche "&amp;S134&amp;" non valide :"&amp;CHAR(10)&amp;"Veuillez la modifier ou la supprimer",IF(AZ134="-","Fiche "&amp;S134&amp;" sans décision :"&amp;CHAR(10)&amp;"Veuillez ajouter une décision",""))</f>
        <v>Fiche R130 sans décision :
Veuillez ajouter une décision</v>
      </c>
      <c r="P134" s="609" t="s">
        <v>2188</v>
      </c>
      <c r="Q134" s="605" t="s">
        <v>2067</v>
      </c>
      <c r="R134" s="585" t="s">
        <v>2068</v>
      </c>
      <c r="S134" s="587" t="s">
        <v>2168</v>
      </c>
      <c r="T134" s="588" t="str">
        <f>IFERROR(INDEX(Tab_sel!$B$7:$C$18,MATCH($AB134,Tab_sel!$C$7:$C$18,0),1),"-")</f>
        <v>-</v>
      </c>
      <c r="U134" s="589" t="str">
        <f>IFERROR(INDEX(Scénarios!$B$2:$AI$232,MATCH($S134,Scénarios!$AI$2:$AI$232,0),MATCH(U$4,Scénarios!$B$4:$AI$4,0)),"-")</f>
        <v>-</v>
      </c>
      <c r="V134" s="588" t="str">
        <f>IFERROR(INDEX(Scénarios!$B$2:$AI$232,MATCH($S134,Scénarios!$AI$2:$AI$232,0),MATCH(V$4,Scénarios!$B$4:$AI$4,0)),"-")</f>
        <v>-</v>
      </c>
      <c r="W134" s="588" t="str">
        <f>IFERROR(INDEX(Scénarios!$B$2:$AI$232,MATCH($S134,Scénarios!$AI$2:$AI$232,0),MATCH(W$4,Scénarios!$B$4:$AI$4,0)),"-")</f>
        <v>-</v>
      </c>
      <c r="X134" s="588" t="str">
        <f>IFERROR(VLOOKUP(AD134,Expo!$D$4:$E$35,2,FALSE),"-")</f>
        <v>-</v>
      </c>
      <c r="Y134" s="859" t="str">
        <f>IFERROR(IF(INDEX(Scénarios!$B$2:$AI$232,MATCH($S134,Scénarios!$AI$2:$AI$232,0),MATCH(Y$4,Scénarios!$B$4:$AI$4,0))=0,"",INDEX(Scénarios!$B$2:$AI$232,MATCH($S134,Scénarios!$AI$2:$AI$232,0),MATCH(Y$4,Scénarios!$B$4:$AI$4,0))),"-")</f>
        <v>-</v>
      </c>
      <c r="Z134" s="589" t="str">
        <f>IFERROR(INDEX(Scénarios!$B$2:$AI$232,MATCH($S134,Scénarios!$AI$2:$AI$232,0),MATCH(Z$4,Scénarios!$B$4:$AI$4,0)),"-")</f>
        <v>-</v>
      </c>
      <c r="AA134" s="589" t="str">
        <f>IFERROR(INDEX(Scénarios!$B$2:$AI$232,MATCH($S134,Scénarios!$AI$2:$AI$232,0),MATCH(AA$4,Scénarios!$B$4:$AI$4,0)),"-")</f>
        <v>-</v>
      </c>
      <c r="AB134" s="586" t="str">
        <f>IFERROR(INDEX(Scénarios!$B$2:$AI$232,MATCH($S134,Scénarios!$AI$2:$AI$232,0),MATCH(AB$4,Scénarios!$B$4:$AI$4,0)),"-")</f>
        <v>-</v>
      </c>
      <c r="AC134" s="442" t="str">
        <f>IFERROR(INDEX(Tab_sel!$B$24:$C$27,MATCH($U134,Tab_sel!$C$24:$C$27,0),1),"-")</f>
        <v>-</v>
      </c>
      <c r="AD134" s="443" t="str">
        <f>IFERROR(INDEX(Scénarios!$B$2:$AI$232,MATCH($S134,Scénarios!$AI$2:$AI$232,0),MATCH(AD$4,Scénarios!$B$4:$AI$4,0)),"-")</f>
        <v>-</v>
      </c>
      <c r="AE134" s="460" t="str">
        <f>IFERROR(INDEX(Scénarios!$B$2:$AI$232,MATCH($S134,Scénarios!$AI$2:$AI$232,0),MATCH(AE$4,Scénarios!$B$4:$AI$4,0)),"-")</f>
        <v>-</v>
      </c>
      <c r="AF134" s="460" t="str">
        <f>IFERROR(INDEX(Scénarios!$B$2:$AI$232,MATCH($S134,Scénarios!$AI$2:$AI$232,0),MATCH(AF$4,Scénarios!$B$4:$AI$4,0)),"-")</f>
        <v>-</v>
      </c>
      <c r="AG134" s="460" t="str">
        <f>IFERROR(INDEX(Scénarios!$B$2:$AI$232,MATCH($S134,Scénarios!$AI$2:$AI$232,0),MATCH(AG$4,Scénarios!$B$4:$AI$4,0)),"-")</f>
        <v>-</v>
      </c>
      <c r="AH134" s="460" t="str">
        <f>IFERROR(INDEX(Scénarios!$B$2:$AI$232,MATCH($S134,Scénarios!$AI$2:$AI$232,0),MATCH(AH$4,Scénarios!$B$4:$AI$4,0)),"-")</f>
        <v>-</v>
      </c>
      <c r="AI134" s="443" t="str">
        <f>IFERROR(INDEX(Scénarios!$B$2:$AI$232,MATCH($S134,Scénarios!$AI$2:$AI$232,0),MATCH(AI$4,Scénarios!$B$4:$AI$4,0)),"-")</f>
        <v>-</v>
      </c>
      <c r="AJ134" s="443" t="str">
        <f>IFERROR(INDEX(Param!$A$3:$C$7,MATCH($AI134,Param!$C$3:$C$7,0),1),"-")</f>
        <v>-</v>
      </c>
      <c r="AK134" s="443" t="str">
        <f>IFERROR(INDEX(Scénarios!$B$2:$AI$232,MATCH($S134,Scénarios!$AI$2:$AI$232,0),MATCH(AK$4,Scénarios!$B$4:$AI$4,0)),"-")</f>
        <v>-</v>
      </c>
      <c r="AL134" s="443" t="str">
        <f>IFERROR(INDEX(Scénarios!$B$2:$AI$232,MATCH($S134,Scénarios!$AI$2:$AI$232,0),MATCH(AL$4,Scénarios!$B$4:$AI$4,0)),"-")</f>
        <v>-</v>
      </c>
      <c r="AM134" s="443" t="str">
        <f>IFERROR(INDEX(Param!$A$10:$C$14,MATCH($AL134,Param!$C$10:$C$14,0),1),"-")</f>
        <v>-</v>
      </c>
      <c r="AN134" s="443" t="str">
        <f>IFERROR(IF(INDEX(Scénarios!$B$2:$AI$232,MATCH($S134,Scénarios!$AI$2:$AI$232,0),MATCH(AN$4,Scénarios!$B$4:$AI$4,0))=0,"",INDEX(Scénarios!$B$2:$AI$232,MATCH($S134,Scénarios!$AI$2:$AI$232,0),MATCH(AN$4,Scénarios!$B$4:$AI$4,0))),"-")</f>
        <v>-</v>
      </c>
      <c r="AO134" s="443" t="str">
        <f>IFERROR(INDEX(Scénarios!$B$2:$AI$232,MATCH($S134,Scénarios!$AI$2:$AI$232,0),MATCH(AO$4,Scénarios!$B$4:$AI$4,0)),"-")</f>
        <v>-</v>
      </c>
      <c r="AP134" s="443" t="str">
        <f>IFERROR(INDEX(Param!$A$17:$C$21,MATCH($AO134,Param!$C$17:$C$21,0),1),"-")</f>
        <v>-</v>
      </c>
      <c r="AQ134" s="443" t="str">
        <f>IFERROR(IF(INDEX(Scénarios!$B$2:$AI$232,MATCH($S134,Scénarios!$AI$2:$AI$232,0),MATCH(AQ$4,Scénarios!$B$4:$AI$4,0))=0,"",INDEX(Scénarios!$B$2:$AI$232,MATCH($S134,Scénarios!$AI$2:$AI$232,0),MATCH(AQ$4,Scénarios!$B$4:$AI$4,0))),"-")</f>
        <v>-</v>
      </c>
      <c r="AR134" s="443" t="str">
        <f>IFERROR(INDEX(Scénarios!$B$2:$AI$232,MATCH($S134,Scénarios!$AI$2:$AI$232,0),MATCH(AR$4,Scénarios!$B$4:$AI$4,0)),"-")</f>
        <v>-</v>
      </c>
      <c r="AS134" s="443" t="str">
        <f>IFERROR(INDEX(Param!$A$24:$C$28,MATCH($AR134,Param!$C$24:$C$28,0),1),"-")</f>
        <v>-</v>
      </c>
      <c r="AT134" s="443" t="str">
        <f>IFERROR(IF(INDEX(Scénarios!$B$2:$AI$232,MATCH($S134,Scénarios!$AI$2:$AI$232,0),MATCH(AT$4,Scénarios!$B$4:$AI$4,0))=0,"",INDEX(Scénarios!$B$2:$AI$232,MATCH($S134,Scénarios!$AI$2:$AI$232,0),MATCH(AT$4,Scénarios!$B$4:$AI$4,0))),"-")</f>
        <v>-</v>
      </c>
      <c r="AU134" s="462" t="str">
        <f>IFERROR(INDEX(Scénarios!$B$2:$AI$232,MATCH($S134,Scénarios!$AI$2:$AI$232,0),MATCH(AU$4,Scénarios!$B$4:$AI$4,0)),"-")</f>
        <v>-</v>
      </c>
      <c r="AV134" s="462" t="str">
        <f>IFERROR(INDEX(Scénarios!$B$2:$AI$232,MATCH($S134,Scénarios!$AI$2:$AI$232,0),MATCH(AV$4,Scénarios!$B$4:$AI$4,0)),"-")</f>
        <v>-</v>
      </c>
      <c r="AW134" s="462" t="str">
        <f>IFERROR(INDEX(Scénarios!$B$2:$AI$232,MATCH($S134,Scénarios!$AI$2:$AI$232,0),MATCH(AW$4,Scénarios!$B$4:$AI$4,0)),"-")</f>
        <v>-</v>
      </c>
      <c r="AX134" s="462" t="str">
        <f>IFERROR(INDEX(Scénarios!$B$2:$AI$232,MATCH($S134,Scénarios!$AI$2:$AI$232,0),MATCH(AX$4,Scénarios!$B$4:$AI$4,0)),"-")</f>
        <v>-</v>
      </c>
      <c r="AY134" s="443" t="str">
        <f>IFERROR(INDEX(Scénarios!$B$2:$AI$232,MATCH($S134,Scénarios!$AI$2:$AI$232,0),MATCH(AY$4,Scénarios!$B$4:$AI$4,0)),"-")</f>
        <v>-</v>
      </c>
      <c r="AZ134" s="588" t="str">
        <f>IFERROR(INDEX(Param!$A$31:$C$35,MATCH($AY134,Param!$C$31:$C$35,0),1),"-")</f>
        <v>-</v>
      </c>
      <c r="BA134" s="588" t="str">
        <f>IFERROR(IF(INDEX(Scénarios!$B$2:$AI$232,MATCH($S134,Scénarios!$AI$2:$AI$232,0),MATCH(BA$4,Scénarios!$B$4:$AI$4,0))=0,"",INDEX(Scénarios!$B$2:$AI$232,MATCH($S134,Scénarios!$AI$2:$AI$232,0),MATCH(BA$4,Scénarios!$B$4:$AI$4,0))),"-")</f>
        <v>-</v>
      </c>
      <c r="BB134" s="443" t="str">
        <f>IFERROR(IF(INDEX(Scénarios!$B$2:$AK$237,MATCH($S134,Scénarios!$AI$2:$AI$237,0),MATCH(BB$4,Scénarios!$B$4:$AK$4,0))=0,"",INDEX(Scénarios!$B$2:$AK$237,MATCH($S134,Scénarios!$AI$2:$AI$237,0),MATCH(BB$4,Scénarios!$B$4:$AK$4,0))),"-")</f>
        <v>-</v>
      </c>
      <c r="BC134" s="443" t="str">
        <f>IFERROR(INDEX(Scénarios!$B$2:$AV$232,MATCH($S134,Scénarios!$AI$2:$AI$232,0),MATCH(BC$4,Scénarios!$B$4:$AV$4,0)),"-")</f>
        <v>-</v>
      </c>
    </row>
    <row r="135" spans="15:55" ht="25.5" customHeight="1" x14ac:dyDescent="0.25">
      <c r="O135" s="604" t="str">
        <f>IF($BB135=1,"Fiche "&amp;S135&amp;" non valide :"&amp;CHAR(10)&amp;"Veuillez la modifier ou la supprimer",IF(AZ135="-","Fiche "&amp;S135&amp;" sans décision :"&amp;CHAR(10)&amp;"Veuillez ajouter une décision",""))</f>
        <v>Fiche R131 sans décision :
Veuillez ajouter une décision</v>
      </c>
      <c r="P135" s="609" t="s">
        <v>2188</v>
      </c>
      <c r="Q135" s="605" t="s">
        <v>2067</v>
      </c>
      <c r="R135" s="585" t="s">
        <v>2068</v>
      </c>
      <c r="S135" s="587" t="s">
        <v>2169</v>
      </c>
      <c r="T135" s="588" t="str">
        <f>IFERROR(INDEX(Tab_sel!$B$7:$C$18,MATCH($AB135,Tab_sel!$C$7:$C$18,0),1),"-")</f>
        <v>-</v>
      </c>
      <c r="U135" s="589" t="str">
        <f>IFERROR(INDEX(Scénarios!$B$2:$AI$232,MATCH($S135,Scénarios!$AI$2:$AI$232,0),MATCH(U$4,Scénarios!$B$4:$AI$4,0)),"-")</f>
        <v>-</v>
      </c>
      <c r="V135" s="588" t="str">
        <f>IFERROR(INDEX(Scénarios!$B$2:$AI$232,MATCH($S135,Scénarios!$AI$2:$AI$232,0),MATCH(V$4,Scénarios!$B$4:$AI$4,0)),"-")</f>
        <v>-</v>
      </c>
      <c r="W135" s="588" t="str">
        <f>IFERROR(INDEX(Scénarios!$B$2:$AI$232,MATCH($S135,Scénarios!$AI$2:$AI$232,0),MATCH(W$4,Scénarios!$B$4:$AI$4,0)),"-")</f>
        <v>-</v>
      </c>
      <c r="X135" s="588" t="str">
        <f>IFERROR(VLOOKUP(AD135,Expo!$D$4:$E$35,2,FALSE),"-")</f>
        <v>-</v>
      </c>
      <c r="Y135" s="859" t="str">
        <f>IFERROR(IF(INDEX(Scénarios!$B$2:$AI$232,MATCH($S135,Scénarios!$AI$2:$AI$232,0),MATCH(Y$4,Scénarios!$B$4:$AI$4,0))=0,"",INDEX(Scénarios!$B$2:$AI$232,MATCH($S135,Scénarios!$AI$2:$AI$232,0),MATCH(Y$4,Scénarios!$B$4:$AI$4,0))),"-")</f>
        <v>-</v>
      </c>
      <c r="Z135" s="589" t="str">
        <f>IFERROR(INDEX(Scénarios!$B$2:$AI$232,MATCH($S135,Scénarios!$AI$2:$AI$232,0),MATCH(Z$4,Scénarios!$B$4:$AI$4,0)),"-")</f>
        <v>-</v>
      </c>
      <c r="AA135" s="589" t="str">
        <f>IFERROR(INDEX(Scénarios!$B$2:$AI$232,MATCH($S135,Scénarios!$AI$2:$AI$232,0),MATCH(AA$4,Scénarios!$B$4:$AI$4,0)),"-")</f>
        <v>-</v>
      </c>
      <c r="AB135" s="586" t="str">
        <f>IFERROR(INDEX(Scénarios!$B$2:$AI$232,MATCH($S135,Scénarios!$AI$2:$AI$232,0),MATCH(AB$4,Scénarios!$B$4:$AI$4,0)),"-")</f>
        <v>-</v>
      </c>
      <c r="AC135" s="442" t="str">
        <f>IFERROR(INDEX(Tab_sel!$B$24:$C$27,MATCH($U135,Tab_sel!$C$24:$C$27,0),1),"-")</f>
        <v>-</v>
      </c>
      <c r="AD135" s="443" t="str">
        <f>IFERROR(INDEX(Scénarios!$B$2:$AI$232,MATCH($S135,Scénarios!$AI$2:$AI$232,0),MATCH(AD$4,Scénarios!$B$4:$AI$4,0)),"-")</f>
        <v>-</v>
      </c>
      <c r="AE135" s="460" t="str">
        <f>IFERROR(INDEX(Scénarios!$B$2:$AI$232,MATCH($S135,Scénarios!$AI$2:$AI$232,0),MATCH(AE$4,Scénarios!$B$4:$AI$4,0)),"-")</f>
        <v>-</v>
      </c>
      <c r="AF135" s="460" t="str">
        <f>IFERROR(INDEX(Scénarios!$B$2:$AI$232,MATCH($S135,Scénarios!$AI$2:$AI$232,0),MATCH(AF$4,Scénarios!$B$4:$AI$4,0)),"-")</f>
        <v>-</v>
      </c>
      <c r="AG135" s="460" t="str">
        <f>IFERROR(INDEX(Scénarios!$B$2:$AI$232,MATCH($S135,Scénarios!$AI$2:$AI$232,0),MATCH(AG$4,Scénarios!$B$4:$AI$4,0)),"-")</f>
        <v>-</v>
      </c>
      <c r="AH135" s="460" t="str">
        <f>IFERROR(INDEX(Scénarios!$B$2:$AI$232,MATCH($S135,Scénarios!$AI$2:$AI$232,0),MATCH(AH$4,Scénarios!$B$4:$AI$4,0)),"-")</f>
        <v>-</v>
      </c>
      <c r="AI135" s="443" t="str">
        <f>IFERROR(INDEX(Scénarios!$B$2:$AI$232,MATCH($S135,Scénarios!$AI$2:$AI$232,0),MATCH(AI$4,Scénarios!$B$4:$AI$4,0)),"-")</f>
        <v>-</v>
      </c>
      <c r="AJ135" s="443" t="str">
        <f>IFERROR(INDEX(Param!$A$3:$C$7,MATCH($AI135,Param!$C$3:$C$7,0),1),"-")</f>
        <v>-</v>
      </c>
      <c r="AK135" s="443" t="str">
        <f>IFERROR(INDEX(Scénarios!$B$2:$AI$232,MATCH($S135,Scénarios!$AI$2:$AI$232,0),MATCH(AK$4,Scénarios!$B$4:$AI$4,0)),"-")</f>
        <v>-</v>
      </c>
      <c r="AL135" s="443" t="str">
        <f>IFERROR(INDEX(Scénarios!$B$2:$AI$232,MATCH($S135,Scénarios!$AI$2:$AI$232,0),MATCH(AL$4,Scénarios!$B$4:$AI$4,0)),"-")</f>
        <v>-</v>
      </c>
      <c r="AM135" s="443" t="str">
        <f>IFERROR(INDEX(Param!$A$10:$C$14,MATCH($AL135,Param!$C$10:$C$14,0),1),"-")</f>
        <v>-</v>
      </c>
      <c r="AN135" s="443" t="str">
        <f>IFERROR(IF(INDEX(Scénarios!$B$2:$AI$232,MATCH($S135,Scénarios!$AI$2:$AI$232,0),MATCH(AN$4,Scénarios!$B$4:$AI$4,0))=0,"",INDEX(Scénarios!$B$2:$AI$232,MATCH($S135,Scénarios!$AI$2:$AI$232,0),MATCH(AN$4,Scénarios!$B$4:$AI$4,0))),"-")</f>
        <v>-</v>
      </c>
      <c r="AO135" s="443" t="str">
        <f>IFERROR(INDEX(Scénarios!$B$2:$AI$232,MATCH($S135,Scénarios!$AI$2:$AI$232,0),MATCH(AO$4,Scénarios!$B$4:$AI$4,0)),"-")</f>
        <v>-</v>
      </c>
      <c r="AP135" s="443" t="str">
        <f>IFERROR(INDEX(Param!$A$17:$C$21,MATCH($AO135,Param!$C$17:$C$21,0),1),"-")</f>
        <v>-</v>
      </c>
      <c r="AQ135" s="443" t="str">
        <f>IFERROR(IF(INDEX(Scénarios!$B$2:$AI$232,MATCH($S135,Scénarios!$AI$2:$AI$232,0),MATCH(AQ$4,Scénarios!$B$4:$AI$4,0))=0,"",INDEX(Scénarios!$B$2:$AI$232,MATCH($S135,Scénarios!$AI$2:$AI$232,0),MATCH(AQ$4,Scénarios!$B$4:$AI$4,0))),"-")</f>
        <v>-</v>
      </c>
      <c r="AR135" s="443" t="str">
        <f>IFERROR(INDEX(Scénarios!$B$2:$AI$232,MATCH($S135,Scénarios!$AI$2:$AI$232,0),MATCH(AR$4,Scénarios!$B$4:$AI$4,0)),"-")</f>
        <v>-</v>
      </c>
      <c r="AS135" s="443" t="str">
        <f>IFERROR(INDEX(Param!$A$24:$C$28,MATCH($AR135,Param!$C$24:$C$28,0),1),"-")</f>
        <v>-</v>
      </c>
      <c r="AT135" s="443" t="str">
        <f>IFERROR(IF(INDEX(Scénarios!$B$2:$AI$232,MATCH($S135,Scénarios!$AI$2:$AI$232,0),MATCH(AT$4,Scénarios!$B$4:$AI$4,0))=0,"",INDEX(Scénarios!$B$2:$AI$232,MATCH($S135,Scénarios!$AI$2:$AI$232,0),MATCH(AT$4,Scénarios!$B$4:$AI$4,0))),"-")</f>
        <v>-</v>
      </c>
      <c r="AU135" s="462" t="str">
        <f>IFERROR(INDEX(Scénarios!$B$2:$AI$232,MATCH($S135,Scénarios!$AI$2:$AI$232,0),MATCH(AU$4,Scénarios!$B$4:$AI$4,0)),"-")</f>
        <v>-</v>
      </c>
      <c r="AV135" s="462" t="str">
        <f>IFERROR(INDEX(Scénarios!$B$2:$AI$232,MATCH($S135,Scénarios!$AI$2:$AI$232,0),MATCH(AV$4,Scénarios!$B$4:$AI$4,0)),"-")</f>
        <v>-</v>
      </c>
      <c r="AW135" s="462" t="str">
        <f>IFERROR(INDEX(Scénarios!$B$2:$AI$232,MATCH($S135,Scénarios!$AI$2:$AI$232,0),MATCH(AW$4,Scénarios!$B$4:$AI$4,0)),"-")</f>
        <v>-</v>
      </c>
      <c r="AX135" s="462" t="str">
        <f>IFERROR(INDEX(Scénarios!$B$2:$AI$232,MATCH($S135,Scénarios!$AI$2:$AI$232,0),MATCH(AX$4,Scénarios!$B$4:$AI$4,0)),"-")</f>
        <v>-</v>
      </c>
      <c r="AY135" s="443" t="str">
        <f>IFERROR(INDEX(Scénarios!$B$2:$AI$232,MATCH($S135,Scénarios!$AI$2:$AI$232,0),MATCH(AY$4,Scénarios!$B$4:$AI$4,0)),"-")</f>
        <v>-</v>
      </c>
      <c r="AZ135" s="588" t="str">
        <f>IFERROR(INDEX(Param!$A$31:$C$35,MATCH($AY135,Param!$C$31:$C$35,0),1),"-")</f>
        <v>-</v>
      </c>
      <c r="BA135" s="588" t="str">
        <f>IFERROR(IF(INDEX(Scénarios!$B$2:$AI$232,MATCH($S135,Scénarios!$AI$2:$AI$232,0),MATCH(BA$4,Scénarios!$B$4:$AI$4,0))=0,"",INDEX(Scénarios!$B$2:$AI$232,MATCH($S135,Scénarios!$AI$2:$AI$232,0),MATCH(BA$4,Scénarios!$B$4:$AI$4,0))),"-")</f>
        <v>-</v>
      </c>
      <c r="BB135" s="443" t="str">
        <f>IFERROR(IF(INDEX(Scénarios!$B$2:$AK$237,MATCH($S135,Scénarios!$AI$2:$AI$237,0),MATCH(BB$4,Scénarios!$B$4:$AK$4,0))=0,"",INDEX(Scénarios!$B$2:$AK$237,MATCH($S135,Scénarios!$AI$2:$AI$237,0),MATCH(BB$4,Scénarios!$B$4:$AK$4,0))),"-")</f>
        <v>-</v>
      </c>
      <c r="BC135" s="443" t="str">
        <f>IFERROR(INDEX(Scénarios!$B$2:$AV$232,MATCH($S135,Scénarios!$AI$2:$AI$232,0),MATCH(BC$4,Scénarios!$B$4:$AV$4,0)),"-")</f>
        <v>-</v>
      </c>
    </row>
    <row r="136" spans="15:55" ht="25.5" customHeight="1" x14ac:dyDescent="0.25">
      <c r="O136" s="604" t="str">
        <f>IF($BB136=1,"Fiche "&amp;S136&amp;" non valide :"&amp;CHAR(10)&amp;"Veuillez la modifier ou la supprimer",IF(AZ136="-","Fiche "&amp;S136&amp;" sans décision :"&amp;CHAR(10)&amp;"Veuillez ajouter une décision",""))</f>
        <v>Fiche R132 sans décision :
Veuillez ajouter une décision</v>
      </c>
      <c r="P136" s="609" t="s">
        <v>2188</v>
      </c>
      <c r="Q136" s="605" t="s">
        <v>2067</v>
      </c>
      <c r="R136" s="585" t="s">
        <v>2068</v>
      </c>
      <c r="S136" s="587" t="s">
        <v>2170</v>
      </c>
      <c r="T136" s="588" t="str">
        <f>IFERROR(INDEX(Tab_sel!$B$7:$C$18,MATCH($AB136,Tab_sel!$C$7:$C$18,0),1),"-")</f>
        <v>-</v>
      </c>
      <c r="U136" s="589" t="str">
        <f>IFERROR(INDEX(Scénarios!$B$2:$AI$232,MATCH($S136,Scénarios!$AI$2:$AI$232,0),MATCH(U$4,Scénarios!$B$4:$AI$4,0)),"-")</f>
        <v>-</v>
      </c>
      <c r="V136" s="588" t="str">
        <f>IFERROR(INDEX(Scénarios!$B$2:$AI$232,MATCH($S136,Scénarios!$AI$2:$AI$232,0),MATCH(V$4,Scénarios!$B$4:$AI$4,0)),"-")</f>
        <v>-</v>
      </c>
      <c r="W136" s="588" t="str">
        <f>IFERROR(INDEX(Scénarios!$B$2:$AI$232,MATCH($S136,Scénarios!$AI$2:$AI$232,0),MATCH(W$4,Scénarios!$B$4:$AI$4,0)),"-")</f>
        <v>-</v>
      </c>
      <c r="X136" s="588" t="str">
        <f>IFERROR(VLOOKUP(AD136,Expo!$D$4:$E$35,2,FALSE),"-")</f>
        <v>-</v>
      </c>
      <c r="Y136" s="859" t="str">
        <f>IFERROR(IF(INDEX(Scénarios!$B$2:$AI$232,MATCH($S136,Scénarios!$AI$2:$AI$232,0),MATCH(Y$4,Scénarios!$B$4:$AI$4,0))=0,"",INDEX(Scénarios!$B$2:$AI$232,MATCH($S136,Scénarios!$AI$2:$AI$232,0),MATCH(Y$4,Scénarios!$B$4:$AI$4,0))),"-")</f>
        <v>-</v>
      </c>
      <c r="Z136" s="589" t="str">
        <f>IFERROR(INDEX(Scénarios!$B$2:$AI$232,MATCH($S136,Scénarios!$AI$2:$AI$232,0),MATCH(Z$4,Scénarios!$B$4:$AI$4,0)),"-")</f>
        <v>-</v>
      </c>
      <c r="AA136" s="589" t="str">
        <f>IFERROR(INDEX(Scénarios!$B$2:$AI$232,MATCH($S136,Scénarios!$AI$2:$AI$232,0),MATCH(AA$4,Scénarios!$B$4:$AI$4,0)),"-")</f>
        <v>-</v>
      </c>
      <c r="AB136" s="586" t="str">
        <f>IFERROR(INDEX(Scénarios!$B$2:$AI$232,MATCH($S136,Scénarios!$AI$2:$AI$232,0),MATCH(AB$4,Scénarios!$B$4:$AI$4,0)),"-")</f>
        <v>-</v>
      </c>
      <c r="AC136" s="442" t="str">
        <f>IFERROR(INDEX(Tab_sel!$B$24:$C$27,MATCH($U136,Tab_sel!$C$24:$C$27,0),1),"-")</f>
        <v>-</v>
      </c>
      <c r="AD136" s="443" t="str">
        <f>IFERROR(INDEX(Scénarios!$B$2:$AI$232,MATCH($S136,Scénarios!$AI$2:$AI$232,0),MATCH(AD$4,Scénarios!$B$4:$AI$4,0)),"-")</f>
        <v>-</v>
      </c>
      <c r="AE136" s="460" t="str">
        <f>IFERROR(INDEX(Scénarios!$B$2:$AI$232,MATCH($S136,Scénarios!$AI$2:$AI$232,0),MATCH(AE$4,Scénarios!$B$4:$AI$4,0)),"-")</f>
        <v>-</v>
      </c>
      <c r="AF136" s="460" t="str">
        <f>IFERROR(INDEX(Scénarios!$B$2:$AI$232,MATCH($S136,Scénarios!$AI$2:$AI$232,0),MATCH(AF$4,Scénarios!$B$4:$AI$4,0)),"-")</f>
        <v>-</v>
      </c>
      <c r="AG136" s="460" t="str">
        <f>IFERROR(INDEX(Scénarios!$B$2:$AI$232,MATCH($S136,Scénarios!$AI$2:$AI$232,0),MATCH(AG$4,Scénarios!$B$4:$AI$4,0)),"-")</f>
        <v>-</v>
      </c>
      <c r="AH136" s="460" t="str">
        <f>IFERROR(INDEX(Scénarios!$B$2:$AI$232,MATCH($S136,Scénarios!$AI$2:$AI$232,0),MATCH(AH$4,Scénarios!$B$4:$AI$4,0)),"-")</f>
        <v>-</v>
      </c>
      <c r="AI136" s="443" t="str">
        <f>IFERROR(INDEX(Scénarios!$B$2:$AI$232,MATCH($S136,Scénarios!$AI$2:$AI$232,0),MATCH(AI$4,Scénarios!$B$4:$AI$4,0)),"-")</f>
        <v>-</v>
      </c>
      <c r="AJ136" s="443" t="str">
        <f>IFERROR(INDEX(Param!$A$3:$C$7,MATCH($AI136,Param!$C$3:$C$7,0),1),"-")</f>
        <v>-</v>
      </c>
      <c r="AK136" s="443" t="str">
        <f>IFERROR(INDEX(Scénarios!$B$2:$AI$232,MATCH($S136,Scénarios!$AI$2:$AI$232,0),MATCH(AK$4,Scénarios!$B$4:$AI$4,0)),"-")</f>
        <v>-</v>
      </c>
      <c r="AL136" s="443" t="str">
        <f>IFERROR(INDEX(Scénarios!$B$2:$AI$232,MATCH($S136,Scénarios!$AI$2:$AI$232,0),MATCH(AL$4,Scénarios!$B$4:$AI$4,0)),"-")</f>
        <v>-</v>
      </c>
      <c r="AM136" s="443" t="str">
        <f>IFERROR(INDEX(Param!$A$10:$C$14,MATCH($AL136,Param!$C$10:$C$14,0),1),"-")</f>
        <v>-</v>
      </c>
      <c r="AN136" s="443" t="str">
        <f>IFERROR(IF(INDEX(Scénarios!$B$2:$AI$232,MATCH($S136,Scénarios!$AI$2:$AI$232,0),MATCH(AN$4,Scénarios!$B$4:$AI$4,0))=0,"",INDEX(Scénarios!$B$2:$AI$232,MATCH($S136,Scénarios!$AI$2:$AI$232,0),MATCH(AN$4,Scénarios!$B$4:$AI$4,0))),"-")</f>
        <v>-</v>
      </c>
      <c r="AO136" s="443" t="str">
        <f>IFERROR(INDEX(Scénarios!$B$2:$AI$232,MATCH($S136,Scénarios!$AI$2:$AI$232,0),MATCH(AO$4,Scénarios!$B$4:$AI$4,0)),"-")</f>
        <v>-</v>
      </c>
      <c r="AP136" s="443" t="str">
        <f>IFERROR(INDEX(Param!$A$17:$C$21,MATCH($AO136,Param!$C$17:$C$21,0),1),"-")</f>
        <v>-</v>
      </c>
      <c r="AQ136" s="443" t="str">
        <f>IFERROR(IF(INDEX(Scénarios!$B$2:$AI$232,MATCH($S136,Scénarios!$AI$2:$AI$232,0),MATCH(AQ$4,Scénarios!$B$4:$AI$4,0))=0,"",INDEX(Scénarios!$B$2:$AI$232,MATCH($S136,Scénarios!$AI$2:$AI$232,0),MATCH(AQ$4,Scénarios!$B$4:$AI$4,0))),"-")</f>
        <v>-</v>
      </c>
      <c r="AR136" s="443" t="str">
        <f>IFERROR(INDEX(Scénarios!$B$2:$AI$232,MATCH($S136,Scénarios!$AI$2:$AI$232,0),MATCH(AR$4,Scénarios!$B$4:$AI$4,0)),"-")</f>
        <v>-</v>
      </c>
      <c r="AS136" s="443" t="str">
        <f>IFERROR(INDEX(Param!$A$24:$C$28,MATCH($AR136,Param!$C$24:$C$28,0),1),"-")</f>
        <v>-</v>
      </c>
      <c r="AT136" s="443" t="str">
        <f>IFERROR(IF(INDEX(Scénarios!$B$2:$AI$232,MATCH($S136,Scénarios!$AI$2:$AI$232,0),MATCH(AT$4,Scénarios!$B$4:$AI$4,0))=0,"",INDEX(Scénarios!$B$2:$AI$232,MATCH($S136,Scénarios!$AI$2:$AI$232,0),MATCH(AT$4,Scénarios!$B$4:$AI$4,0))),"-")</f>
        <v>-</v>
      </c>
      <c r="AU136" s="462" t="str">
        <f>IFERROR(INDEX(Scénarios!$B$2:$AI$232,MATCH($S136,Scénarios!$AI$2:$AI$232,0),MATCH(AU$4,Scénarios!$B$4:$AI$4,0)),"-")</f>
        <v>-</v>
      </c>
      <c r="AV136" s="462" t="str">
        <f>IFERROR(INDEX(Scénarios!$B$2:$AI$232,MATCH($S136,Scénarios!$AI$2:$AI$232,0),MATCH(AV$4,Scénarios!$B$4:$AI$4,0)),"-")</f>
        <v>-</v>
      </c>
      <c r="AW136" s="462" t="str">
        <f>IFERROR(INDEX(Scénarios!$B$2:$AI$232,MATCH($S136,Scénarios!$AI$2:$AI$232,0),MATCH(AW$4,Scénarios!$B$4:$AI$4,0)),"-")</f>
        <v>-</v>
      </c>
      <c r="AX136" s="462" t="str">
        <f>IFERROR(INDEX(Scénarios!$B$2:$AI$232,MATCH($S136,Scénarios!$AI$2:$AI$232,0),MATCH(AX$4,Scénarios!$B$4:$AI$4,0)),"-")</f>
        <v>-</v>
      </c>
      <c r="AY136" s="443" t="str">
        <f>IFERROR(INDEX(Scénarios!$B$2:$AI$232,MATCH($S136,Scénarios!$AI$2:$AI$232,0),MATCH(AY$4,Scénarios!$B$4:$AI$4,0)),"-")</f>
        <v>-</v>
      </c>
      <c r="AZ136" s="588" t="str">
        <f>IFERROR(INDEX(Param!$A$31:$C$35,MATCH($AY136,Param!$C$31:$C$35,0),1),"-")</f>
        <v>-</v>
      </c>
      <c r="BA136" s="588" t="str">
        <f>IFERROR(IF(INDEX(Scénarios!$B$2:$AI$232,MATCH($S136,Scénarios!$AI$2:$AI$232,0),MATCH(BA$4,Scénarios!$B$4:$AI$4,0))=0,"",INDEX(Scénarios!$B$2:$AI$232,MATCH($S136,Scénarios!$AI$2:$AI$232,0),MATCH(BA$4,Scénarios!$B$4:$AI$4,0))),"-")</f>
        <v>-</v>
      </c>
      <c r="BB136" s="443" t="str">
        <f>IFERROR(IF(INDEX(Scénarios!$B$2:$AK$237,MATCH($S136,Scénarios!$AI$2:$AI$237,0),MATCH(BB$4,Scénarios!$B$4:$AK$4,0))=0,"",INDEX(Scénarios!$B$2:$AK$237,MATCH($S136,Scénarios!$AI$2:$AI$237,0),MATCH(BB$4,Scénarios!$B$4:$AK$4,0))),"-")</f>
        <v>-</v>
      </c>
      <c r="BC136" s="443" t="str">
        <f>IFERROR(INDEX(Scénarios!$B$2:$AV$232,MATCH($S136,Scénarios!$AI$2:$AI$232,0),MATCH(BC$4,Scénarios!$B$4:$AV$4,0)),"-")</f>
        <v>-</v>
      </c>
    </row>
    <row r="137" spans="15:55" ht="25.5" customHeight="1" x14ac:dyDescent="0.25">
      <c r="O137" s="604" t="str">
        <f>IF($BB137=1,"Fiche "&amp;S137&amp;" non valide :"&amp;CHAR(10)&amp;"Veuillez la modifier ou la supprimer",IF(AZ137="-","Fiche "&amp;S137&amp;" sans décision :"&amp;CHAR(10)&amp;"Veuillez ajouter une décision",""))</f>
        <v>Fiche R133 sans décision :
Veuillez ajouter une décision</v>
      </c>
      <c r="P137" s="609" t="s">
        <v>2188</v>
      </c>
      <c r="Q137" s="605" t="s">
        <v>2067</v>
      </c>
      <c r="R137" s="585" t="s">
        <v>2068</v>
      </c>
      <c r="S137" s="587" t="s">
        <v>2171</v>
      </c>
      <c r="T137" s="588" t="str">
        <f>IFERROR(INDEX(Tab_sel!$B$7:$C$18,MATCH($AB137,Tab_sel!$C$7:$C$18,0),1),"-")</f>
        <v>-</v>
      </c>
      <c r="U137" s="589" t="str">
        <f>IFERROR(INDEX(Scénarios!$B$2:$AI$232,MATCH($S137,Scénarios!$AI$2:$AI$232,0),MATCH(U$4,Scénarios!$B$4:$AI$4,0)),"-")</f>
        <v>-</v>
      </c>
      <c r="V137" s="588" t="str">
        <f>IFERROR(INDEX(Scénarios!$B$2:$AI$232,MATCH($S137,Scénarios!$AI$2:$AI$232,0),MATCH(V$4,Scénarios!$B$4:$AI$4,0)),"-")</f>
        <v>-</v>
      </c>
      <c r="W137" s="588" t="str">
        <f>IFERROR(INDEX(Scénarios!$B$2:$AI$232,MATCH($S137,Scénarios!$AI$2:$AI$232,0),MATCH(W$4,Scénarios!$B$4:$AI$4,0)),"-")</f>
        <v>-</v>
      </c>
      <c r="X137" s="588" t="str">
        <f>IFERROR(VLOOKUP(AD137,Expo!$D$4:$E$35,2,FALSE),"-")</f>
        <v>-</v>
      </c>
      <c r="Y137" s="859" t="str">
        <f>IFERROR(IF(INDEX(Scénarios!$B$2:$AI$232,MATCH($S137,Scénarios!$AI$2:$AI$232,0),MATCH(Y$4,Scénarios!$B$4:$AI$4,0))=0,"",INDEX(Scénarios!$B$2:$AI$232,MATCH($S137,Scénarios!$AI$2:$AI$232,0),MATCH(Y$4,Scénarios!$B$4:$AI$4,0))),"-")</f>
        <v>-</v>
      </c>
      <c r="Z137" s="589" t="str">
        <f>IFERROR(INDEX(Scénarios!$B$2:$AI$232,MATCH($S137,Scénarios!$AI$2:$AI$232,0),MATCH(Z$4,Scénarios!$B$4:$AI$4,0)),"-")</f>
        <v>-</v>
      </c>
      <c r="AA137" s="589" t="str">
        <f>IFERROR(INDEX(Scénarios!$B$2:$AI$232,MATCH($S137,Scénarios!$AI$2:$AI$232,0),MATCH(AA$4,Scénarios!$B$4:$AI$4,0)),"-")</f>
        <v>-</v>
      </c>
      <c r="AB137" s="586" t="str">
        <f>IFERROR(INDEX(Scénarios!$B$2:$AI$232,MATCH($S137,Scénarios!$AI$2:$AI$232,0),MATCH(AB$4,Scénarios!$B$4:$AI$4,0)),"-")</f>
        <v>-</v>
      </c>
      <c r="AC137" s="442" t="str">
        <f>IFERROR(INDEX(Tab_sel!$B$24:$C$27,MATCH($U137,Tab_sel!$C$24:$C$27,0),1),"-")</f>
        <v>-</v>
      </c>
      <c r="AD137" s="443" t="str">
        <f>IFERROR(INDEX(Scénarios!$B$2:$AI$232,MATCH($S137,Scénarios!$AI$2:$AI$232,0),MATCH(AD$4,Scénarios!$B$4:$AI$4,0)),"-")</f>
        <v>-</v>
      </c>
      <c r="AE137" s="460" t="str">
        <f>IFERROR(INDEX(Scénarios!$B$2:$AI$232,MATCH($S137,Scénarios!$AI$2:$AI$232,0),MATCH(AE$4,Scénarios!$B$4:$AI$4,0)),"-")</f>
        <v>-</v>
      </c>
      <c r="AF137" s="460" t="str">
        <f>IFERROR(INDEX(Scénarios!$B$2:$AI$232,MATCH($S137,Scénarios!$AI$2:$AI$232,0),MATCH(AF$4,Scénarios!$B$4:$AI$4,0)),"-")</f>
        <v>-</v>
      </c>
      <c r="AG137" s="460" t="str">
        <f>IFERROR(INDEX(Scénarios!$B$2:$AI$232,MATCH($S137,Scénarios!$AI$2:$AI$232,0),MATCH(AG$4,Scénarios!$B$4:$AI$4,0)),"-")</f>
        <v>-</v>
      </c>
      <c r="AH137" s="460" t="str">
        <f>IFERROR(INDEX(Scénarios!$B$2:$AI$232,MATCH($S137,Scénarios!$AI$2:$AI$232,0),MATCH(AH$4,Scénarios!$B$4:$AI$4,0)),"-")</f>
        <v>-</v>
      </c>
      <c r="AI137" s="443" t="str">
        <f>IFERROR(INDEX(Scénarios!$B$2:$AI$232,MATCH($S137,Scénarios!$AI$2:$AI$232,0),MATCH(AI$4,Scénarios!$B$4:$AI$4,0)),"-")</f>
        <v>-</v>
      </c>
      <c r="AJ137" s="443" t="str">
        <f>IFERROR(INDEX(Param!$A$3:$C$7,MATCH($AI137,Param!$C$3:$C$7,0),1),"-")</f>
        <v>-</v>
      </c>
      <c r="AK137" s="443" t="str">
        <f>IFERROR(INDEX(Scénarios!$B$2:$AI$232,MATCH($S137,Scénarios!$AI$2:$AI$232,0),MATCH(AK$4,Scénarios!$B$4:$AI$4,0)),"-")</f>
        <v>-</v>
      </c>
      <c r="AL137" s="443" t="str">
        <f>IFERROR(INDEX(Scénarios!$B$2:$AI$232,MATCH($S137,Scénarios!$AI$2:$AI$232,0),MATCH(AL$4,Scénarios!$B$4:$AI$4,0)),"-")</f>
        <v>-</v>
      </c>
      <c r="AM137" s="443" t="str">
        <f>IFERROR(INDEX(Param!$A$10:$C$14,MATCH($AL137,Param!$C$10:$C$14,0),1),"-")</f>
        <v>-</v>
      </c>
      <c r="AN137" s="443" t="str">
        <f>IFERROR(IF(INDEX(Scénarios!$B$2:$AI$232,MATCH($S137,Scénarios!$AI$2:$AI$232,0),MATCH(AN$4,Scénarios!$B$4:$AI$4,0))=0,"",INDEX(Scénarios!$B$2:$AI$232,MATCH($S137,Scénarios!$AI$2:$AI$232,0),MATCH(AN$4,Scénarios!$B$4:$AI$4,0))),"-")</f>
        <v>-</v>
      </c>
      <c r="AO137" s="443" t="str">
        <f>IFERROR(INDEX(Scénarios!$B$2:$AI$232,MATCH($S137,Scénarios!$AI$2:$AI$232,0),MATCH(AO$4,Scénarios!$B$4:$AI$4,0)),"-")</f>
        <v>-</v>
      </c>
      <c r="AP137" s="443" t="str">
        <f>IFERROR(INDEX(Param!$A$17:$C$21,MATCH($AO137,Param!$C$17:$C$21,0),1),"-")</f>
        <v>-</v>
      </c>
      <c r="AQ137" s="443" t="str">
        <f>IFERROR(IF(INDEX(Scénarios!$B$2:$AI$232,MATCH($S137,Scénarios!$AI$2:$AI$232,0),MATCH(AQ$4,Scénarios!$B$4:$AI$4,0))=0,"",INDEX(Scénarios!$B$2:$AI$232,MATCH($S137,Scénarios!$AI$2:$AI$232,0),MATCH(AQ$4,Scénarios!$B$4:$AI$4,0))),"-")</f>
        <v>-</v>
      </c>
      <c r="AR137" s="443" t="str">
        <f>IFERROR(INDEX(Scénarios!$B$2:$AI$232,MATCH($S137,Scénarios!$AI$2:$AI$232,0),MATCH(AR$4,Scénarios!$B$4:$AI$4,0)),"-")</f>
        <v>-</v>
      </c>
      <c r="AS137" s="443" t="str">
        <f>IFERROR(INDEX(Param!$A$24:$C$28,MATCH($AR137,Param!$C$24:$C$28,0),1),"-")</f>
        <v>-</v>
      </c>
      <c r="AT137" s="443" t="str">
        <f>IFERROR(IF(INDEX(Scénarios!$B$2:$AI$232,MATCH($S137,Scénarios!$AI$2:$AI$232,0),MATCH(AT$4,Scénarios!$B$4:$AI$4,0))=0,"",INDEX(Scénarios!$B$2:$AI$232,MATCH($S137,Scénarios!$AI$2:$AI$232,0),MATCH(AT$4,Scénarios!$B$4:$AI$4,0))),"-")</f>
        <v>-</v>
      </c>
      <c r="AU137" s="462" t="str">
        <f>IFERROR(INDEX(Scénarios!$B$2:$AI$232,MATCH($S137,Scénarios!$AI$2:$AI$232,0),MATCH(AU$4,Scénarios!$B$4:$AI$4,0)),"-")</f>
        <v>-</v>
      </c>
      <c r="AV137" s="462" t="str">
        <f>IFERROR(INDEX(Scénarios!$B$2:$AI$232,MATCH($S137,Scénarios!$AI$2:$AI$232,0),MATCH(AV$4,Scénarios!$B$4:$AI$4,0)),"-")</f>
        <v>-</v>
      </c>
      <c r="AW137" s="462" t="str">
        <f>IFERROR(INDEX(Scénarios!$B$2:$AI$232,MATCH($S137,Scénarios!$AI$2:$AI$232,0),MATCH(AW$4,Scénarios!$B$4:$AI$4,0)),"-")</f>
        <v>-</v>
      </c>
      <c r="AX137" s="462" t="str">
        <f>IFERROR(INDEX(Scénarios!$B$2:$AI$232,MATCH($S137,Scénarios!$AI$2:$AI$232,0),MATCH(AX$4,Scénarios!$B$4:$AI$4,0)),"-")</f>
        <v>-</v>
      </c>
      <c r="AY137" s="443" t="str">
        <f>IFERROR(INDEX(Scénarios!$B$2:$AI$232,MATCH($S137,Scénarios!$AI$2:$AI$232,0),MATCH(AY$4,Scénarios!$B$4:$AI$4,0)),"-")</f>
        <v>-</v>
      </c>
      <c r="AZ137" s="588" t="str">
        <f>IFERROR(INDEX(Param!$A$31:$C$35,MATCH($AY137,Param!$C$31:$C$35,0),1),"-")</f>
        <v>-</v>
      </c>
      <c r="BA137" s="588" t="str">
        <f>IFERROR(IF(INDEX(Scénarios!$B$2:$AI$232,MATCH($S137,Scénarios!$AI$2:$AI$232,0),MATCH(BA$4,Scénarios!$B$4:$AI$4,0))=0,"",INDEX(Scénarios!$B$2:$AI$232,MATCH($S137,Scénarios!$AI$2:$AI$232,0),MATCH(BA$4,Scénarios!$B$4:$AI$4,0))),"-")</f>
        <v>-</v>
      </c>
      <c r="BB137" s="443" t="str">
        <f>IFERROR(IF(INDEX(Scénarios!$B$2:$AK$237,MATCH($S137,Scénarios!$AI$2:$AI$237,0),MATCH(BB$4,Scénarios!$B$4:$AK$4,0))=0,"",INDEX(Scénarios!$B$2:$AK$237,MATCH($S137,Scénarios!$AI$2:$AI$237,0),MATCH(BB$4,Scénarios!$B$4:$AK$4,0))),"-")</f>
        <v>-</v>
      </c>
      <c r="BC137" s="443" t="str">
        <f>IFERROR(INDEX(Scénarios!$B$2:$AV$232,MATCH($S137,Scénarios!$AI$2:$AI$232,0),MATCH(BC$4,Scénarios!$B$4:$AV$4,0)),"-")</f>
        <v>-</v>
      </c>
    </row>
  </sheetData>
  <sheetProtection sheet="1" objects="1" scenarios="1"/>
  <mergeCells count="1">
    <mergeCell ref="H3:P4"/>
  </mergeCells>
  <phoneticPr fontId="5" type="noConversion"/>
  <conditionalFormatting sqref="Q5:Q137">
    <cfRule type="expression" dxfId="9" priority="6">
      <formula>OR($BB5=1,AND($AZ5="-",$T5&lt;&gt;"-"))</formula>
    </cfRule>
  </conditionalFormatting>
  <conditionalFormatting sqref="AZ5:AZ137">
    <cfRule type="expression" dxfId="8" priority="14">
      <formula>$AZ5="-"</formula>
    </cfRule>
  </conditionalFormatting>
  <conditionalFormatting sqref="P5:P137">
    <cfRule type="expression" dxfId="7" priority="3">
      <formula>$BB5=1</formula>
    </cfRule>
  </conditionalFormatting>
  <printOptions gridLines="1"/>
  <pageMargins left="0.28999999999999998" right="0.45" top="0.35" bottom="0.59" header="0.28999999999999998" footer="0.28000000000000003"/>
  <pageSetup paperSize="9" orientation="landscape" r:id="rId1"/>
  <headerFooter alignWithMargins="0">
    <oddFooter>&amp;L&amp;8&amp;F ! &amp;A&amp;C&amp;8&amp;P&amp;R&amp;8Décembre 2006</oddFooter>
  </headerFooter>
  <ignoredErrors>
    <ignoredError sqref="X5 X19 Y6 X8:X9 X10:X18 X20:X51 X52:X126 X127:X141"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 id="{5AA9FFC6-2A1E-456A-A877-1BCA4942AA97}">
            <xm:f>ISERROR(VLOOKUP($S5,Scénarios!$AI:$AI,1,FALSE))</xm:f>
            <x14:dxf>
              <font>
                <color theme="0" tint="-4.9989318521683403E-2"/>
              </font>
              <fill>
                <patternFill>
                  <bgColor theme="0" tint="-4.9989318521683403E-2"/>
                </patternFill>
              </fill>
              <border>
                <left/>
                <right/>
                <bottom/>
              </border>
            </x14:dxf>
          </x14:cfRule>
          <xm:sqref>AZ5:BA137 O5:AA137</xm:sqref>
        </x14:conditionalFormatting>
        <x14:conditionalFormatting xmlns:xm="http://schemas.microsoft.com/office/excel/2006/main">
          <x14:cfRule type="expression" priority="1" id="{CB96FD95-27E6-4859-95DD-E7A76C6EFB7F}">
            <xm:f>AND(Ana_risk!$A$1="Fiche d'analyse de risque en cours de modification",$S5="R"&amp;Tab_sel!$C$70,$BB5=1)</xm:f>
            <x14:dxf>
              <font>
                <color theme="9"/>
              </font>
              <fill>
                <patternFill>
                  <bgColor theme="3"/>
                </patternFill>
              </fill>
            </x14:dxf>
          </x14:cfRule>
          <x14:cfRule type="expression" priority="8" id="{2CD32E64-0B4A-440A-84FA-567CAF0120DF}">
            <xm:f>AND(Ana_risk!$A$1="Fiche d'analyse de risque en cours de modification",$S5="R"&amp;Tab_sel!$C$70)</xm:f>
            <x14:dxf>
              <font>
                <color theme="0"/>
              </font>
              <fill>
                <patternFill>
                  <bgColor theme="3"/>
                </patternFill>
              </fill>
            </x14:dxf>
          </x14:cfRule>
          <xm:sqref>Q5:Q137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EEFCA-701E-4B38-B012-8283933FE721}">
  <sheetPr codeName="Feuil26">
    <tabColor indexed="42"/>
    <pageSetUpPr fitToPage="1"/>
  </sheetPr>
  <dimension ref="A1:O20"/>
  <sheetViews>
    <sheetView showGridLines="0" showRowColHeaders="0" zoomScale="115" zoomScaleNormal="115" workbookViewId="0">
      <pane ySplit="1" topLeftCell="A11" activePane="bottomLeft" state="frozen"/>
      <selection activeCell="J10" sqref="J10"/>
      <selection pane="bottomLeft"/>
    </sheetView>
  </sheetViews>
  <sheetFormatPr baseColWidth="10" defaultColWidth="11.44140625" defaultRowHeight="25.5" customHeight="1" x14ac:dyDescent="0.25"/>
  <cols>
    <col min="1" max="1" width="4.109375" style="303" customWidth="1"/>
    <col min="2" max="2" width="7.33203125" style="303" customWidth="1"/>
    <col min="3" max="8" width="11.6640625" style="303" customWidth="1"/>
    <col min="9" max="9" width="11.5546875" style="303" customWidth="1"/>
    <col min="10" max="10" width="11.6640625" style="303" customWidth="1"/>
    <col min="11" max="14" width="8.5546875" style="303" customWidth="1"/>
    <col min="15" max="15" width="11.6640625" style="303" customWidth="1"/>
    <col min="16" max="16384" width="11.44140625" style="303"/>
  </cols>
  <sheetData>
    <row r="1" spans="1:15" ht="79.5" customHeight="1" x14ac:dyDescent="0.4">
      <c r="A1" s="643" t="s">
        <v>1680</v>
      </c>
      <c r="B1" s="603"/>
      <c r="C1" s="603"/>
      <c r="D1" s="603"/>
      <c r="E1" s="603"/>
      <c r="F1" s="603"/>
      <c r="G1" s="444"/>
      <c r="H1" s="444"/>
      <c r="I1" s="444"/>
      <c r="J1" s="444"/>
      <c r="K1" s="444"/>
      <c r="L1" s="444"/>
      <c r="M1" s="444"/>
      <c r="N1" s="444"/>
      <c r="O1" s="444"/>
    </row>
    <row r="2" spans="1:15" ht="25.5" customHeight="1" x14ac:dyDescent="0.25">
      <c r="A2" s="361" t="s">
        <v>1740</v>
      </c>
      <c r="B2" s="360"/>
      <c r="C2" s="360"/>
      <c r="D2" s="360"/>
      <c r="E2" s="360"/>
      <c r="F2" s="362" t="str">
        <f>IF(Dysf ="","",Dysf)</f>
        <v/>
      </c>
    </row>
    <row r="3" spans="1:15" ht="25.5" customHeight="1" thickBot="1" x14ac:dyDescent="0.3">
      <c r="A3" s="361" t="s">
        <v>1741</v>
      </c>
      <c r="B3" s="360"/>
      <c r="C3" s="1076">
        <f ca="1">TODAY()</f>
        <v>44661</v>
      </c>
      <c r="D3" s="1076"/>
      <c r="E3" s="360"/>
      <c r="F3" s="360"/>
      <c r="H3" s="304"/>
      <c r="I3" s="304"/>
      <c r="J3" s="304"/>
      <c r="K3" s="304"/>
      <c r="L3" s="304"/>
      <c r="M3" s="304"/>
    </row>
    <row r="4" spans="1:15" ht="36.75" customHeight="1" thickBot="1" x14ac:dyDescent="0.3">
      <c r="C4" s="305" t="s">
        <v>1219</v>
      </c>
      <c r="J4" s="1077" t="s">
        <v>1729</v>
      </c>
      <c r="K4" s="1078"/>
      <c r="L4" s="1078"/>
      <c r="M4" s="1078"/>
      <c r="N4" s="1078"/>
      <c r="O4" s="1079"/>
    </row>
    <row r="5" spans="1:15" ht="30.75" customHeight="1" x14ac:dyDescent="0.25">
      <c r="C5" s="303">
        <v>4</v>
      </c>
      <c r="D5" s="373">
        <f>COUNTIF(Scénarios!$AM$7:$AM$232,41)</f>
        <v>0</v>
      </c>
      <c r="E5" s="374">
        <f>COUNTIF(Scénarios!$AM$7:$AM$232,42)</f>
        <v>0</v>
      </c>
      <c r="F5" s="375">
        <f>COUNTIF(Scénarios!$AM$7:$AM$232,43)</f>
        <v>0</v>
      </c>
      <c r="G5" s="376">
        <f>COUNTIF(Scénarios!$AM$7:$AM$232,44)</f>
        <v>0</v>
      </c>
      <c r="J5" s="1080" t="s">
        <v>1730</v>
      </c>
      <c r="K5" s="1081"/>
      <c r="L5" s="1081"/>
      <c r="M5" s="1081"/>
      <c r="N5" s="1081"/>
      <c r="O5" s="448"/>
    </row>
    <row r="6" spans="1:15" ht="30.75" customHeight="1" x14ac:dyDescent="0.25">
      <c r="C6" s="303">
        <v>3</v>
      </c>
      <c r="D6" s="377">
        <f>COUNTIF(Scénarios!$AM$7:$AM$232,31)</f>
        <v>0</v>
      </c>
      <c r="E6" s="378">
        <f>COUNTIF(Scénarios!$AM$7:$AM$232,32)</f>
        <v>0</v>
      </c>
      <c r="F6" s="378">
        <f>COUNTIF(Scénarios!$AM$7:$AM$232,33)</f>
        <v>0</v>
      </c>
      <c r="G6" s="379">
        <f>COUNTIF(Scénarios!$AM$7:$AM$232,34)</f>
        <v>0</v>
      </c>
      <c r="J6" s="1070" t="s">
        <v>1731</v>
      </c>
      <c r="K6" s="1071"/>
      <c r="L6" s="1071"/>
      <c r="M6" s="1071"/>
      <c r="N6" s="1071"/>
      <c r="O6" s="449"/>
    </row>
    <row r="7" spans="1:15" ht="30.75" customHeight="1" x14ac:dyDescent="0.25">
      <c r="C7" s="303">
        <v>2</v>
      </c>
      <c r="D7" s="380">
        <f>COUNTIF(Scénarios!$AM$7:$AM$232,21)</f>
        <v>0</v>
      </c>
      <c r="E7" s="381">
        <f>COUNTIF(Scénarios!$AM$7:$AM$232,22)</f>
        <v>0</v>
      </c>
      <c r="F7" s="381">
        <f>COUNTIF(Scénarios!$AM$7:$AM$232,23)</f>
        <v>0</v>
      </c>
      <c r="G7" s="382">
        <f>COUNTIF(Scénarios!$AM$7:$AM$232,24)</f>
        <v>0</v>
      </c>
      <c r="J7" s="1070" t="s">
        <v>1732</v>
      </c>
      <c r="K7" s="1071"/>
      <c r="L7" s="1071"/>
      <c r="M7" s="1071"/>
      <c r="N7" s="1071"/>
      <c r="O7" s="449"/>
    </row>
    <row r="8" spans="1:15" ht="30.75" customHeight="1" thickBot="1" x14ac:dyDescent="0.3">
      <c r="C8" s="303">
        <v>1</v>
      </c>
      <c r="D8" s="383">
        <f>COUNTIF(Scénarios!$AM$7:$AM$232,11)</f>
        <v>0</v>
      </c>
      <c r="E8" s="384">
        <f>COUNTIF(Scénarios!$AM$7:$AM$232,12)</f>
        <v>0</v>
      </c>
      <c r="F8" s="384">
        <f>COUNTIF(Scénarios!$AM$7:$AM$232,13)</f>
        <v>0</v>
      </c>
      <c r="G8" s="385">
        <f>COUNTIF(Scénarios!$AM$7:$AM$232,14)</f>
        <v>0</v>
      </c>
      <c r="J8" s="1070" t="s">
        <v>1733</v>
      </c>
      <c r="K8" s="1071"/>
      <c r="L8" s="1071"/>
      <c r="M8" s="1071"/>
      <c r="N8" s="1071"/>
      <c r="O8" s="449"/>
    </row>
    <row r="9" spans="1:15" ht="25.5" customHeight="1" x14ac:dyDescent="0.25">
      <c r="D9" s="306">
        <v>1</v>
      </c>
      <c r="E9" s="306">
        <v>2</v>
      </c>
      <c r="F9" s="306">
        <v>3</v>
      </c>
      <c r="G9" s="306">
        <v>4</v>
      </c>
      <c r="J9" s="1070" t="s">
        <v>1734</v>
      </c>
      <c r="K9" s="1071"/>
      <c r="L9" s="1071"/>
      <c r="M9" s="1071"/>
      <c r="N9" s="1071"/>
      <c r="O9" s="449"/>
    </row>
    <row r="10" spans="1:15" ht="31.5" customHeight="1" x14ac:dyDescent="0.25">
      <c r="G10" s="358" t="s">
        <v>1220</v>
      </c>
      <c r="J10" s="1072" t="s">
        <v>1735</v>
      </c>
      <c r="K10" s="1073"/>
      <c r="L10" s="1073"/>
      <c r="M10" s="1073"/>
      <c r="N10" s="1073"/>
      <c r="O10" s="607"/>
    </row>
    <row r="11" spans="1:15" ht="30.75" customHeight="1" thickBot="1" x14ac:dyDescent="0.3">
      <c r="J11" s="1074" t="s">
        <v>2191</v>
      </c>
      <c r="K11" s="1075"/>
      <c r="L11" s="1075"/>
      <c r="M11" s="1075"/>
      <c r="N11" s="1075"/>
      <c r="O11" s="608"/>
    </row>
    <row r="12" spans="1:15" ht="21" customHeight="1" x14ac:dyDescent="0.25">
      <c r="B12" s="363" t="s">
        <v>1742</v>
      </c>
      <c r="G12" s="364">
        <f>COUNTIF(Scénarios!BB7:BB232,1)</f>
        <v>0</v>
      </c>
    </row>
    <row r="13" spans="1:15" ht="21" customHeight="1" x14ac:dyDescent="0.25">
      <c r="B13" s="363" t="s">
        <v>2202</v>
      </c>
      <c r="G13" s="364">
        <f>Scénarios!$CD$235</f>
        <v>0</v>
      </c>
      <c r="H13" s="606"/>
    </row>
    <row r="14" spans="1:15" ht="21" customHeight="1" x14ac:dyDescent="0.25">
      <c r="B14" s="363" t="s">
        <v>2203</v>
      </c>
      <c r="G14" s="364">
        <f>Scénarios!$CC$235</f>
        <v>0</v>
      </c>
      <c r="H14" s="606"/>
    </row>
    <row r="15" spans="1:15" ht="21" customHeight="1" x14ac:dyDescent="0.25">
      <c r="B15" s="363" t="s">
        <v>2204</v>
      </c>
      <c r="G15" s="364">
        <f>COUNTIF(Scénarios!AK7:AK232,1)</f>
        <v>0</v>
      </c>
      <c r="H15" s="606"/>
    </row>
    <row r="16" spans="1:15" ht="21" customHeight="1" x14ac:dyDescent="0.25">
      <c r="B16" s="363" t="s">
        <v>1743</v>
      </c>
      <c r="G16" s="365" t="str">
        <f>IF(G12=0,"",G13/G12)</f>
        <v/>
      </c>
    </row>
    <row r="17" spans="3:8" ht="30" customHeight="1" thickBot="1" x14ac:dyDescent="0.3"/>
    <row r="18" spans="3:8" ht="30" customHeight="1" thickBot="1" x14ac:dyDescent="0.3">
      <c r="C18" s="1067" t="s">
        <v>2198</v>
      </c>
      <c r="D18" s="1068"/>
      <c r="E18" s="1068"/>
      <c r="F18" s="1068"/>
      <c r="G18" s="1068"/>
      <c r="H18" s="1069"/>
    </row>
    <row r="19" spans="3:8" ht="66" customHeight="1" x14ac:dyDescent="0.25">
      <c r="C19" s="659" t="s">
        <v>1773</v>
      </c>
      <c r="D19" s="660" t="s">
        <v>1774</v>
      </c>
      <c r="E19" s="660" t="s">
        <v>1775</v>
      </c>
      <c r="F19" s="660" t="s">
        <v>1776</v>
      </c>
      <c r="G19" s="660" t="s">
        <v>2189</v>
      </c>
      <c r="H19" s="661" t="s">
        <v>1373</v>
      </c>
    </row>
    <row r="20" spans="3:8" ht="30.75" customHeight="1" thickBot="1" x14ac:dyDescent="0.3">
      <c r="C20" s="657">
        <f>COUNTIF(Scénarios!$CE7:$CE232,"A")</f>
        <v>0</v>
      </c>
      <c r="D20" s="658">
        <f>COUNTIF(Scénarios!$CE7:$CE232,"R")</f>
        <v>0</v>
      </c>
      <c r="E20" s="658">
        <f>COUNTIF(Scénarios!$CE7:$CE232,"E")</f>
        <v>0</v>
      </c>
      <c r="F20" s="658">
        <f>COUNTIF(Scénarios!$CE7:$CE232,"T")</f>
        <v>0</v>
      </c>
      <c r="G20" s="658">
        <f>COUNTIF(Scénarios!$CE7:$CE232,"I")</f>
        <v>0</v>
      </c>
      <c r="H20" s="662">
        <f>SUM(C20:G20)</f>
        <v>0</v>
      </c>
    </row>
  </sheetData>
  <sheetProtection sheet="1" objects="1" scenarios="1"/>
  <mergeCells count="10">
    <mergeCell ref="C18:H18"/>
    <mergeCell ref="J9:N9"/>
    <mergeCell ref="J10:N10"/>
    <mergeCell ref="J11:N11"/>
    <mergeCell ref="C3:D3"/>
    <mergeCell ref="J4:O4"/>
    <mergeCell ref="J5:N5"/>
    <mergeCell ref="J6:N6"/>
    <mergeCell ref="J7:N7"/>
    <mergeCell ref="J8:N8"/>
  </mergeCells>
  <printOptions gridLines="1"/>
  <pageMargins left="0.28999999999999998" right="0.45" top="0.35" bottom="0.59" header="0.28999999999999998" footer="0.28000000000000003"/>
  <pageSetup paperSize="9" scale="84" orientation="landscape" r:id="rId1"/>
  <headerFooter alignWithMargins="0">
    <oddFooter>&amp;L&amp;8&amp;F ! &amp;A&amp;C&amp;8&amp;P&amp;R&amp;8Décembre 2006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25985" r:id="rId4" name="Check Box 1">
              <controlPr locked="0" defaultSize="0" autoFill="0" autoLine="0" autoPict="0">
                <anchor moveWithCells="1">
                  <from>
                    <xdr:col>14</xdr:col>
                    <xdr:colOff>373380</xdr:colOff>
                    <xdr:row>6</xdr:row>
                    <xdr:rowOff>114300</xdr:rowOff>
                  </from>
                  <to>
                    <xdr:col>14</xdr:col>
                    <xdr:colOff>609600</xdr:colOff>
                    <xdr:row>6</xdr:row>
                    <xdr:rowOff>289560</xdr:rowOff>
                  </to>
                </anchor>
              </controlPr>
            </control>
          </mc:Choice>
        </mc:AlternateContent>
        <mc:AlternateContent xmlns:mc="http://schemas.openxmlformats.org/markup-compatibility/2006">
          <mc:Choice Requires="x14">
            <control shapeId="425986" r:id="rId5" name="Check Box 2">
              <controlPr locked="0" defaultSize="0" autoFill="0" autoLine="0" autoPict="0">
                <anchor moveWithCells="1">
                  <from>
                    <xdr:col>14</xdr:col>
                    <xdr:colOff>365760</xdr:colOff>
                    <xdr:row>7</xdr:row>
                    <xdr:rowOff>60960</xdr:rowOff>
                  </from>
                  <to>
                    <xdr:col>14</xdr:col>
                    <xdr:colOff>609600</xdr:colOff>
                    <xdr:row>7</xdr:row>
                    <xdr:rowOff>373380</xdr:rowOff>
                  </to>
                </anchor>
              </controlPr>
            </control>
          </mc:Choice>
        </mc:AlternateContent>
        <mc:AlternateContent xmlns:mc="http://schemas.openxmlformats.org/markup-compatibility/2006">
          <mc:Choice Requires="x14">
            <control shapeId="425987" r:id="rId6" name="Check Box 3">
              <controlPr locked="0" defaultSize="0" autoFill="0" autoLine="0" autoPict="0">
                <anchor moveWithCells="1">
                  <from>
                    <xdr:col>14</xdr:col>
                    <xdr:colOff>373380</xdr:colOff>
                    <xdr:row>8</xdr:row>
                    <xdr:rowOff>68580</xdr:rowOff>
                  </from>
                  <to>
                    <xdr:col>14</xdr:col>
                    <xdr:colOff>571500</xdr:colOff>
                    <xdr:row>8</xdr:row>
                    <xdr:rowOff>274320</xdr:rowOff>
                  </to>
                </anchor>
              </controlPr>
            </control>
          </mc:Choice>
        </mc:AlternateContent>
        <mc:AlternateContent xmlns:mc="http://schemas.openxmlformats.org/markup-compatibility/2006">
          <mc:Choice Requires="x14">
            <control shapeId="425988" r:id="rId7" name="Check Box 4">
              <controlPr locked="0" defaultSize="0" autoFill="0" autoLine="0" autoPict="0">
                <anchor moveWithCells="1">
                  <from>
                    <xdr:col>14</xdr:col>
                    <xdr:colOff>373380</xdr:colOff>
                    <xdr:row>9</xdr:row>
                    <xdr:rowOff>99060</xdr:rowOff>
                  </from>
                  <to>
                    <xdr:col>14</xdr:col>
                    <xdr:colOff>632460</xdr:colOff>
                    <xdr:row>9</xdr:row>
                    <xdr:rowOff>327660</xdr:rowOff>
                  </to>
                </anchor>
              </controlPr>
            </control>
          </mc:Choice>
        </mc:AlternateContent>
        <mc:AlternateContent xmlns:mc="http://schemas.openxmlformats.org/markup-compatibility/2006">
          <mc:Choice Requires="x14">
            <control shapeId="425989" r:id="rId8" name="Check Box 5">
              <controlPr locked="0" defaultSize="0" autoFill="0" autoLine="0" autoPict="0">
                <anchor moveWithCells="1">
                  <from>
                    <xdr:col>14</xdr:col>
                    <xdr:colOff>381000</xdr:colOff>
                    <xdr:row>5</xdr:row>
                    <xdr:rowOff>83820</xdr:rowOff>
                  </from>
                  <to>
                    <xdr:col>14</xdr:col>
                    <xdr:colOff>579120</xdr:colOff>
                    <xdr:row>5</xdr:row>
                    <xdr:rowOff>297180</xdr:rowOff>
                  </to>
                </anchor>
              </controlPr>
            </control>
          </mc:Choice>
        </mc:AlternateContent>
        <mc:AlternateContent xmlns:mc="http://schemas.openxmlformats.org/markup-compatibility/2006">
          <mc:Choice Requires="x14">
            <control shapeId="425990" r:id="rId9" name="Check Box 6">
              <controlPr locked="0" defaultSize="0" autoFill="0" autoLine="0" autoPict="0">
                <anchor moveWithCells="1">
                  <from>
                    <xdr:col>14</xdr:col>
                    <xdr:colOff>381000</xdr:colOff>
                    <xdr:row>4</xdr:row>
                    <xdr:rowOff>106680</xdr:rowOff>
                  </from>
                  <to>
                    <xdr:col>14</xdr:col>
                    <xdr:colOff>563880</xdr:colOff>
                    <xdr:row>4</xdr:row>
                    <xdr:rowOff>297180</xdr:rowOff>
                  </to>
                </anchor>
              </controlPr>
            </control>
          </mc:Choice>
        </mc:AlternateContent>
        <mc:AlternateContent xmlns:mc="http://schemas.openxmlformats.org/markup-compatibility/2006">
          <mc:Choice Requires="x14">
            <control shapeId="425992" r:id="rId10" name="Check Box 8">
              <controlPr locked="0" defaultSize="0" autoFill="0" autoLine="0" autoPict="0">
                <anchor moveWithCells="1">
                  <from>
                    <xdr:col>14</xdr:col>
                    <xdr:colOff>373380</xdr:colOff>
                    <xdr:row>10</xdr:row>
                    <xdr:rowOff>99060</xdr:rowOff>
                  </from>
                  <to>
                    <xdr:col>14</xdr:col>
                    <xdr:colOff>632460</xdr:colOff>
                    <xdr:row>10</xdr:row>
                    <xdr:rowOff>327660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59793-F779-46A2-A910-1493D5CD389A}">
  <sheetPr codeName="Feuil19"/>
  <dimension ref="A1:Z1500"/>
  <sheetViews>
    <sheetView topLeftCell="A71" workbookViewId="0">
      <selection activeCell="F83" sqref="F83"/>
    </sheetView>
  </sheetViews>
  <sheetFormatPr baseColWidth="10" defaultRowHeight="13.2" x14ac:dyDescent="0.25"/>
  <cols>
    <col min="1" max="1" width="11.44140625" customWidth="1"/>
    <col min="2" max="2" width="52.33203125" style="243" customWidth="1"/>
    <col min="3" max="3" width="61.109375" style="243" customWidth="1"/>
  </cols>
  <sheetData>
    <row r="1" spans="1:3" ht="51.75" customHeight="1" x14ac:dyDescent="0.25">
      <c r="A1" s="919" t="s">
        <v>2583</v>
      </c>
      <c r="B1" s="919" t="s">
        <v>2584</v>
      </c>
      <c r="C1" s="919" t="s">
        <v>2694</v>
      </c>
    </row>
    <row r="2" spans="1:3" x14ac:dyDescent="0.25">
      <c r="A2" s="545" t="s">
        <v>2024</v>
      </c>
      <c r="B2" s="546"/>
      <c r="C2" s="547"/>
    </row>
    <row r="3" spans="1:3" x14ac:dyDescent="0.25">
      <c r="A3" s="548" t="s">
        <v>2695</v>
      </c>
      <c r="B3" s="549"/>
      <c r="C3" s="550"/>
    </row>
    <row r="4" spans="1:3" ht="28.5" customHeight="1" x14ac:dyDescent="0.25">
      <c r="A4" s="932" t="s">
        <v>1247</v>
      </c>
      <c r="B4" s="933" t="s">
        <v>1248</v>
      </c>
      <c r="C4" s="551" t="s">
        <v>1249</v>
      </c>
    </row>
    <row r="5" spans="1:3" ht="14.25" customHeight="1" x14ac:dyDescent="0.25">
      <c r="A5" s="1082" t="s">
        <v>1252</v>
      </c>
      <c r="B5" s="1087" t="s">
        <v>1253</v>
      </c>
      <c r="C5" s="553" t="s">
        <v>1254</v>
      </c>
    </row>
    <row r="6" spans="1:3" ht="14.25" customHeight="1" x14ac:dyDescent="0.25">
      <c r="A6" s="1085"/>
      <c r="B6" s="1088"/>
      <c r="C6" s="551" t="s">
        <v>1255</v>
      </c>
    </row>
    <row r="7" spans="1:3" ht="14.25" customHeight="1" x14ac:dyDescent="0.25">
      <c r="A7" s="1083"/>
      <c r="B7" s="1089"/>
      <c r="C7" s="551" t="s">
        <v>1256</v>
      </c>
    </row>
    <row r="8" spans="1:3" ht="14.25" customHeight="1" x14ac:dyDescent="0.25">
      <c r="A8" s="554" t="s">
        <v>1257</v>
      </c>
      <c r="B8" s="555" t="s">
        <v>83</v>
      </c>
      <c r="C8" s="553" t="s">
        <v>1258</v>
      </c>
    </row>
    <row r="9" spans="1:3" x14ac:dyDescent="0.25">
      <c r="A9" s="548" t="s">
        <v>2025</v>
      </c>
      <c r="B9" s="549"/>
      <c r="C9" s="550"/>
    </row>
    <row r="10" spans="1:3" ht="14.25" customHeight="1" x14ac:dyDescent="0.25">
      <c r="A10" s="1082" t="s">
        <v>1259</v>
      </c>
      <c r="B10" s="1082" t="s">
        <v>1260</v>
      </c>
      <c r="C10" s="553" t="s">
        <v>1261</v>
      </c>
    </row>
    <row r="11" spans="1:3" ht="14.25" customHeight="1" x14ac:dyDescent="0.25">
      <c r="A11" s="1085"/>
      <c r="B11" s="1085"/>
      <c r="C11" s="556" t="s">
        <v>1262</v>
      </c>
    </row>
    <row r="12" spans="1:3" ht="14.25" customHeight="1" x14ac:dyDescent="0.25">
      <c r="A12" s="1085"/>
      <c r="B12" s="1085"/>
      <c r="C12" s="556" t="s">
        <v>1263</v>
      </c>
    </row>
    <row r="13" spans="1:3" ht="14.25" customHeight="1" x14ac:dyDescent="0.25">
      <c r="A13" s="1083"/>
      <c r="B13" s="1083"/>
      <c r="C13" s="556" t="s">
        <v>2026</v>
      </c>
    </row>
    <row r="14" spans="1:3" ht="14.25" customHeight="1" x14ac:dyDescent="0.25">
      <c r="A14" s="1082" t="s">
        <v>2369</v>
      </c>
      <c r="B14" s="1082" t="s">
        <v>2362</v>
      </c>
      <c r="C14" s="553" t="s">
        <v>1264</v>
      </c>
    </row>
    <row r="15" spans="1:3" ht="14.25" customHeight="1" x14ac:dyDescent="0.25">
      <c r="A15" s="1083"/>
      <c r="B15" s="1083"/>
      <c r="C15" s="553" t="s">
        <v>2782</v>
      </c>
    </row>
    <row r="16" spans="1:3" ht="14.25" customHeight="1" x14ac:dyDescent="0.25">
      <c r="A16" s="1084" t="s">
        <v>2027</v>
      </c>
      <c r="B16" s="1084" t="s">
        <v>2363</v>
      </c>
      <c r="C16" s="553" t="s">
        <v>1362</v>
      </c>
    </row>
    <row r="17" spans="1:3" x14ac:dyDescent="0.25">
      <c r="A17" s="1085"/>
      <c r="B17" s="1085"/>
      <c r="C17" s="553" t="s">
        <v>2028</v>
      </c>
    </row>
    <row r="18" spans="1:3" ht="14.25" customHeight="1" x14ac:dyDescent="0.25">
      <c r="A18" s="1086"/>
      <c r="B18" s="1086"/>
      <c r="C18" s="551" t="s">
        <v>2030</v>
      </c>
    </row>
    <row r="19" spans="1:3" ht="14.25" customHeight="1" x14ac:dyDescent="0.25">
      <c r="A19" s="1082" t="s">
        <v>1265</v>
      </c>
      <c r="B19" s="1082" t="s">
        <v>2185</v>
      </c>
      <c r="C19" s="556" t="s">
        <v>2029</v>
      </c>
    </row>
    <row r="20" spans="1:3" ht="17.25" customHeight="1" x14ac:dyDescent="0.25">
      <c r="A20" s="1083"/>
      <c r="B20" s="1083"/>
      <c r="C20" s="556" t="s">
        <v>1266</v>
      </c>
    </row>
    <row r="21" spans="1:3" ht="14.25" customHeight="1" x14ac:dyDescent="0.25">
      <c r="A21" s="548" t="s">
        <v>1267</v>
      </c>
      <c r="B21" s="549"/>
      <c r="C21" s="550"/>
    </row>
    <row r="22" spans="1:3" ht="14.25" customHeight="1" x14ac:dyDescent="0.25">
      <c r="A22" s="1082" t="s">
        <v>1268</v>
      </c>
      <c r="B22" s="1087" t="s">
        <v>1269</v>
      </c>
      <c r="C22" s="551" t="s">
        <v>1270</v>
      </c>
    </row>
    <row r="23" spans="1:3" ht="14.25" customHeight="1" x14ac:dyDescent="0.25">
      <c r="A23" s="1085"/>
      <c r="B23" s="1088"/>
      <c r="C23" s="551" t="s">
        <v>1271</v>
      </c>
    </row>
    <row r="24" spans="1:3" ht="14.25" customHeight="1" x14ac:dyDescent="0.25">
      <c r="A24" s="1082" t="s">
        <v>1272</v>
      </c>
      <c r="B24" s="1087" t="s">
        <v>1273</v>
      </c>
      <c r="C24" s="551" t="s">
        <v>1274</v>
      </c>
    </row>
    <row r="25" spans="1:3" ht="14.25" customHeight="1" x14ac:dyDescent="0.25">
      <c r="A25" s="1083"/>
      <c r="B25" s="1089"/>
      <c r="C25" s="551" t="s">
        <v>1275</v>
      </c>
    </row>
    <row r="26" spans="1:3" x14ac:dyDescent="0.25">
      <c r="A26" s="554" t="s">
        <v>1276</v>
      </c>
      <c r="B26" s="555" t="s">
        <v>1277</v>
      </c>
      <c r="C26" s="556" t="s">
        <v>1278</v>
      </c>
    </row>
    <row r="27" spans="1:3" ht="14.25" customHeight="1" x14ac:dyDescent="0.25">
      <c r="A27" s="554" t="s">
        <v>1279</v>
      </c>
      <c r="B27" s="555" t="s">
        <v>1280</v>
      </c>
      <c r="C27" s="556" t="s">
        <v>1281</v>
      </c>
    </row>
    <row r="28" spans="1:3" ht="14.25" customHeight="1" x14ac:dyDescent="0.25">
      <c r="A28" s="554" t="s">
        <v>1282</v>
      </c>
      <c r="B28" s="557" t="s">
        <v>1283</v>
      </c>
      <c r="C28" s="552" t="s">
        <v>1284</v>
      </c>
    </row>
    <row r="29" spans="1:3" ht="14.25" customHeight="1" x14ac:dyDescent="0.25">
      <c r="A29" s="545" t="s">
        <v>2031</v>
      </c>
      <c r="B29" s="558"/>
      <c r="C29" s="547"/>
    </row>
    <row r="30" spans="1:3" ht="14.25" customHeight="1" x14ac:dyDescent="0.25">
      <c r="A30" s="548" t="s">
        <v>1285</v>
      </c>
      <c r="B30" s="549"/>
      <c r="C30" s="550"/>
    </row>
    <row r="31" spans="1:3" ht="14.25" customHeight="1" x14ac:dyDescent="0.25">
      <c r="A31" s="1082" t="s">
        <v>1286</v>
      </c>
      <c r="B31" s="1082" t="s">
        <v>1287</v>
      </c>
      <c r="C31" s="553" t="s">
        <v>1288</v>
      </c>
    </row>
    <row r="32" spans="1:3" ht="14.25" customHeight="1" x14ac:dyDescent="0.25">
      <c r="A32" s="1085"/>
      <c r="B32" s="1085"/>
      <c r="C32" s="553" t="s">
        <v>1289</v>
      </c>
    </row>
    <row r="33" spans="1:3" ht="22.8" x14ac:dyDescent="0.25">
      <c r="A33" s="1083"/>
      <c r="B33" s="1083"/>
      <c r="C33" s="553" t="s">
        <v>1291</v>
      </c>
    </row>
    <row r="34" spans="1:3" ht="14.25" customHeight="1" x14ac:dyDescent="0.25">
      <c r="A34" s="873" t="s">
        <v>2373</v>
      </c>
      <c r="B34" s="873" t="s">
        <v>2375</v>
      </c>
      <c r="C34" s="553" t="s">
        <v>1290</v>
      </c>
    </row>
    <row r="35" spans="1:3" ht="14.25" customHeight="1" x14ac:dyDescent="0.25">
      <c r="A35" s="1090" t="s">
        <v>1292</v>
      </c>
      <c r="B35" s="1090" t="s">
        <v>1293</v>
      </c>
      <c r="C35" s="553" t="s">
        <v>1294</v>
      </c>
    </row>
    <row r="36" spans="1:3" ht="14.25" customHeight="1" x14ac:dyDescent="0.25">
      <c r="A36" s="1086"/>
      <c r="B36" s="1086"/>
      <c r="C36" s="553" t="s">
        <v>1295</v>
      </c>
    </row>
    <row r="37" spans="1:3" ht="14.25" customHeight="1" x14ac:dyDescent="0.25">
      <c r="A37" s="879" t="s">
        <v>2374</v>
      </c>
      <c r="B37" s="879" t="s">
        <v>78</v>
      </c>
      <c r="C37" s="553" t="s">
        <v>1296</v>
      </c>
    </row>
    <row r="38" spans="1:3" ht="14.25" customHeight="1" x14ac:dyDescent="0.25">
      <c r="A38" s="548" t="s">
        <v>1297</v>
      </c>
      <c r="B38" s="549"/>
      <c r="C38" s="550"/>
    </row>
    <row r="39" spans="1:3" x14ac:dyDescent="0.25">
      <c r="A39" s="1090" t="s">
        <v>1300</v>
      </c>
      <c r="B39" s="1090" t="s">
        <v>202</v>
      </c>
      <c r="C39" s="553" t="s">
        <v>1298</v>
      </c>
    </row>
    <row r="40" spans="1:3" ht="22.8" x14ac:dyDescent="0.25">
      <c r="A40" s="1085"/>
      <c r="B40" s="1085"/>
      <c r="C40" s="553" t="s">
        <v>2783</v>
      </c>
    </row>
    <row r="41" spans="1:3" ht="14.25" customHeight="1" x14ac:dyDescent="0.25">
      <c r="A41" s="1085"/>
      <c r="B41" s="1085"/>
      <c r="C41" s="553" t="s">
        <v>1299</v>
      </c>
    </row>
    <row r="42" spans="1:3" ht="14.25" customHeight="1" x14ac:dyDescent="0.25">
      <c r="A42" s="1086"/>
      <c r="B42" s="1086"/>
      <c r="C42" s="553" t="s">
        <v>1301</v>
      </c>
    </row>
    <row r="43" spans="1:3" ht="15.75" customHeight="1" x14ac:dyDescent="0.25">
      <c r="A43" s="908" t="s">
        <v>2032</v>
      </c>
      <c r="B43" s="908" t="s">
        <v>2033</v>
      </c>
      <c r="C43" s="553" t="s">
        <v>2034</v>
      </c>
    </row>
    <row r="44" spans="1:3" ht="16.5" customHeight="1" x14ac:dyDescent="0.25">
      <c r="A44" s="548" t="s">
        <v>1302</v>
      </c>
      <c r="B44" s="549"/>
      <c r="C44" s="550"/>
    </row>
    <row r="45" spans="1:3" ht="17.25" customHeight="1" x14ac:dyDescent="0.25">
      <c r="A45" s="910" t="s">
        <v>1303</v>
      </c>
      <c r="B45" s="911" t="s">
        <v>1304</v>
      </c>
      <c r="C45" s="553" t="s">
        <v>1305</v>
      </c>
    </row>
    <row r="46" spans="1:3" ht="17.25" customHeight="1" x14ac:dyDescent="0.25">
      <c r="A46" s="554" t="s">
        <v>1306</v>
      </c>
      <c r="B46" s="555" t="s">
        <v>1307</v>
      </c>
      <c r="C46" s="553" t="s">
        <v>1308</v>
      </c>
    </row>
    <row r="47" spans="1:3" ht="15.75" customHeight="1" x14ac:dyDescent="0.25">
      <c r="A47" s="545" t="s">
        <v>2035</v>
      </c>
      <c r="B47" s="558"/>
      <c r="C47" s="547"/>
    </row>
    <row r="48" spans="1:3" ht="14.25" customHeight="1" x14ac:dyDescent="0.25">
      <c r="A48" s="548" t="s">
        <v>2036</v>
      </c>
      <c r="B48" s="549"/>
      <c r="C48" s="550"/>
    </row>
    <row r="49" spans="1:4" ht="14.25" customHeight="1" x14ac:dyDescent="0.25">
      <c r="A49" s="1082" t="s">
        <v>1309</v>
      </c>
      <c r="B49" s="1082" t="s">
        <v>1520</v>
      </c>
      <c r="C49" s="553" t="s">
        <v>2038</v>
      </c>
    </row>
    <row r="50" spans="1:4" ht="14.25" customHeight="1" x14ac:dyDescent="0.25">
      <c r="A50" s="1085"/>
      <c r="B50" s="1085"/>
      <c r="C50" s="553" t="s">
        <v>2039</v>
      </c>
    </row>
    <row r="51" spans="1:4" ht="14.25" customHeight="1" x14ac:dyDescent="0.25">
      <c r="A51" s="1082" t="s">
        <v>2542</v>
      </c>
      <c r="B51" s="1082" t="s">
        <v>2541</v>
      </c>
      <c r="C51" s="553" t="s">
        <v>1342</v>
      </c>
      <c r="D51" s="62"/>
    </row>
    <row r="52" spans="1:4" ht="14.25" customHeight="1" x14ac:dyDescent="0.25">
      <c r="A52" s="1085"/>
      <c r="B52" s="1085"/>
      <c r="C52" s="553" t="s">
        <v>2037</v>
      </c>
      <c r="D52" s="62"/>
    </row>
    <row r="53" spans="1:4" ht="14.25" customHeight="1" x14ac:dyDescent="0.25">
      <c r="A53" s="1083"/>
      <c r="B53" s="1083"/>
      <c r="C53" s="553" t="s">
        <v>2040</v>
      </c>
      <c r="D53" s="62"/>
    </row>
    <row r="54" spans="1:4" ht="16.5" customHeight="1" x14ac:dyDescent="0.25">
      <c r="A54" s="872" t="s">
        <v>1310</v>
      </c>
      <c r="B54" s="872" t="s">
        <v>1311</v>
      </c>
      <c r="C54" s="553" t="s">
        <v>1312</v>
      </c>
      <c r="D54" s="62"/>
    </row>
    <row r="55" spans="1:4" ht="18" customHeight="1" x14ac:dyDescent="0.25">
      <c r="A55" s="548" t="s">
        <v>2041</v>
      </c>
      <c r="B55" s="549"/>
      <c r="C55" s="550"/>
    </row>
    <row r="56" spans="1:4" ht="14.25" customHeight="1" x14ac:dyDescent="0.25">
      <c r="A56" s="1082" t="s">
        <v>2537</v>
      </c>
      <c r="B56" s="1087" t="s">
        <v>2536</v>
      </c>
      <c r="C56" s="553" t="s">
        <v>1314</v>
      </c>
      <c r="D56" s="62"/>
    </row>
    <row r="57" spans="1:4" ht="15" customHeight="1" x14ac:dyDescent="0.25">
      <c r="A57" s="1083"/>
      <c r="B57" s="1089"/>
      <c r="C57" s="553" t="s">
        <v>1313</v>
      </c>
    </row>
    <row r="58" spans="1:4" ht="14.25" customHeight="1" x14ac:dyDescent="0.25">
      <c r="A58" s="559" t="s">
        <v>2042</v>
      </c>
      <c r="B58" s="557" t="s">
        <v>2043</v>
      </c>
      <c r="C58" s="553" t="s">
        <v>2044</v>
      </c>
    </row>
    <row r="59" spans="1:4" ht="14.25" customHeight="1" x14ac:dyDescent="0.25">
      <c r="A59" s="1084" t="s">
        <v>2539</v>
      </c>
      <c r="B59" s="1095" t="s">
        <v>2538</v>
      </c>
      <c r="C59" s="551" t="s">
        <v>1315</v>
      </c>
      <c r="D59" s="62"/>
    </row>
    <row r="60" spans="1:4" ht="14.25" customHeight="1" x14ac:dyDescent="0.25">
      <c r="A60" s="1085"/>
      <c r="B60" s="1088"/>
      <c r="C60" s="552" t="s">
        <v>1251</v>
      </c>
      <c r="D60" s="62"/>
    </row>
    <row r="61" spans="1:4" ht="14.25" customHeight="1" x14ac:dyDescent="0.25">
      <c r="A61" s="1086"/>
      <c r="B61" s="1094"/>
      <c r="C61" s="553" t="s">
        <v>2045</v>
      </c>
      <c r="D61" s="62"/>
    </row>
    <row r="62" spans="1:4" ht="14.25" customHeight="1" x14ac:dyDescent="0.25">
      <c r="A62" s="1090" t="s">
        <v>2370</v>
      </c>
      <c r="B62" s="1093" t="s">
        <v>2371</v>
      </c>
      <c r="C62" s="553" t="s">
        <v>2582</v>
      </c>
      <c r="D62" s="62"/>
    </row>
    <row r="63" spans="1:4" ht="14.25" customHeight="1" x14ac:dyDescent="0.25">
      <c r="A63" s="1086"/>
      <c r="B63" s="1094"/>
      <c r="C63" s="553" t="s">
        <v>2784</v>
      </c>
      <c r="D63" s="62"/>
    </row>
    <row r="64" spans="1:4" ht="17.25" customHeight="1" x14ac:dyDescent="0.25">
      <c r="A64" s="545" t="s">
        <v>2046</v>
      </c>
      <c r="B64" s="558"/>
      <c r="C64" s="547"/>
    </row>
    <row r="65" spans="1:4" ht="17.25" customHeight="1" x14ac:dyDescent="0.25">
      <c r="A65" s="548" t="s">
        <v>2047</v>
      </c>
      <c r="B65" s="549"/>
      <c r="C65" s="550"/>
    </row>
    <row r="66" spans="1:4" ht="15" customHeight="1" x14ac:dyDescent="0.25">
      <c r="A66" s="554" t="s">
        <v>1316</v>
      </c>
      <c r="B66" s="555" t="s">
        <v>316</v>
      </c>
      <c r="C66" s="553" t="s">
        <v>1317</v>
      </c>
    </row>
    <row r="67" spans="1:4" ht="27.75" customHeight="1" x14ac:dyDescent="0.25">
      <c r="A67" s="560" t="s">
        <v>1318</v>
      </c>
      <c r="B67" s="555" t="s">
        <v>1319</v>
      </c>
      <c r="C67" s="553" t="s">
        <v>1320</v>
      </c>
    </row>
    <row r="68" spans="1:4" ht="14.25" customHeight="1" x14ac:dyDescent="0.25">
      <c r="A68" s="554" t="s">
        <v>1321</v>
      </c>
      <c r="B68" s="555" t="s">
        <v>1322</v>
      </c>
      <c r="C68" s="553" t="s">
        <v>1323</v>
      </c>
    </row>
    <row r="69" spans="1:4" ht="27.75" customHeight="1" x14ac:dyDescent="0.25">
      <c r="A69" s="554" t="s">
        <v>1324</v>
      </c>
      <c r="B69" s="555" t="s">
        <v>1325</v>
      </c>
      <c r="C69" s="553" t="s">
        <v>1326</v>
      </c>
    </row>
    <row r="70" spans="1:4" ht="16.5" customHeight="1" x14ac:dyDescent="0.25">
      <c r="A70" s="1091" t="s">
        <v>1327</v>
      </c>
      <c r="B70" s="1091" t="s">
        <v>1328</v>
      </c>
      <c r="C70" s="880" t="s">
        <v>2368</v>
      </c>
      <c r="D70" s="62"/>
    </row>
    <row r="71" spans="1:4" ht="16.5" customHeight="1" x14ac:dyDescent="0.25">
      <c r="A71" s="1092"/>
      <c r="B71" s="1092"/>
      <c r="C71" s="553" t="s">
        <v>1329</v>
      </c>
      <c r="D71" s="62"/>
    </row>
    <row r="72" spans="1:4" ht="14.25" customHeight="1" x14ac:dyDescent="0.25">
      <c r="A72" s="878" t="s">
        <v>2526</v>
      </c>
      <c r="B72" s="878" t="s">
        <v>2787</v>
      </c>
      <c r="C72" s="556" t="s">
        <v>2696</v>
      </c>
    </row>
    <row r="73" spans="1:4" ht="14.25" customHeight="1" x14ac:dyDescent="0.25">
      <c r="A73" s="554" t="s">
        <v>2048</v>
      </c>
      <c r="B73" s="555" t="s">
        <v>2049</v>
      </c>
      <c r="C73" s="556" t="s">
        <v>2050</v>
      </c>
    </row>
    <row r="74" spans="1:4" ht="14.25" customHeight="1" x14ac:dyDescent="0.25">
      <c r="A74" s="554" t="s">
        <v>2051</v>
      </c>
      <c r="B74" s="555" t="s">
        <v>2697</v>
      </c>
      <c r="C74" s="556" t="s">
        <v>2690</v>
      </c>
    </row>
    <row r="75" spans="1:4" x14ac:dyDescent="0.25">
      <c r="A75" s="548" t="s">
        <v>2052</v>
      </c>
      <c r="B75" s="549"/>
      <c r="C75" s="550"/>
    </row>
    <row r="76" spans="1:4" ht="27" customHeight="1" x14ac:dyDescent="0.25">
      <c r="A76" s="554" t="s">
        <v>1330</v>
      </c>
      <c r="B76" s="555" t="s">
        <v>2788</v>
      </c>
      <c r="C76" s="553" t="s">
        <v>2785</v>
      </c>
    </row>
    <row r="77" spans="1:4" ht="26.25" customHeight="1" x14ac:dyDescent="0.25">
      <c r="A77" s="554" t="s">
        <v>1331</v>
      </c>
      <c r="B77" s="555" t="s">
        <v>1332</v>
      </c>
      <c r="C77" s="553" t="s">
        <v>1333</v>
      </c>
    </row>
    <row r="78" spans="1:4" ht="25.5" customHeight="1" x14ac:dyDescent="0.25">
      <c r="A78" s="554" t="s">
        <v>1334</v>
      </c>
      <c r="B78" s="555" t="s">
        <v>1335</v>
      </c>
      <c r="C78" s="553" t="s">
        <v>1336</v>
      </c>
    </row>
    <row r="79" spans="1:4" ht="17.25" customHeight="1" x14ac:dyDescent="0.25">
      <c r="A79" s="554" t="s">
        <v>1337</v>
      </c>
      <c r="B79" s="555" t="s">
        <v>1338</v>
      </c>
      <c r="C79" s="553" t="s">
        <v>1339</v>
      </c>
    </row>
    <row r="80" spans="1:4" ht="14.25" customHeight="1" x14ac:dyDescent="0.25">
      <c r="A80" s="1082" t="s">
        <v>1340</v>
      </c>
      <c r="B80" s="1082" t="s">
        <v>2581</v>
      </c>
      <c r="C80" s="553" t="s">
        <v>1341</v>
      </c>
    </row>
    <row r="81" spans="1:3" ht="15.75" customHeight="1" x14ac:dyDescent="0.25">
      <c r="A81" s="1083"/>
      <c r="B81" s="1083"/>
      <c r="C81" s="938" t="s">
        <v>2786</v>
      </c>
    </row>
    <row r="82" spans="1:3" ht="15.75" customHeight="1" x14ac:dyDescent="0.25">
      <c r="A82" s="561" t="s">
        <v>1343</v>
      </c>
      <c r="B82" s="561" t="s">
        <v>2018</v>
      </c>
      <c r="C82" s="553" t="s">
        <v>2698</v>
      </c>
    </row>
    <row r="83" spans="1:3" ht="14.25" customHeight="1" x14ac:dyDescent="0.25">
      <c r="A83" s="548" t="s">
        <v>2053</v>
      </c>
      <c r="B83" s="549"/>
      <c r="C83" s="550"/>
    </row>
    <row r="84" spans="1:3" ht="14.25" customHeight="1" x14ac:dyDescent="0.25">
      <c r="A84" s="554" t="s">
        <v>2357</v>
      </c>
      <c r="B84" s="555" t="s">
        <v>2358</v>
      </c>
      <c r="C84" s="553" t="s">
        <v>1250</v>
      </c>
    </row>
    <row r="85" spans="1:3" ht="14.25" customHeight="1" x14ac:dyDescent="0.25">
      <c r="A85" s="554" t="s">
        <v>1344</v>
      </c>
      <c r="B85" s="555" t="s">
        <v>2789</v>
      </c>
      <c r="C85" s="553" t="s">
        <v>1345</v>
      </c>
    </row>
    <row r="86" spans="1:3" ht="14.25" customHeight="1" x14ac:dyDescent="0.25">
      <c r="A86" s="554" t="s">
        <v>1346</v>
      </c>
      <c r="B86" s="555" t="s">
        <v>55</v>
      </c>
      <c r="C86" s="553" t="s">
        <v>1347</v>
      </c>
    </row>
    <row r="87" spans="1:3" ht="14.25" customHeight="1" x14ac:dyDescent="0.25">
      <c r="A87" s="1082" t="s">
        <v>1348</v>
      </c>
      <c r="B87" s="1082" t="s">
        <v>1349</v>
      </c>
      <c r="C87" s="556" t="s">
        <v>1350</v>
      </c>
    </row>
    <row r="88" spans="1:3" ht="15.75" customHeight="1" x14ac:dyDescent="0.25">
      <c r="A88" s="1085"/>
      <c r="B88" s="1085"/>
      <c r="C88" s="556" t="s">
        <v>1351</v>
      </c>
    </row>
    <row r="89" spans="1:3" ht="14.25" customHeight="1" x14ac:dyDescent="0.25">
      <c r="A89" s="1085"/>
      <c r="B89" s="1085"/>
      <c r="C89" s="556" t="s">
        <v>1352</v>
      </c>
    </row>
    <row r="90" spans="1:3" ht="14.25" customHeight="1" x14ac:dyDescent="0.25">
      <c r="A90" s="1083"/>
      <c r="B90" s="1083"/>
      <c r="C90" s="556" t="s">
        <v>2054</v>
      </c>
    </row>
    <row r="91" spans="1:3" ht="14.25" customHeight="1" x14ac:dyDescent="0.25">
      <c r="A91" s="548" t="s">
        <v>2055</v>
      </c>
      <c r="B91" s="549"/>
      <c r="C91" s="550"/>
    </row>
    <row r="92" spans="1:3" ht="14.25" customHeight="1" x14ac:dyDescent="0.25">
      <c r="A92" s="1082" t="s">
        <v>1353</v>
      </c>
      <c r="B92" s="1082" t="s">
        <v>1354</v>
      </c>
      <c r="C92" s="556" t="s">
        <v>1355</v>
      </c>
    </row>
    <row r="93" spans="1:3" ht="14.25" customHeight="1" x14ac:dyDescent="0.25">
      <c r="A93" s="1085"/>
      <c r="B93" s="1085"/>
      <c r="C93" s="556" t="s">
        <v>1356</v>
      </c>
    </row>
    <row r="94" spans="1:3" ht="14.25" customHeight="1" x14ac:dyDescent="0.25">
      <c r="A94" s="1083"/>
      <c r="B94" s="1083"/>
      <c r="C94" s="553" t="s">
        <v>1357</v>
      </c>
    </row>
    <row r="95" spans="1:3" ht="14.25" customHeight="1" x14ac:dyDescent="0.25">
      <c r="A95" s="554" t="s">
        <v>1358</v>
      </c>
      <c r="B95" s="555" t="s">
        <v>1359</v>
      </c>
      <c r="C95" s="556" t="s">
        <v>1360</v>
      </c>
    </row>
    <row r="96" spans="1:3" ht="14.25" customHeight="1" x14ac:dyDescent="0.25">
      <c r="A96" s="548" t="s">
        <v>2056</v>
      </c>
      <c r="B96" s="549"/>
      <c r="C96" s="550"/>
    </row>
    <row r="97" spans="1:3" ht="14.25" customHeight="1" x14ac:dyDescent="0.25">
      <c r="A97" s="1082" t="s">
        <v>1361</v>
      </c>
      <c r="B97" s="1082" t="s">
        <v>2057</v>
      </c>
      <c r="C97" s="556" t="s">
        <v>2699</v>
      </c>
    </row>
    <row r="98" spans="1:3" ht="14.25" customHeight="1" x14ac:dyDescent="0.25">
      <c r="A98" s="1083"/>
      <c r="B98" s="1083"/>
      <c r="C98" s="556" t="s">
        <v>1363</v>
      </c>
    </row>
    <row r="99" spans="1:3" ht="14.25" customHeight="1" x14ac:dyDescent="0.25">
      <c r="A99" s="1082" t="s">
        <v>1364</v>
      </c>
      <c r="B99" s="1082" t="s">
        <v>1365</v>
      </c>
      <c r="C99" s="556" t="s">
        <v>1369</v>
      </c>
    </row>
    <row r="100" spans="1:3" ht="15.75" customHeight="1" x14ac:dyDescent="0.25">
      <c r="A100" s="1085"/>
      <c r="B100" s="1085"/>
      <c r="C100" s="553" t="s">
        <v>1366</v>
      </c>
    </row>
    <row r="101" spans="1:3" x14ac:dyDescent="0.25">
      <c r="A101" s="1085"/>
      <c r="B101" s="1085"/>
      <c r="C101" s="553" t="s">
        <v>1367</v>
      </c>
    </row>
    <row r="102" spans="1:3" x14ac:dyDescent="0.25">
      <c r="A102" s="1085"/>
      <c r="B102" s="1085"/>
      <c r="C102" s="553" t="s">
        <v>1368</v>
      </c>
    </row>
    <row r="103" spans="1:3" ht="14.25" customHeight="1" x14ac:dyDescent="0.25">
      <c r="A103" s="548" t="s">
        <v>2687</v>
      </c>
      <c r="B103" s="549"/>
      <c r="C103" s="550"/>
    </row>
    <row r="104" spans="1:3" ht="14.25" customHeight="1" x14ac:dyDescent="0.25">
      <c r="A104" s="923" t="s">
        <v>2688</v>
      </c>
      <c r="B104" s="924" t="s">
        <v>2692</v>
      </c>
      <c r="C104" s="556" t="s">
        <v>2691</v>
      </c>
    </row>
    <row r="105" spans="1:3" x14ac:dyDescent="0.25">
      <c r="A105" s="545" t="s">
        <v>2058</v>
      </c>
      <c r="B105" s="558"/>
      <c r="C105" s="547"/>
    </row>
    <row r="106" spans="1:3" ht="16.5" customHeight="1" x14ac:dyDescent="0.25">
      <c r="A106" s="1082" t="s">
        <v>1370</v>
      </c>
      <c r="B106" s="1082" t="s">
        <v>2059</v>
      </c>
      <c r="C106" s="556" t="s">
        <v>2060</v>
      </c>
    </row>
    <row r="107" spans="1:3" ht="16.5" customHeight="1" x14ac:dyDescent="0.25">
      <c r="A107" s="1085"/>
      <c r="B107" s="1085"/>
      <c r="C107" s="556" t="s">
        <v>2061</v>
      </c>
    </row>
    <row r="108" spans="1:3" ht="16.5" customHeight="1" x14ac:dyDescent="0.25">
      <c r="A108" s="1083"/>
      <c r="B108" s="1083"/>
      <c r="C108" s="556" t="s">
        <v>2062</v>
      </c>
    </row>
    <row r="109" spans="1:3" ht="16.5" customHeight="1" x14ac:dyDescent="0.25">
      <c r="A109" s="1082" t="s">
        <v>2063</v>
      </c>
      <c r="B109" s="1082" t="s">
        <v>2064</v>
      </c>
      <c r="C109" s="556" t="s">
        <v>2065</v>
      </c>
    </row>
    <row r="110" spans="1:3" ht="16.5" customHeight="1" x14ac:dyDescent="0.25">
      <c r="A110" s="1085"/>
      <c r="B110" s="1085"/>
      <c r="C110" s="556" t="s">
        <v>2693</v>
      </c>
    </row>
    <row r="111" spans="1:3" ht="16.5" customHeight="1" x14ac:dyDescent="0.25">
      <c r="A111" s="1083"/>
      <c r="B111" s="1083"/>
      <c r="C111" s="556" t="s">
        <v>2066</v>
      </c>
    </row>
    <row r="1057" spans="1:26" s="244" customFormat="1" x14ac:dyDescent="0.25">
      <c r="A1057"/>
      <c r="B1057" s="243"/>
      <c r="C1057" s="243"/>
      <c r="D1057"/>
      <c r="E1057"/>
      <c r="F1057"/>
      <c r="G1057"/>
      <c r="H1057"/>
      <c r="I1057"/>
      <c r="J1057"/>
      <c r="K1057"/>
      <c r="L1057"/>
      <c r="M1057"/>
      <c r="N1057"/>
      <c r="O1057"/>
      <c r="P1057"/>
      <c r="Q1057"/>
      <c r="R1057"/>
      <c r="S1057"/>
      <c r="T1057"/>
      <c r="U1057"/>
      <c r="V1057"/>
      <c r="W1057"/>
      <c r="X1057"/>
      <c r="Y1057"/>
      <c r="Z1057"/>
    </row>
    <row r="1500" spans="1:26" s="244" customFormat="1" x14ac:dyDescent="0.25">
      <c r="A1500"/>
      <c r="B1500" s="243"/>
      <c r="C1500" s="243"/>
      <c r="D1500"/>
      <c r="E1500"/>
      <c r="F1500"/>
      <c r="G1500"/>
      <c r="H1500"/>
      <c r="I1500"/>
      <c r="J1500"/>
      <c r="K1500"/>
      <c r="L1500"/>
      <c r="M1500"/>
      <c r="N1500"/>
      <c r="O1500"/>
      <c r="P1500"/>
      <c r="Q1500"/>
      <c r="R1500"/>
      <c r="S1500"/>
      <c r="T1500"/>
      <c r="U1500"/>
      <c r="V1500"/>
      <c r="W1500"/>
      <c r="X1500"/>
      <c r="Y1500"/>
      <c r="Z1500"/>
    </row>
  </sheetData>
  <sheetProtection sheet="1" objects="1" scenarios="1"/>
  <mergeCells count="46">
    <mergeCell ref="A106:A108"/>
    <mergeCell ref="B106:B108"/>
    <mergeCell ref="A109:A111"/>
    <mergeCell ref="B109:B111"/>
    <mergeCell ref="A24:A25"/>
    <mergeCell ref="B24:B25"/>
    <mergeCell ref="A31:A33"/>
    <mergeCell ref="B31:B33"/>
    <mergeCell ref="A87:A90"/>
    <mergeCell ref="B87:B90"/>
    <mergeCell ref="A92:A94"/>
    <mergeCell ref="B92:B94"/>
    <mergeCell ref="A97:A98"/>
    <mergeCell ref="B97:B98"/>
    <mergeCell ref="A56:A57"/>
    <mergeCell ref="B56:B57"/>
    <mergeCell ref="A62:A63"/>
    <mergeCell ref="B62:B63"/>
    <mergeCell ref="A59:A61"/>
    <mergeCell ref="B59:B61"/>
    <mergeCell ref="A39:A42"/>
    <mergeCell ref="B39:B42"/>
    <mergeCell ref="A51:A53"/>
    <mergeCell ref="B51:B53"/>
    <mergeCell ref="A49:A50"/>
    <mergeCell ref="B49:B50"/>
    <mergeCell ref="A99:A102"/>
    <mergeCell ref="B99:B102"/>
    <mergeCell ref="A80:A81"/>
    <mergeCell ref="B80:B81"/>
    <mergeCell ref="A70:A71"/>
    <mergeCell ref="B70:B71"/>
    <mergeCell ref="A22:A23"/>
    <mergeCell ref="B22:B23"/>
    <mergeCell ref="A19:A20"/>
    <mergeCell ref="B19:B20"/>
    <mergeCell ref="A35:A36"/>
    <mergeCell ref="B35:B36"/>
    <mergeCell ref="A14:A15"/>
    <mergeCell ref="B14:B15"/>
    <mergeCell ref="A16:A18"/>
    <mergeCell ref="B16:B18"/>
    <mergeCell ref="A5:A7"/>
    <mergeCell ref="B5:B7"/>
    <mergeCell ref="A10:A13"/>
    <mergeCell ref="B10:B13"/>
  </mergeCells>
  <pageMargins left="0.31496062992125984" right="0.31496062992125984" top="0.35433070866141736" bottom="0.35433070866141736" header="0" footer="0"/>
  <pageSetup paperSize="9" orientation="landscape" r:id="rId1"/>
  <rowBreaks count="3" manualBreakCount="3">
    <brk id="28" max="16383" man="1"/>
    <brk id="54" max="16383" man="1"/>
    <brk id="95"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8"/>
  <dimension ref="A1:M157"/>
  <sheetViews>
    <sheetView showGridLines="0" topLeftCell="A118" zoomScaleNormal="100" workbookViewId="0">
      <selection activeCell="B135" sqref="B135"/>
    </sheetView>
  </sheetViews>
  <sheetFormatPr baseColWidth="10" defaultRowHeight="13.2" x14ac:dyDescent="0.25"/>
  <cols>
    <col min="1" max="1" width="36.6640625" customWidth="1"/>
    <col min="2" max="2" width="52.6640625" customWidth="1"/>
    <col min="3" max="3" width="11.44140625" style="254"/>
    <col min="4" max="4" width="23.6640625" customWidth="1"/>
    <col min="5" max="5" width="60.33203125" customWidth="1"/>
    <col min="6" max="22" width="11.44140625" customWidth="1"/>
  </cols>
  <sheetData>
    <row r="1" spans="1:13" ht="33" customHeight="1" x14ac:dyDescent="0.25">
      <c r="A1" s="214" t="s">
        <v>1726</v>
      </c>
      <c r="C1" s="258"/>
      <c r="D1" s="216"/>
      <c r="E1" s="216"/>
      <c r="F1" s="216"/>
      <c r="G1" s="216"/>
      <c r="H1" s="216"/>
      <c r="I1" s="216"/>
      <c r="J1" s="216"/>
      <c r="K1" s="216"/>
      <c r="L1" s="216"/>
      <c r="M1" s="216"/>
    </row>
    <row r="2" spans="1:13" ht="28.5" customHeight="1" x14ac:dyDescent="0.25">
      <c r="A2" s="63" t="s">
        <v>1447</v>
      </c>
      <c r="C2" s="259" t="str">
        <f>RIGHT(LEFT(D2,8),1)</f>
        <v>0</v>
      </c>
      <c r="D2" s="62">
        <f>Ana_risk!C41</f>
        <v>0</v>
      </c>
    </row>
    <row r="3" spans="1:13" ht="30.75" customHeight="1" x14ac:dyDescent="0.25">
      <c r="A3" t="s">
        <v>1535</v>
      </c>
      <c r="B3" t="s">
        <v>1861</v>
      </c>
      <c r="C3" s="440" t="str">
        <f>RIGHT(LEFT(A3,8),1)</f>
        <v>0</v>
      </c>
      <c r="D3" s="62"/>
      <c r="E3" s="450"/>
      <c r="F3" s="450"/>
      <c r="G3" s="450"/>
      <c r="H3" s="450"/>
      <c r="I3" s="450"/>
      <c r="J3" s="450"/>
      <c r="K3" s="450"/>
    </row>
    <row r="4" spans="1:13" ht="67.5" customHeight="1" x14ac:dyDescent="0.25">
      <c r="A4" t="s">
        <v>1536</v>
      </c>
      <c r="B4" t="s">
        <v>1448</v>
      </c>
      <c r="C4" s="440" t="str">
        <f>RIGHT(LEFT(A4,8),1)</f>
        <v>1</v>
      </c>
      <c r="F4" s="451"/>
      <c r="G4" s="451"/>
      <c r="H4" s="451"/>
      <c r="I4" s="451"/>
      <c r="J4" s="451"/>
      <c r="K4" s="451"/>
    </row>
    <row r="5" spans="1:13" ht="67.5" customHeight="1" x14ac:dyDescent="0.25">
      <c r="A5" t="s">
        <v>1449</v>
      </c>
      <c r="B5" t="s">
        <v>1450</v>
      </c>
      <c r="C5" s="440" t="str">
        <f>RIGHT(LEFT(A5,8),1)</f>
        <v>2</v>
      </c>
      <c r="E5" s="63"/>
    </row>
    <row r="6" spans="1:13" ht="67.5" customHeight="1" x14ac:dyDescent="0.25">
      <c r="A6" t="s">
        <v>1451</v>
      </c>
      <c r="B6" t="s">
        <v>1452</v>
      </c>
      <c r="C6" s="440" t="str">
        <f>RIGHT(LEFT(A6,8),1)</f>
        <v>3</v>
      </c>
      <c r="E6" s="61"/>
    </row>
    <row r="7" spans="1:13" ht="67.5" customHeight="1" x14ac:dyDescent="0.25">
      <c r="A7" t="s">
        <v>1453</v>
      </c>
      <c r="B7" t="s">
        <v>1454</v>
      </c>
      <c r="C7" s="440" t="str">
        <f>RIGHT(LEFT(A7,8),1)</f>
        <v>4</v>
      </c>
      <c r="E7" s="61"/>
    </row>
    <row r="8" spans="1:13" ht="15" customHeight="1" x14ac:dyDescent="0.25">
      <c r="E8" s="61"/>
    </row>
    <row r="9" spans="1:13" ht="20.25" customHeight="1" x14ac:dyDescent="0.25">
      <c r="A9" s="63" t="s">
        <v>1456</v>
      </c>
      <c r="C9" s="259" t="str">
        <f>RIGHT(LEFT(D9,8),1)</f>
        <v>0</v>
      </c>
      <c r="D9" s="62">
        <f>Ana_risk!C51</f>
        <v>0</v>
      </c>
      <c r="E9" s="61"/>
    </row>
    <row r="10" spans="1:13" ht="34.5" customHeight="1" x14ac:dyDescent="0.25">
      <c r="A10" t="s">
        <v>1537</v>
      </c>
      <c r="B10" t="s">
        <v>1861</v>
      </c>
      <c r="C10" s="440" t="str">
        <f>RIGHT(LEFT(A10,8),1)</f>
        <v>0</v>
      </c>
      <c r="D10" s="62"/>
      <c r="E10" s="61"/>
    </row>
    <row r="11" spans="1:13" ht="72" customHeight="1" x14ac:dyDescent="0.25">
      <c r="A11" t="s">
        <v>1538</v>
      </c>
      <c r="B11" t="s">
        <v>1556</v>
      </c>
      <c r="C11" s="440" t="str">
        <f>RIGHT(LEFT(A11,8),1)</f>
        <v>1</v>
      </c>
      <c r="E11" s="61"/>
    </row>
    <row r="12" spans="1:13" ht="72" customHeight="1" x14ac:dyDescent="0.25">
      <c r="A12" t="s">
        <v>1457</v>
      </c>
      <c r="B12" t="s">
        <v>2700</v>
      </c>
      <c r="C12" s="440" t="str">
        <f>RIGHT(LEFT(A12,8),1)</f>
        <v>2</v>
      </c>
      <c r="E12" s="61"/>
    </row>
    <row r="13" spans="1:13" ht="72" customHeight="1" x14ac:dyDescent="0.25">
      <c r="A13" t="s">
        <v>1458</v>
      </c>
      <c r="B13" t="s">
        <v>2283</v>
      </c>
      <c r="C13" s="440" t="str">
        <f>RIGHT(LEFT(A13,8),1)</f>
        <v>3</v>
      </c>
      <c r="E13" s="61"/>
    </row>
    <row r="14" spans="1:13" ht="72" customHeight="1" x14ac:dyDescent="0.25">
      <c r="A14" t="s">
        <v>1459</v>
      </c>
      <c r="B14" t="s">
        <v>2284</v>
      </c>
      <c r="C14" s="440" t="str">
        <f>RIGHT(LEFT(A14,8),1)</f>
        <v>4</v>
      </c>
      <c r="E14" s="61"/>
    </row>
    <row r="15" spans="1:13" ht="12" customHeight="1" x14ac:dyDescent="0.25">
      <c r="C15" s="255"/>
      <c r="E15" s="61"/>
    </row>
    <row r="16" spans="1:13" ht="30.75" customHeight="1" x14ac:dyDescent="0.25">
      <c r="A16" s="63" t="s">
        <v>1466</v>
      </c>
      <c r="C16" s="259" t="str">
        <f>RIGHT(LEFT(D16,8),1)</f>
        <v>0</v>
      </c>
      <c r="D16" s="62">
        <f>Ana_risk!C67</f>
        <v>0</v>
      </c>
      <c r="E16" s="61"/>
    </row>
    <row r="17" spans="1:13" ht="30.75" customHeight="1" x14ac:dyDescent="0.25">
      <c r="A17" t="s">
        <v>1559</v>
      </c>
      <c r="B17" t="s">
        <v>1861</v>
      </c>
      <c r="C17" s="440" t="str">
        <f>RIGHT(LEFT(A17,8),1)</f>
        <v>0</v>
      </c>
      <c r="D17" s="62"/>
      <c r="E17" s="61"/>
    </row>
    <row r="18" spans="1:13" ht="69.75" customHeight="1" x14ac:dyDescent="0.25">
      <c r="A18" t="s">
        <v>1560</v>
      </c>
      <c r="B18" t="s">
        <v>1682</v>
      </c>
      <c r="C18" s="440" t="str">
        <f>RIGHT(LEFT(A18,8),1)</f>
        <v>1</v>
      </c>
      <c r="E18" s="61"/>
    </row>
    <row r="19" spans="1:13" ht="69.75" customHeight="1" x14ac:dyDescent="0.25">
      <c r="A19" t="s">
        <v>1467</v>
      </c>
      <c r="B19" t="s">
        <v>1558</v>
      </c>
      <c r="C19" s="440" t="str">
        <f>RIGHT(LEFT(A19,8),1)</f>
        <v>2</v>
      </c>
      <c r="E19" s="61"/>
    </row>
    <row r="20" spans="1:13" ht="69.75" customHeight="1" x14ac:dyDescent="0.25">
      <c r="A20" t="s">
        <v>1468</v>
      </c>
      <c r="B20" t="s">
        <v>1469</v>
      </c>
      <c r="C20" s="440" t="str">
        <f>RIGHT(LEFT(A20,8),1)</f>
        <v>3</v>
      </c>
      <c r="M20" s="61"/>
    </row>
    <row r="21" spans="1:13" ht="69.75" customHeight="1" x14ac:dyDescent="0.25">
      <c r="A21" t="s">
        <v>1470</v>
      </c>
      <c r="B21" t="s">
        <v>1557</v>
      </c>
      <c r="C21" s="440" t="str">
        <f>RIGHT(LEFT(A21,8),1)</f>
        <v>4</v>
      </c>
    </row>
    <row r="22" spans="1:13" ht="15" customHeight="1" x14ac:dyDescent="0.25">
      <c r="F22" s="61"/>
    </row>
    <row r="23" spans="1:13" ht="25.5" customHeight="1" x14ac:dyDescent="0.25">
      <c r="A23" s="63" t="s">
        <v>1471</v>
      </c>
      <c r="C23" s="259" t="str">
        <f>RIGHT(LEFT(D23,8),1)</f>
        <v>0</v>
      </c>
      <c r="D23" s="62">
        <f>Ana_risk!C77</f>
        <v>0</v>
      </c>
    </row>
    <row r="24" spans="1:13" ht="30.75" customHeight="1" x14ac:dyDescent="0.25">
      <c r="A24" t="s">
        <v>1862</v>
      </c>
      <c r="B24" t="s">
        <v>1861</v>
      </c>
      <c r="C24" s="440" t="str">
        <f>RIGHT(LEFT(A24,8),1)</f>
        <v>0</v>
      </c>
      <c r="D24" s="62"/>
    </row>
    <row r="25" spans="1:13" ht="87.75" customHeight="1" x14ac:dyDescent="0.25">
      <c r="A25" t="s">
        <v>1561</v>
      </c>
      <c r="B25" t="s">
        <v>2285</v>
      </c>
      <c r="C25" s="254" t="str">
        <f>RIGHT(LEFT(A25,8),1)</f>
        <v>1</v>
      </c>
    </row>
    <row r="26" spans="1:13" ht="87.75" customHeight="1" x14ac:dyDescent="0.25">
      <c r="A26" t="s">
        <v>1472</v>
      </c>
      <c r="B26" t="s">
        <v>1473</v>
      </c>
      <c r="C26" s="440" t="str">
        <f>RIGHT(LEFT(A26,8),1)</f>
        <v>2</v>
      </c>
    </row>
    <row r="27" spans="1:13" ht="87.75" customHeight="1" x14ac:dyDescent="0.25">
      <c r="A27" t="s">
        <v>1474</v>
      </c>
      <c r="B27" t="s">
        <v>1475</v>
      </c>
      <c r="C27" s="440" t="str">
        <f>RIGHT(LEFT(A27,8),1)</f>
        <v>3</v>
      </c>
      <c r="E27" s="441"/>
      <c r="F27" s="441"/>
      <c r="G27" s="441"/>
      <c r="H27" s="441"/>
      <c r="I27" s="441"/>
      <c r="J27" s="441"/>
    </row>
    <row r="28" spans="1:13" ht="87.75" customHeight="1" x14ac:dyDescent="0.25">
      <c r="A28" t="s">
        <v>1476</v>
      </c>
      <c r="B28" t="s">
        <v>1477</v>
      </c>
      <c r="C28" s="440" t="str">
        <f>RIGHT(LEFT(A28,8),1)</f>
        <v>4</v>
      </c>
      <c r="F28" s="62"/>
    </row>
    <row r="29" spans="1:13" ht="15.75" customHeight="1" x14ac:dyDescent="0.25">
      <c r="F29" s="62"/>
    </row>
    <row r="30" spans="1:13" x14ac:dyDescent="0.25">
      <c r="A30" s="63" t="s">
        <v>1563</v>
      </c>
      <c r="C30" s="254" t="str">
        <f>IF(LEFT(D30,1)="D","I",IF(OR(LEFT(D30,2)="Ab",D30=0),"-",LEFT(D30,1)))</f>
        <v>-</v>
      </c>
      <c r="D30" s="62">
        <f>Ana_risk!C91</f>
        <v>0</v>
      </c>
    </row>
    <row r="31" spans="1:13" ht="26.25" customHeight="1" x14ac:dyDescent="0.25">
      <c r="A31" t="s">
        <v>1564</v>
      </c>
      <c r="C31" s="254" t="str">
        <f>LEFT(A31,1)</f>
        <v>A</v>
      </c>
    </row>
    <row r="32" spans="1:13" ht="26.25" customHeight="1" x14ac:dyDescent="0.25">
      <c r="A32" t="s">
        <v>1565</v>
      </c>
      <c r="C32" s="440" t="str">
        <f>LEFT(A32,1)</f>
        <v>R</v>
      </c>
    </row>
    <row r="33" spans="1:4" ht="26.25" customHeight="1" x14ac:dyDescent="0.25">
      <c r="A33" t="s">
        <v>1566</v>
      </c>
      <c r="C33" s="440" t="str">
        <f>LEFT(A33,1)</f>
        <v>E</v>
      </c>
    </row>
    <row r="34" spans="1:4" ht="26.25" customHeight="1" x14ac:dyDescent="0.25">
      <c r="A34" t="s">
        <v>1567</v>
      </c>
      <c r="C34" s="440" t="str">
        <f>LEFT(A34,1)</f>
        <v>T</v>
      </c>
    </row>
    <row r="35" spans="1:4" ht="26.4" x14ac:dyDescent="0.25">
      <c r="A35" t="s">
        <v>1747</v>
      </c>
      <c r="C35" s="440" t="str">
        <f>RIGHT(LEFT(A35,22),1)</f>
        <v>I</v>
      </c>
    </row>
    <row r="36" spans="1:4" x14ac:dyDescent="0.25">
      <c r="A36" t="s">
        <v>2192</v>
      </c>
      <c r="C36" s="254" t="s">
        <v>1861</v>
      </c>
    </row>
    <row r="39" spans="1:4" x14ac:dyDescent="0.25">
      <c r="A39" s="63" t="s">
        <v>1847</v>
      </c>
    </row>
    <row r="40" spans="1:4" x14ac:dyDescent="0.25">
      <c r="A40" t="s">
        <v>1826</v>
      </c>
      <c r="C40" s="400">
        <v>4</v>
      </c>
      <c r="D40" s="404" t="s">
        <v>1830</v>
      </c>
    </row>
    <row r="41" spans="1:4" x14ac:dyDescent="0.25">
      <c r="A41" t="s">
        <v>1827</v>
      </c>
      <c r="C41" s="400">
        <v>3</v>
      </c>
      <c r="D41" s="404" t="s">
        <v>1841</v>
      </c>
    </row>
    <row r="42" spans="1:4" x14ac:dyDescent="0.25">
      <c r="A42" t="s">
        <v>1828</v>
      </c>
      <c r="C42" s="400">
        <v>2</v>
      </c>
      <c r="D42" s="404" t="s">
        <v>1831</v>
      </c>
    </row>
    <row r="43" spans="1:4" x14ac:dyDescent="0.25">
      <c r="A43" t="s">
        <v>1829</v>
      </c>
      <c r="C43" s="400">
        <v>1</v>
      </c>
      <c r="D43" s="404" t="s">
        <v>1832</v>
      </c>
    </row>
    <row r="47" spans="1:4" x14ac:dyDescent="0.25">
      <c r="A47" s="63" t="s">
        <v>1846</v>
      </c>
    </row>
    <row r="48" spans="1:4" ht="39.6" x14ac:dyDescent="0.25">
      <c r="A48" t="s">
        <v>1833</v>
      </c>
      <c r="B48" t="s">
        <v>1837</v>
      </c>
      <c r="C48" s="400">
        <v>4</v>
      </c>
      <c r="D48" s="404" t="s">
        <v>1842</v>
      </c>
    </row>
    <row r="49" spans="1:5" ht="66" x14ac:dyDescent="0.25">
      <c r="A49" t="s">
        <v>1834</v>
      </c>
      <c r="B49" t="s">
        <v>1838</v>
      </c>
      <c r="C49" s="400">
        <v>3</v>
      </c>
      <c r="D49" s="404" t="s">
        <v>1843</v>
      </c>
    </row>
    <row r="50" spans="1:5" ht="66" x14ac:dyDescent="0.25">
      <c r="A50" t="s">
        <v>1835</v>
      </c>
      <c r="B50" t="s">
        <v>1839</v>
      </c>
      <c r="C50" s="400">
        <v>2</v>
      </c>
      <c r="D50" s="404" t="s">
        <v>1844</v>
      </c>
    </row>
    <row r="51" spans="1:5" ht="52.8" x14ac:dyDescent="0.25">
      <c r="A51" t="s">
        <v>1836</v>
      </c>
      <c r="B51" t="s">
        <v>1840</v>
      </c>
      <c r="C51" s="400">
        <v>1</v>
      </c>
      <c r="D51" s="404" t="s">
        <v>1845</v>
      </c>
    </row>
    <row r="54" spans="1:5" x14ac:dyDescent="0.25">
      <c r="A54" t="s">
        <v>1850</v>
      </c>
    </row>
    <row r="56" spans="1:5" x14ac:dyDescent="0.25">
      <c r="A56" t="s">
        <v>1855</v>
      </c>
      <c r="C56" s="400">
        <v>4</v>
      </c>
      <c r="D56" s="62" t="str">
        <f>VLOOKUP(C56,Gravité!$J$6:$M$9,3,FALSE)</f>
        <v>Risque insupportable</v>
      </c>
      <c r="E56" s="62" t="str">
        <f>VLOOKUP(C56,Gravité!$J$6:$M$9,4,FALSE)</f>
        <v>Risque à réduire ou à éviter de toute urgence</v>
      </c>
    </row>
    <row r="57" spans="1:5" x14ac:dyDescent="0.25">
      <c r="A57" t="s">
        <v>1856</v>
      </c>
      <c r="C57" s="400">
        <v>3</v>
      </c>
      <c r="D57" s="62" t="str">
        <f>VLOOKUP(C57,Gravité!$J$6:$M$9,3,FALSE)</f>
        <v>Risque inadmissible</v>
      </c>
      <c r="E57" s="62" t="str">
        <f>VLOOKUP(C57,Gravité!$J$6:$M$9,4,FALSE)</f>
        <v>Risque dont la réduction ou  l'évitement doivent être planifiés</v>
      </c>
    </row>
    <row r="58" spans="1:5" x14ac:dyDescent="0.25">
      <c r="A58" t="s">
        <v>1857</v>
      </c>
      <c r="C58" s="400">
        <v>2</v>
      </c>
      <c r="D58" s="62" t="str">
        <f>VLOOKUP(C58,Gravité!$J$6:$M$9,3,FALSE)</f>
        <v>Risque toléré</v>
      </c>
      <c r="E58" s="62" t="str">
        <f>VLOOKUP(C58,Gravité!$J$6:$M$9,4,FALSE)</f>
        <v>Risque ne nécessitant pas de décision particulière</v>
      </c>
    </row>
    <row r="59" spans="1:5" x14ac:dyDescent="0.25">
      <c r="A59" t="s">
        <v>1858</v>
      </c>
      <c r="C59" s="400">
        <v>1</v>
      </c>
      <c r="D59" s="62" t="str">
        <f>VLOOKUP(C59,Gravité!$J$6:$M$9,3,FALSE)</f>
        <v>Risque non significatif</v>
      </c>
      <c r="E59" s="62" t="str">
        <f>VLOOKUP(C59,Gravité!$J$6:$M$9,4,FALSE)</f>
        <v>-</v>
      </c>
    </row>
    <row r="61" spans="1:5" x14ac:dyDescent="0.25">
      <c r="A61" t="s">
        <v>2353</v>
      </c>
    </row>
    <row r="62" spans="1:5" x14ac:dyDescent="0.25">
      <c r="A62">
        <v>1</v>
      </c>
      <c r="B62" s="62" t="s">
        <v>2701</v>
      </c>
    </row>
    <row r="63" spans="1:5" x14ac:dyDescent="0.25">
      <c r="A63">
        <v>2</v>
      </c>
      <c r="B63" s="62" t="s">
        <v>2354</v>
      </c>
    </row>
    <row r="64" spans="1:5" x14ac:dyDescent="0.25">
      <c r="A64">
        <v>3</v>
      </c>
      <c r="B64" s="62" t="s">
        <v>2355</v>
      </c>
    </row>
    <row r="65" spans="1:5" x14ac:dyDescent="0.25">
      <c r="B65" s="62"/>
    </row>
    <row r="66" spans="1:5" x14ac:dyDescent="0.25">
      <c r="A66" t="s">
        <v>2702</v>
      </c>
    </row>
    <row r="67" spans="1:5" x14ac:dyDescent="0.25">
      <c r="A67" t="s">
        <v>1292</v>
      </c>
      <c r="B67" t="s">
        <v>1293</v>
      </c>
      <c r="D67" s="939"/>
      <c r="E67" s="939"/>
    </row>
    <row r="68" spans="1:5" x14ac:dyDescent="0.25">
      <c r="A68" t="s">
        <v>1300</v>
      </c>
      <c r="B68" t="s">
        <v>202</v>
      </c>
      <c r="C68" s="871"/>
      <c r="D68" s="939"/>
      <c r="E68" s="939"/>
    </row>
    <row r="69" spans="1:5" x14ac:dyDescent="0.25">
      <c r="A69" t="s">
        <v>2032</v>
      </c>
      <c r="B69" t="s">
        <v>2033</v>
      </c>
      <c r="D69" s="939"/>
      <c r="E69" s="939"/>
    </row>
    <row r="70" spans="1:5" ht="26.4" x14ac:dyDescent="0.25">
      <c r="A70" t="s">
        <v>1348</v>
      </c>
      <c r="B70" t="s">
        <v>2366</v>
      </c>
      <c r="D70" s="939"/>
      <c r="E70" s="939"/>
    </row>
    <row r="71" spans="1:5" x14ac:dyDescent="0.25">
      <c r="A71" t="s">
        <v>1316</v>
      </c>
      <c r="B71" t="s">
        <v>316</v>
      </c>
      <c r="D71" s="940"/>
      <c r="E71" s="940"/>
    </row>
    <row r="72" spans="1:5" x14ac:dyDescent="0.25">
      <c r="A72" t="s">
        <v>1318</v>
      </c>
      <c r="B72" t="s">
        <v>1319</v>
      </c>
      <c r="D72" s="940"/>
      <c r="E72" s="940"/>
    </row>
    <row r="73" spans="1:5" x14ac:dyDescent="0.25">
      <c r="A73" t="s">
        <v>1321</v>
      </c>
      <c r="B73" t="s">
        <v>1322</v>
      </c>
      <c r="D73" s="940"/>
      <c r="E73" s="940"/>
    </row>
    <row r="74" spans="1:5" x14ac:dyDescent="0.25">
      <c r="A74" t="s">
        <v>1309</v>
      </c>
      <c r="B74" t="s">
        <v>1520</v>
      </c>
      <c r="D74" s="939"/>
      <c r="E74" s="939"/>
    </row>
    <row r="75" spans="1:5" x14ac:dyDescent="0.25">
      <c r="A75" t="s">
        <v>2357</v>
      </c>
      <c r="B75" t="s">
        <v>2358</v>
      </c>
      <c r="D75" s="940"/>
      <c r="E75" s="940"/>
    </row>
    <row r="76" spans="1:5" x14ac:dyDescent="0.25">
      <c r="A76" t="s">
        <v>2370</v>
      </c>
      <c r="B76" t="s">
        <v>2371</v>
      </c>
      <c r="C76" s="871"/>
      <c r="D76" s="939"/>
      <c r="E76" s="941"/>
    </row>
    <row r="77" spans="1:5" x14ac:dyDescent="0.25">
      <c r="A77" t="s">
        <v>1344</v>
      </c>
      <c r="B77" t="s">
        <v>2365</v>
      </c>
      <c r="D77" s="940"/>
      <c r="E77" s="940"/>
    </row>
    <row r="78" spans="1:5" x14ac:dyDescent="0.25">
      <c r="A78" t="s">
        <v>2542</v>
      </c>
      <c r="B78" t="s">
        <v>2541</v>
      </c>
      <c r="C78" s="905"/>
      <c r="D78" s="939"/>
      <c r="E78" s="939"/>
    </row>
    <row r="79" spans="1:5" x14ac:dyDescent="0.25">
      <c r="A79" t="s">
        <v>1346</v>
      </c>
      <c r="B79" t="s">
        <v>55</v>
      </c>
      <c r="D79" s="940"/>
      <c r="E79" s="940"/>
    </row>
    <row r="80" spans="1:5" x14ac:dyDescent="0.25">
      <c r="A80" t="s">
        <v>1370</v>
      </c>
      <c r="B80" t="s">
        <v>2059</v>
      </c>
      <c r="D80" s="939"/>
      <c r="E80" s="939"/>
    </row>
    <row r="81" spans="1:5" ht="15.75" customHeight="1" x14ac:dyDescent="0.25">
      <c r="A81" t="s">
        <v>2063</v>
      </c>
      <c r="B81" t="s">
        <v>2064</v>
      </c>
      <c r="D81" s="939"/>
      <c r="E81" s="939"/>
    </row>
    <row r="82" spans="1:5" x14ac:dyDescent="0.25">
      <c r="A82" t="s">
        <v>2369</v>
      </c>
      <c r="B82" t="s">
        <v>2362</v>
      </c>
      <c r="D82" s="939"/>
      <c r="E82" s="939"/>
    </row>
    <row r="83" spans="1:5" ht="26.4" x14ac:dyDescent="0.25">
      <c r="A83" t="s">
        <v>2027</v>
      </c>
      <c r="B83" t="s">
        <v>2363</v>
      </c>
      <c r="D83" s="939"/>
      <c r="E83" s="939"/>
    </row>
    <row r="84" spans="1:5" x14ac:dyDescent="0.25">
      <c r="A84" t="s">
        <v>1282</v>
      </c>
      <c r="B84" t="s">
        <v>1283</v>
      </c>
      <c r="D84" s="940"/>
      <c r="E84" s="942"/>
    </row>
    <row r="85" spans="1:5" ht="16.5" customHeight="1" x14ac:dyDescent="0.25">
      <c r="A85" t="s">
        <v>1247</v>
      </c>
      <c r="B85" t="s">
        <v>1248</v>
      </c>
      <c r="D85" s="939"/>
      <c r="E85" s="941"/>
    </row>
    <row r="86" spans="1:5" x14ac:dyDescent="0.25">
      <c r="A86" t="s">
        <v>1279</v>
      </c>
      <c r="B86" t="s">
        <v>1280</v>
      </c>
      <c r="D86" s="940"/>
      <c r="E86" s="940"/>
    </row>
    <row r="87" spans="1:5" ht="13.5" customHeight="1" x14ac:dyDescent="0.25">
      <c r="A87" t="s">
        <v>2688</v>
      </c>
      <c r="B87" t="s">
        <v>2692</v>
      </c>
      <c r="C87" s="922"/>
      <c r="D87" s="939"/>
      <c r="E87" s="939"/>
    </row>
    <row r="88" spans="1:5" x14ac:dyDescent="0.25">
      <c r="A88" t="s">
        <v>2051</v>
      </c>
      <c r="B88" t="s">
        <v>2697</v>
      </c>
      <c r="D88" s="940"/>
      <c r="E88" s="940"/>
    </row>
    <row r="89" spans="1:5" ht="26.4" x14ac:dyDescent="0.25">
      <c r="A89" t="s">
        <v>1324</v>
      </c>
      <c r="B89" t="s">
        <v>1325</v>
      </c>
      <c r="D89" s="940"/>
      <c r="E89" s="940"/>
    </row>
    <row r="90" spans="1:5" x14ac:dyDescent="0.25">
      <c r="A90" t="s">
        <v>1276</v>
      </c>
      <c r="B90" t="s">
        <v>1277</v>
      </c>
      <c r="D90" s="940"/>
      <c r="E90" s="940"/>
    </row>
    <row r="91" spans="1:5" x14ac:dyDescent="0.25">
      <c r="A91" t="s">
        <v>1353</v>
      </c>
      <c r="B91" t="s">
        <v>1354</v>
      </c>
      <c r="D91" s="939"/>
      <c r="E91" s="939"/>
    </row>
    <row r="92" spans="1:5" x14ac:dyDescent="0.25">
      <c r="A92" t="s">
        <v>1330</v>
      </c>
      <c r="B92" t="s">
        <v>2788</v>
      </c>
      <c r="D92" s="940"/>
      <c r="E92" s="940"/>
    </row>
    <row r="93" spans="1:5" x14ac:dyDescent="0.25">
      <c r="A93" t="s">
        <v>1331</v>
      </c>
      <c r="B93" t="s">
        <v>1332</v>
      </c>
      <c r="D93" s="940"/>
      <c r="E93" s="940"/>
    </row>
    <row r="94" spans="1:5" x14ac:dyDescent="0.25">
      <c r="A94" t="s">
        <v>1334</v>
      </c>
      <c r="B94" t="s">
        <v>1335</v>
      </c>
      <c r="D94" s="940"/>
      <c r="E94" s="940"/>
    </row>
    <row r="95" spans="1:5" x14ac:dyDescent="0.25">
      <c r="A95" t="s">
        <v>1337</v>
      </c>
      <c r="B95" t="s">
        <v>1338</v>
      </c>
      <c r="D95" s="940"/>
      <c r="E95" s="940"/>
    </row>
    <row r="96" spans="1:5" x14ac:dyDescent="0.25">
      <c r="A96" t="s">
        <v>1340</v>
      </c>
      <c r="B96" t="s">
        <v>2790</v>
      </c>
      <c r="D96" s="939"/>
      <c r="E96" s="939"/>
    </row>
    <row r="97" spans="1:5" x14ac:dyDescent="0.25">
      <c r="A97" t="s">
        <v>1358</v>
      </c>
      <c r="B97" t="s">
        <v>1359</v>
      </c>
      <c r="D97" s="940"/>
      <c r="E97" s="940"/>
    </row>
    <row r="98" spans="1:5" x14ac:dyDescent="0.25">
      <c r="A98" t="s">
        <v>1343</v>
      </c>
      <c r="B98" t="s">
        <v>2018</v>
      </c>
      <c r="D98" s="939"/>
      <c r="E98" s="939"/>
    </row>
    <row r="99" spans="1:5" ht="39.6" x14ac:dyDescent="0.25">
      <c r="A99" t="s">
        <v>1265</v>
      </c>
      <c r="B99" t="s">
        <v>2367</v>
      </c>
      <c r="D99" s="939"/>
      <c r="E99" s="939"/>
    </row>
    <row r="100" spans="1:5" x14ac:dyDescent="0.25">
      <c r="A100" t="s">
        <v>1303</v>
      </c>
      <c r="B100" t="s">
        <v>1304</v>
      </c>
      <c r="D100" s="939"/>
      <c r="E100" s="939"/>
    </row>
    <row r="101" spans="1:5" x14ac:dyDescent="0.25">
      <c r="A101" t="s">
        <v>1257</v>
      </c>
      <c r="B101" t="s">
        <v>83</v>
      </c>
      <c r="D101" s="940"/>
      <c r="E101" s="940"/>
    </row>
    <row r="102" spans="1:5" x14ac:dyDescent="0.25">
      <c r="A102" t="s">
        <v>1268</v>
      </c>
      <c r="B102" t="s">
        <v>1269</v>
      </c>
      <c r="D102" s="939"/>
      <c r="E102" s="941"/>
    </row>
    <row r="103" spans="1:5" x14ac:dyDescent="0.25">
      <c r="A103" t="s">
        <v>1272</v>
      </c>
      <c r="B103" t="s">
        <v>1273</v>
      </c>
      <c r="D103" s="939"/>
      <c r="E103" s="941"/>
    </row>
    <row r="104" spans="1:5" ht="26.4" x14ac:dyDescent="0.25">
      <c r="A104" t="s">
        <v>1259</v>
      </c>
      <c r="B104" t="s">
        <v>1260</v>
      </c>
      <c r="D104" s="939"/>
      <c r="E104" s="939"/>
    </row>
    <row r="105" spans="1:5" x14ac:dyDescent="0.25">
      <c r="A105" t="s">
        <v>1306</v>
      </c>
      <c r="B105" t="s">
        <v>1307</v>
      </c>
      <c r="D105" s="940"/>
      <c r="E105" s="940"/>
    </row>
    <row r="106" spans="1:5" x14ac:dyDescent="0.25">
      <c r="A106" t="s">
        <v>1364</v>
      </c>
      <c r="B106" t="s">
        <v>1365</v>
      </c>
      <c r="D106" s="939"/>
      <c r="E106" s="939"/>
    </row>
    <row r="107" spans="1:5" x14ac:dyDescent="0.25">
      <c r="A107" t="s">
        <v>1286</v>
      </c>
      <c r="B107" t="s">
        <v>1287</v>
      </c>
      <c r="D107" s="939"/>
      <c r="E107" s="939"/>
    </row>
    <row r="108" spans="1:5" x14ac:dyDescent="0.25">
      <c r="A108" t="s">
        <v>2048</v>
      </c>
      <c r="B108" t="s">
        <v>2049</v>
      </c>
      <c r="D108" s="940"/>
      <c r="E108" s="940"/>
    </row>
    <row r="109" spans="1:5" x14ac:dyDescent="0.25">
      <c r="A109" t="s">
        <v>2526</v>
      </c>
      <c r="B109" t="s">
        <v>2787</v>
      </c>
      <c r="D109" s="943"/>
      <c r="E109" s="943"/>
    </row>
    <row r="110" spans="1:5" x14ac:dyDescent="0.25">
      <c r="A110" t="s">
        <v>1252</v>
      </c>
      <c r="B110" t="s">
        <v>1253</v>
      </c>
      <c r="D110" s="939"/>
      <c r="E110" s="941"/>
    </row>
    <row r="111" spans="1:5" ht="26.4" x14ac:dyDescent="0.25">
      <c r="A111" t="s">
        <v>2042</v>
      </c>
      <c r="B111" t="s">
        <v>2043</v>
      </c>
      <c r="D111" s="943"/>
      <c r="E111" s="942"/>
    </row>
    <row r="112" spans="1:5" x14ac:dyDescent="0.25">
      <c r="A112" t="s">
        <v>1310</v>
      </c>
      <c r="B112" t="s">
        <v>1311</v>
      </c>
      <c r="D112" s="939"/>
      <c r="E112" s="939"/>
    </row>
    <row r="113" spans="1:7" x14ac:dyDescent="0.25">
      <c r="A113" t="s">
        <v>1361</v>
      </c>
      <c r="B113" t="s">
        <v>2057</v>
      </c>
      <c r="D113" s="939"/>
      <c r="E113" s="939"/>
    </row>
    <row r="114" spans="1:7" x14ac:dyDescent="0.25">
      <c r="A114" t="s">
        <v>1327</v>
      </c>
      <c r="B114" t="s">
        <v>1328</v>
      </c>
      <c r="D114" s="940"/>
      <c r="E114" s="940"/>
    </row>
    <row r="115" spans="1:7" x14ac:dyDescent="0.25">
      <c r="A115" t="s">
        <v>2537</v>
      </c>
      <c r="B115" t="s">
        <v>2536</v>
      </c>
      <c r="D115" s="939"/>
      <c r="E115" s="941"/>
    </row>
    <row r="116" spans="1:7" x14ac:dyDescent="0.25">
      <c r="A116" t="s">
        <v>2373</v>
      </c>
      <c r="B116" t="s">
        <v>2375</v>
      </c>
      <c r="D116" s="939"/>
      <c r="E116" s="939"/>
    </row>
    <row r="117" spans="1:7" x14ac:dyDescent="0.25">
      <c r="A117" t="s">
        <v>2539</v>
      </c>
      <c r="B117" t="s">
        <v>2543</v>
      </c>
      <c r="C117" s="905"/>
      <c r="D117" s="939"/>
      <c r="E117" s="941"/>
    </row>
    <row r="118" spans="1:7" x14ac:dyDescent="0.25">
      <c r="A118" t="s">
        <v>2374</v>
      </c>
      <c r="B118" t="s">
        <v>78</v>
      </c>
      <c r="D118" s="943"/>
      <c r="E118" s="943"/>
    </row>
    <row r="120" spans="1:7" x14ac:dyDescent="0.25">
      <c r="A120" s="63" t="s">
        <v>2706</v>
      </c>
      <c r="B120" s="63"/>
      <c r="C120" s="925"/>
    </row>
    <row r="121" spans="1:7" x14ac:dyDescent="0.25">
      <c r="A121" s="63" t="s">
        <v>1795</v>
      </c>
      <c r="B121" s="63" t="s">
        <v>2707</v>
      </c>
      <c r="C121" s="925"/>
    </row>
    <row r="122" spans="1:7" ht="26.4" x14ac:dyDescent="0.25">
      <c r="A122" t="s">
        <v>2708</v>
      </c>
      <c r="B122" s="926" t="s">
        <v>2709</v>
      </c>
      <c r="C122" t="s">
        <v>2710</v>
      </c>
    </row>
    <row r="123" spans="1:7" ht="25.5" customHeight="1" x14ac:dyDescent="0.25">
      <c r="A123" t="s">
        <v>2711</v>
      </c>
      <c r="B123" s="926" t="s">
        <v>2712</v>
      </c>
      <c r="C123" t="s">
        <v>2710</v>
      </c>
      <c r="E123" s="926"/>
      <c r="F123" s="926"/>
      <c r="G123" s="926"/>
    </row>
    <row r="124" spans="1:7" ht="25.5" customHeight="1" x14ac:dyDescent="0.25">
      <c r="A124" t="s">
        <v>2713</v>
      </c>
      <c r="B124" s="926" t="s">
        <v>2773</v>
      </c>
      <c r="C124" t="s">
        <v>2710</v>
      </c>
      <c r="E124" s="926"/>
      <c r="F124" s="926"/>
      <c r="G124" s="926"/>
    </row>
    <row r="125" spans="1:7" ht="12.75" customHeight="1" x14ac:dyDescent="0.25">
      <c r="A125" t="s">
        <v>2714</v>
      </c>
      <c r="B125" s="926" t="s">
        <v>2715</v>
      </c>
      <c r="C125" t="s">
        <v>2716</v>
      </c>
      <c r="E125" s="926"/>
      <c r="F125" s="926"/>
      <c r="G125" s="926"/>
    </row>
    <row r="126" spans="1:7" ht="12.75" customHeight="1" x14ac:dyDescent="0.25">
      <c r="A126" t="s">
        <v>2717</v>
      </c>
      <c r="B126" s="926" t="s">
        <v>2718</v>
      </c>
      <c r="C126"/>
      <c r="E126" s="926"/>
      <c r="F126" s="926"/>
      <c r="G126" s="926"/>
    </row>
    <row r="127" spans="1:7" ht="25.5" customHeight="1" x14ac:dyDescent="0.25">
      <c r="A127" t="s">
        <v>2719</v>
      </c>
      <c r="B127" s="926" t="s">
        <v>2720</v>
      </c>
      <c r="C127" t="s">
        <v>2721</v>
      </c>
      <c r="E127" s="926"/>
      <c r="F127" s="926"/>
      <c r="G127" s="926"/>
    </row>
    <row r="128" spans="1:7" ht="12.75" customHeight="1" x14ac:dyDescent="0.25">
      <c r="A128" t="s">
        <v>2722</v>
      </c>
      <c r="B128" s="926" t="s">
        <v>2723</v>
      </c>
      <c r="C128"/>
      <c r="E128" s="926"/>
      <c r="F128" s="926"/>
      <c r="G128" s="926"/>
    </row>
    <row r="129" spans="1:7" ht="12.75" customHeight="1" x14ac:dyDescent="0.25">
      <c r="A129" t="s">
        <v>2724</v>
      </c>
      <c r="B129" s="926" t="s">
        <v>2774</v>
      </c>
      <c r="C129" t="s">
        <v>2725</v>
      </c>
      <c r="E129" s="926"/>
      <c r="F129" s="926"/>
      <c r="G129" s="926"/>
    </row>
    <row r="130" spans="1:7" ht="26.4" x14ac:dyDescent="0.25">
      <c r="A130" t="s">
        <v>2726</v>
      </c>
      <c r="B130" s="926" t="s">
        <v>2727</v>
      </c>
      <c r="C130" s="934" t="s">
        <v>2728</v>
      </c>
      <c r="E130" s="926"/>
      <c r="F130" s="926"/>
      <c r="G130" s="926"/>
    </row>
    <row r="131" spans="1:7" ht="24.75" customHeight="1" x14ac:dyDescent="0.25">
      <c r="A131" t="s">
        <v>2729</v>
      </c>
      <c r="B131" s="926" t="s">
        <v>2730</v>
      </c>
      <c r="C131" t="s">
        <v>2220</v>
      </c>
      <c r="D131" s="934"/>
      <c r="E131" s="926"/>
      <c r="F131" s="926"/>
      <c r="G131" s="926"/>
    </row>
    <row r="132" spans="1:7" ht="25.5" customHeight="1" x14ac:dyDescent="0.25">
      <c r="A132" t="s">
        <v>2731</v>
      </c>
      <c r="B132" s="926" t="s">
        <v>2732</v>
      </c>
      <c r="C132" t="s">
        <v>2220</v>
      </c>
      <c r="E132" s="926"/>
      <c r="F132" s="926"/>
      <c r="G132" s="926"/>
    </row>
    <row r="133" spans="1:7" ht="25.5" customHeight="1" x14ac:dyDescent="0.25">
      <c r="A133" t="s">
        <v>2733</v>
      </c>
      <c r="B133" s="926" t="s">
        <v>2802</v>
      </c>
      <c r="C133" t="s">
        <v>2734</v>
      </c>
      <c r="E133" s="926"/>
      <c r="F133" s="926"/>
      <c r="G133" s="926"/>
    </row>
    <row r="134" spans="1:7" ht="26.4" x14ac:dyDescent="0.25">
      <c r="A134" t="s">
        <v>2735</v>
      </c>
      <c r="B134" s="926" t="s">
        <v>2803</v>
      </c>
      <c r="C134" t="s">
        <v>2734</v>
      </c>
      <c r="E134" s="926"/>
      <c r="F134" s="926"/>
      <c r="G134" s="926"/>
    </row>
    <row r="135" spans="1:7" ht="25.5" customHeight="1" x14ac:dyDescent="0.25">
      <c r="A135" t="s">
        <v>2736</v>
      </c>
      <c r="B135" s="926" t="s">
        <v>2737</v>
      </c>
      <c r="C135"/>
      <c r="E135" s="926"/>
      <c r="F135" s="926"/>
      <c r="G135" s="926"/>
    </row>
    <row r="136" spans="1:7" ht="25.5" customHeight="1" x14ac:dyDescent="0.25">
      <c r="A136" t="s">
        <v>2738</v>
      </c>
      <c r="B136" s="926" t="s">
        <v>2739</v>
      </c>
      <c r="C136" s="934" t="s">
        <v>2740</v>
      </c>
      <c r="E136" s="926"/>
      <c r="F136" s="926"/>
      <c r="G136" s="926"/>
    </row>
    <row r="137" spans="1:7" ht="26.25" customHeight="1" x14ac:dyDescent="0.25">
      <c r="A137" t="s">
        <v>2741</v>
      </c>
      <c r="B137" s="926" t="s">
        <v>2742</v>
      </c>
      <c r="C137"/>
      <c r="D137" s="934"/>
      <c r="E137" s="926"/>
      <c r="F137" s="926"/>
      <c r="G137" s="926"/>
    </row>
    <row r="138" spans="1:7" ht="12.75" customHeight="1" x14ac:dyDescent="0.25">
      <c r="A138" s="928" t="s">
        <v>2777</v>
      </c>
      <c r="B138" s="929" t="s">
        <v>2778</v>
      </c>
      <c r="C138" s="928" t="s">
        <v>2220</v>
      </c>
      <c r="E138" s="926"/>
      <c r="F138" s="926"/>
      <c r="G138" s="926"/>
    </row>
    <row r="139" spans="1:7" s="928" customFormat="1" ht="24" customHeight="1" x14ac:dyDescent="0.25">
      <c r="A139" t="s">
        <v>2779</v>
      </c>
      <c r="B139" s="929" t="s">
        <v>2780</v>
      </c>
      <c r="C139" t="s">
        <v>2220</v>
      </c>
      <c r="E139" s="929"/>
      <c r="F139" s="929"/>
      <c r="G139" s="929"/>
    </row>
    <row r="140" spans="1:7" ht="24" customHeight="1" x14ac:dyDescent="0.25">
      <c r="A140" t="s">
        <v>2743</v>
      </c>
      <c r="B140" s="926" t="s">
        <v>2771</v>
      </c>
      <c r="C140"/>
      <c r="E140" s="926"/>
      <c r="F140" s="926"/>
      <c r="G140" s="926"/>
    </row>
    <row r="141" spans="1:7" ht="12.75" customHeight="1" x14ac:dyDescent="0.25">
      <c r="A141" t="s">
        <v>2744</v>
      </c>
      <c r="B141" s="926" t="s">
        <v>2775</v>
      </c>
      <c r="C141" t="s">
        <v>2745</v>
      </c>
      <c r="E141" s="926"/>
      <c r="F141" s="926"/>
      <c r="G141" s="926"/>
    </row>
    <row r="142" spans="1:7" ht="25.5" customHeight="1" x14ac:dyDescent="0.25">
      <c r="A142" t="s">
        <v>2746</v>
      </c>
      <c r="B142" s="926" t="s">
        <v>2747</v>
      </c>
      <c r="C142"/>
      <c r="E142" s="926"/>
      <c r="F142" s="926"/>
      <c r="G142" s="926"/>
    </row>
    <row r="143" spans="1:7" ht="12.75" customHeight="1" x14ac:dyDescent="0.25">
      <c r="A143" t="s">
        <v>2748</v>
      </c>
      <c r="B143" s="926" t="s">
        <v>2749</v>
      </c>
      <c r="C143" s="934" t="s">
        <v>2740</v>
      </c>
      <c r="E143" s="926"/>
      <c r="F143" s="926"/>
      <c r="G143" s="926"/>
    </row>
    <row r="144" spans="1:7" ht="12.75" customHeight="1" x14ac:dyDescent="0.25">
      <c r="A144" t="s">
        <v>2750</v>
      </c>
      <c r="B144" s="926" t="s">
        <v>2751</v>
      </c>
      <c r="C144"/>
      <c r="D144" s="934"/>
      <c r="E144" s="926"/>
      <c r="F144" s="926"/>
      <c r="G144" s="926"/>
    </row>
    <row r="145" spans="1:7" ht="12.75" customHeight="1" x14ac:dyDescent="0.25">
      <c r="A145" t="s">
        <v>2752</v>
      </c>
      <c r="B145" s="926" t="s">
        <v>2769</v>
      </c>
      <c r="C145" t="s">
        <v>2753</v>
      </c>
      <c r="E145" s="926"/>
      <c r="F145" s="926"/>
      <c r="G145" s="926"/>
    </row>
    <row r="146" spans="1:7" ht="12.75" customHeight="1" x14ac:dyDescent="0.25">
      <c r="A146" t="s">
        <v>2754</v>
      </c>
      <c r="B146" s="926" t="s">
        <v>2770</v>
      </c>
      <c r="C146"/>
      <c r="E146" s="926"/>
      <c r="F146" s="926"/>
      <c r="G146" s="926"/>
    </row>
    <row r="147" spans="1:7" ht="12.75" customHeight="1" x14ac:dyDescent="0.25">
      <c r="A147" t="s">
        <v>2755</v>
      </c>
      <c r="B147" s="926" t="s">
        <v>2756</v>
      </c>
      <c r="C147" t="s">
        <v>2716</v>
      </c>
      <c r="E147" s="926"/>
      <c r="F147" s="926"/>
      <c r="G147" s="926"/>
    </row>
    <row r="148" spans="1:7" ht="12.75" customHeight="1" x14ac:dyDescent="0.25">
      <c r="A148" t="s">
        <v>2757</v>
      </c>
      <c r="B148" s="926" t="s">
        <v>2758</v>
      </c>
      <c r="C148" t="s">
        <v>2721</v>
      </c>
      <c r="E148" s="926"/>
      <c r="F148" s="926"/>
      <c r="G148" s="926"/>
    </row>
    <row r="149" spans="1:7" ht="12.75" customHeight="1" x14ac:dyDescent="0.25">
      <c r="A149" t="s">
        <v>2759</v>
      </c>
      <c r="B149" s="926" t="s">
        <v>2760</v>
      </c>
      <c r="C149" s="62" t="s">
        <v>2761</v>
      </c>
      <c r="E149" s="926"/>
      <c r="F149" s="926"/>
      <c r="G149" s="926"/>
    </row>
    <row r="150" spans="1:7" ht="12.75" customHeight="1" x14ac:dyDescent="0.25">
      <c r="A150" t="s">
        <v>2762</v>
      </c>
      <c r="B150" s="926" t="s">
        <v>2763</v>
      </c>
      <c r="C150" t="s">
        <v>2764</v>
      </c>
      <c r="D150" s="62"/>
      <c r="E150" s="926"/>
      <c r="F150" s="926"/>
      <c r="G150" s="926"/>
    </row>
    <row r="151" spans="1:7" ht="12.75" customHeight="1" x14ac:dyDescent="0.25">
      <c r="A151" t="s">
        <v>2765</v>
      </c>
      <c r="B151" s="926" t="s">
        <v>2766</v>
      </c>
      <c r="C151" t="s">
        <v>2734</v>
      </c>
      <c r="E151" s="926"/>
      <c r="F151" s="926"/>
      <c r="G151" s="926"/>
    </row>
    <row r="152" spans="1:7" ht="12.75" customHeight="1" x14ac:dyDescent="0.25">
      <c r="C152" s="926"/>
      <c r="E152" s="926"/>
      <c r="F152" s="926"/>
      <c r="G152" s="926"/>
    </row>
    <row r="153" spans="1:7" x14ac:dyDescent="0.25">
      <c r="C153" s="925"/>
    </row>
    <row r="154" spans="1:7" x14ac:dyDescent="0.25">
      <c r="A154" t="s">
        <v>2767</v>
      </c>
      <c r="B154" t="s">
        <v>2805</v>
      </c>
      <c r="C154" s="925"/>
    </row>
    <row r="155" spans="1:7" x14ac:dyDescent="0.25">
      <c r="C155" s="925"/>
    </row>
    <row r="156" spans="1:7" ht="66" x14ac:dyDescent="0.25">
      <c r="A156" t="s">
        <v>2768</v>
      </c>
      <c r="B156" t="s">
        <v>2804</v>
      </c>
      <c r="C156" s="925"/>
    </row>
    <row r="157" spans="1:7" x14ac:dyDescent="0.25">
      <c r="C157" s="925"/>
    </row>
  </sheetData>
  <sheetProtection sheet="1" objects="1" scenarios="1"/>
  <sortState xmlns:xlrd2="http://schemas.microsoft.com/office/spreadsheetml/2017/richdata2" ref="A68:B115">
    <sortCondition ref="A67:A115"/>
  </sortState>
  <phoneticPr fontId="5"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37B03-F592-4AC8-A05D-1B91C4E35F53}">
  <sheetPr codeName="Feuil11"/>
  <dimension ref="A1:T109"/>
  <sheetViews>
    <sheetView topLeftCell="A37" workbookViewId="0">
      <selection activeCell="I53" sqref="I53"/>
    </sheetView>
  </sheetViews>
  <sheetFormatPr baseColWidth="10" defaultRowHeight="13.2" x14ac:dyDescent="0.25"/>
  <cols>
    <col min="1" max="1" width="9.5546875" customWidth="1"/>
    <col min="2" max="2" width="40.5546875" customWidth="1"/>
    <col min="3" max="3" width="5" customWidth="1"/>
    <col min="4" max="7" width="4.109375" customWidth="1"/>
    <col min="8" max="8" width="9.5546875" customWidth="1"/>
    <col min="9" max="11" width="6.88671875" customWidth="1"/>
    <col min="13" max="13" width="40" customWidth="1"/>
    <col min="14" max="14" width="43.88671875" customWidth="1"/>
  </cols>
  <sheetData>
    <row r="1" spans="1:20" ht="20.399999999999999" x14ac:dyDescent="0.25">
      <c r="A1" s="219" t="s">
        <v>1684</v>
      </c>
    </row>
    <row r="2" spans="1:20" ht="15" x14ac:dyDescent="0.25">
      <c r="A2" s="308" t="s">
        <v>1744</v>
      </c>
      <c r="I2" s="455" t="b">
        <v>1</v>
      </c>
    </row>
    <row r="3" spans="1:20" x14ac:dyDescent="0.25">
      <c r="A3" s="62"/>
    </row>
    <row r="5" spans="1:20" ht="39" customHeight="1" thickBot="1" x14ac:dyDescent="0.3">
      <c r="B5" s="256" t="s">
        <v>1685</v>
      </c>
      <c r="D5" s="997" t="s">
        <v>1688</v>
      </c>
      <c r="E5" s="997"/>
      <c r="F5" s="997"/>
      <c r="G5" s="997"/>
      <c r="H5" s="1097" t="s">
        <v>1686</v>
      </c>
      <c r="I5" s="1097"/>
      <c r="J5" s="1097"/>
      <c r="K5" s="1097"/>
    </row>
    <row r="6" spans="1:20" ht="16.5" customHeight="1" thickBot="1" x14ac:dyDescent="0.3">
      <c r="C6" s="256"/>
      <c r="D6" s="264" t="s">
        <v>76</v>
      </c>
      <c r="E6" s="264" t="s">
        <v>23</v>
      </c>
      <c r="F6" s="264" t="s">
        <v>34</v>
      </c>
      <c r="G6" s="264" t="s">
        <v>41</v>
      </c>
      <c r="H6" s="322" t="s">
        <v>76</v>
      </c>
      <c r="I6" s="322" t="s">
        <v>23</v>
      </c>
      <c r="J6" s="322" t="s">
        <v>34</v>
      </c>
      <c r="K6" s="322" t="s">
        <v>41</v>
      </c>
      <c r="L6" s="264" t="s">
        <v>73</v>
      </c>
      <c r="M6" s="316" t="s">
        <v>1687</v>
      </c>
      <c r="N6" s="317" t="s">
        <v>1691</v>
      </c>
      <c r="O6" s="318" t="s">
        <v>1692</v>
      </c>
      <c r="P6" s="323" t="s">
        <v>1699</v>
      </c>
      <c r="R6" s="313"/>
      <c r="S6" s="313"/>
      <c r="T6" s="313"/>
    </row>
    <row r="7" spans="1:20" ht="26.25" customHeight="1" thickBot="1" x14ac:dyDescent="0.3">
      <c r="A7" t="str">
        <f>IF(L7=1,1,"")</f>
        <v/>
      </c>
      <c r="B7" s="468" t="str">
        <f>Dap</f>
        <v>Données applicatives</v>
      </c>
      <c r="C7" s="468" t="s">
        <v>75</v>
      </c>
      <c r="D7" s="309" t="str">
        <f>IF(Actifs_primaires!F5&gt;$D$20,1,"")</f>
        <v/>
      </c>
      <c r="E7" s="309" t="str">
        <f>IF(Actifs_primaires!G5&gt;$D$20,1,"")</f>
        <v/>
      </c>
      <c r="F7" s="309" t="str">
        <f>IF(Actifs_primaires!H5&gt;$D$20,1,"")</f>
        <v/>
      </c>
      <c r="G7" s="309"/>
      <c r="H7" s="472">
        <f>IF(D7=1,IF(IndS=TRUE,COUNTIF(Scénarios!$BC$7:$BC$29,0),COUNTIF(Scénarios!$BB$7:$BB$29,1)),0)</f>
        <v>0</v>
      </c>
      <c r="I7" s="472">
        <f>IF(E7=1,IF(IndS=TRUE,COUNTIF(Scénarios!$BC$30:$BC$41,0),COUNTIF(Scénarios!$BB$30:$BB$41,1)),0)</f>
        <v>0</v>
      </c>
      <c r="J7" s="472">
        <f>IF(F7=1,IF(IndS=TRUE,COUNTIF(Scénarios!$BC$44:$BC$53,0),COUNTIF(Scénarios!$BB$44:$BB$53,1)),0)</f>
        <v>0</v>
      </c>
      <c r="K7" s="472"/>
      <c r="L7" s="264" t="str">
        <f>IF(SUM(H7:K7)&gt;0,1,"")</f>
        <v/>
      </c>
      <c r="M7" s="314" t="str">
        <f>IF(ISNA(VLOOKUP(1,A$7:B$18,2,FALSE))," ",VLOOKUP(1,A$7:B$18,2,FALSE))</f>
        <v xml:space="preserve"> </v>
      </c>
      <c r="N7" s="319">
        <f>Ana_risk!C8</f>
        <v>0</v>
      </c>
      <c r="O7" s="318" t="e">
        <f>IF(LEFT(VLOOKUP(N7,B7:C18,2,FALSE),1)="D",RIGHT(VLOOKUP(N7,B7:C18,2,FALSE),1),IF(LEFT(VLOOKUP(N7,B7:C18,2,FALSE),1)="S",7+RIGHT(VLOOKUP(N7,B7:C18,2,FALSE),1),10+RIGHT(VLOOKUP(N7,B7:C18,2,FALSE),1)))</f>
        <v>#N/A</v>
      </c>
      <c r="P7" s="318" t="e">
        <f>VLOOKUP(N7,B7:C18,2,FALSE)</f>
        <v>#N/A</v>
      </c>
      <c r="Q7" s="357" t="s">
        <v>1754</v>
      </c>
    </row>
    <row r="8" spans="1:20" ht="26.25" customHeight="1" x14ac:dyDescent="0.25">
      <c r="A8" t="str">
        <f>IF($L8=1,SUM($L$7:$L8),"")</f>
        <v/>
      </c>
      <c r="B8" s="468" t="str">
        <f>Dbu</f>
        <v>Données bureautiques</v>
      </c>
      <c r="C8" s="468" t="s">
        <v>38</v>
      </c>
      <c r="D8" s="309" t="str">
        <f>IF(Actifs_primaires!F6&gt;$D$20,1,"")</f>
        <v/>
      </c>
      <c r="E8" s="309" t="str">
        <f>IF(Actifs_primaires!G6&gt;$D$20,1,"")</f>
        <v/>
      </c>
      <c r="F8" s="309" t="str">
        <f>IF(Actifs_primaires!H6&gt;$D$20,1,"")</f>
        <v/>
      </c>
      <c r="G8" s="309"/>
      <c r="H8" s="472">
        <f>IF(D8=1,IF(IndS=TRUE,COUNTIF(Scénarios!$BC$55:$BC$73,0),COUNTIF(Scénarios!$BB$55:$BB$73,1)),0)</f>
        <v>0</v>
      </c>
      <c r="I8" s="472">
        <f>IF(E8=1,IF(IndS=TRUE,COUNTIF(Scénarios!$BC$74:$BC$82,0),COUNTIF(Scénarios!$BB$74:$BB$82,1)),0)</f>
        <v>0</v>
      </c>
      <c r="J8" s="472">
        <f>IF(F8=1,IF(IndS=TRUE,COUNTIF(Scénarios!$BC$83:$BC$97,0),COUNTIF(Scénarios!$BB$83:$BB$97,1)),0)</f>
        <v>0</v>
      </c>
      <c r="K8" s="472"/>
      <c r="L8" s="264" t="str">
        <f t="shared" ref="L8:L18" si="0">IF(SUM(H8:K8)&gt;0,1,"")</f>
        <v/>
      </c>
      <c r="M8" s="314" t="str">
        <f>IF(ISNA(VLOOKUP(2,A$7:B$18,2,FALSE))," ",VLOOKUP(2,A$7:B$18,2,FALSE))</f>
        <v xml:space="preserve"> </v>
      </c>
      <c r="Q8" s="366" t="str">
        <f>IF(OR(N7="",N7=" "),1,"")</f>
        <v/>
      </c>
      <c r="R8" t="s">
        <v>1750</v>
      </c>
      <c r="S8" s="62" t="s">
        <v>1751</v>
      </c>
    </row>
    <row r="9" spans="1:20" ht="26.25" customHeight="1" x14ac:dyDescent="0.25">
      <c r="A9" t="str">
        <f>IF($L9=1,SUM($L$7:$L9),"")</f>
        <v/>
      </c>
      <c r="B9" s="468" t="str">
        <f>Iei</f>
        <v>Informations écrites ou imprimées</v>
      </c>
      <c r="C9" s="468" t="s">
        <v>39</v>
      </c>
      <c r="D9" s="309" t="str">
        <f>IF(Actifs_primaires!F7&gt;$D$20,1,"")</f>
        <v/>
      </c>
      <c r="E9" s="309" t="str">
        <f>IF(Actifs_primaires!G7&gt;$D$20,1,"")</f>
        <v/>
      </c>
      <c r="F9" s="309" t="str">
        <f>IF(Actifs_primaires!H7&gt;$D$20,1,"")</f>
        <v/>
      </c>
      <c r="G9" s="309"/>
      <c r="H9" s="472">
        <f>IF(D9=1,IF(IndS=TRUE,COUNTIF(Scénarios!$BC$102:$BC$107,0),COUNTIF(Scénarios!$BB$102:$BB$107,1)),0)</f>
        <v>0</v>
      </c>
      <c r="I9" s="472">
        <f>IF(E9=1,IF(IndS=TRUE,COUNTIF(Scénarios!$BC$108:$BC$108,0),COUNTIF(Scénarios!$BB$108:$BB$108,1)),0)</f>
        <v>0</v>
      </c>
      <c r="J9" s="472">
        <f>IF(F9=1,IF(IndS=TRUE,COUNTIF(Scénarios!$BC$109:$BC$114,0),COUNTIF(Scénarios!$BB$109:$BB$114,1)),0)</f>
        <v>0</v>
      </c>
      <c r="K9" s="472"/>
      <c r="L9" s="264" t="str">
        <f t="shared" si="0"/>
        <v/>
      </c>
      <c r="M9" s="314" t="str">
        <f>IF(ISNA(VLOOKUP(3,A$7:B$18,2,FALSE))," ",VLOOKUP(3,A$7:B$18,2,FALSE))</f>
        <v xml:space="preserve"> </v>
      </c>
      <c r="Q9" s="366">
        <f>IF(ISNA(VLOOKUP(N7,M$7:M$18,2,FALSE)),1,"")</f>
        <v>1</v>
      </c>
      <c r="R9" t="s">
        <v>1752</v>
      </c>
      <c r="S9" s="62" t="s">
        <v>1753</v>
      </c>
    </row>
    <row r="10" spans="1:20" ht="26.25" customHeight="1" x14ac:dyDescent="0.25">
      <c r="A10" t="str">
        <f>IF($L10=1,SUM($L$7:$L10),"")</f>
        <v/>
      </c>
      <c r="B10" s="469" t="str">
        <f>Cep</f>
        <v>Courrier électronique ou postal</v>
      </c>
      <c r="C10" s="468" t="s">
        <v>70</v>
      </c>
      <c r="D10" s="309" t="str">
        <f>IF(Actifs_primaires!F8&gt;$D$20,1,"")</f>
        <v/>
      </c>
      <c r="E10" s="309" t="str">
        <f>IF(Actifs_primaires!G8&gt;$D$20,1,"")</f>
        <v/>
      </c>
      <c r="F10" s="309" t="str">
        <f>IF(Actifs_primaires!H8&gt;$D$20,1,"")</f>
        <v/>
      </c>
      <c r="G10" s="309"/>
      <c r="H10" s="472">
        <f>IF(D10=1,IF(IndS=TRUE,COUNTIF(Scénarios!$BC$116:$BC$121,0),COUNTIF(Scénarios!$BB$116:$BB$121,1)),0)</f>
        <v>0</v>
      </c>
      <c r="I10" s="472">
        <f>IF(E10=1,IF(IndS=TRUE,COUNTIF(Scénarios!$BC$122:$BC$124,0),COUNTIF(Scénarios!$BB$122:$BB$124,1)),0)</f>
        <v>0</v>
      </c>
      <c r="J10" s="472">
        <f>IF(F10=1,IF(IndS=TRUE,COUNTIF(Scénarios!$BC$125:$BC$127,0),COUNTIF(Scénarios!$BB$125:$BB$127,1)),0)</f>
        <v>0</v>
      </c>
      <c r="K10" s="472"/>
      <c r="L10" s="264" t="str">
        <f t="shared" si="0"/>
        <v/>
      </c>
      <c r="M10" s="314" t="str">
        <f>IF(ISNA(VLOOKUP(4,A$7:B$18,2,FALSE))," ",VLOOKUP(4,A$7:B$18,2,FALSE))</f>
        <v xml:space="preserve"> </v>
      </c>
      <c r="S10" s="62"/>
    </row>
    <row r="11" spans="1:20" ht="26.25" customHeight="1" x14ac:dyDescent="0.25">
      <c r="A11" t="str">
        <f>IF($L11=1,SUM($L$7:$L11),"")</f>
        <v/>
      </c>
      <c r="B11" s="469" t="str">
        <f>Arc</f>
        <v xml:space="preserve">Archives </v>
      </c>
      <c r="C11" s="468" t="s">
        <v>35</v>
      </c>
      <c r="D11" s="309" t="str">
        <f>IF(Actifs_primaires!F9&gt;$D$20,1,"")</f>
        <v/>
      </c>
      <c r="E11" s="309" t="str">
        <f>IF(Actifs_primaires!G9&gt;$D$20,1,"")</f>
        <v/>
      </c>
      <c r="F11" s="309" t="str">
        <f>IF(Actifs_primaires!H9&gt;$D$20,1,"")</f>
        <v/>
      </c>
      <c r="G11" s="309"/>
      <c r="H11" s="472">
        <f>IF(D11=1,IF(IndS=TRUE,COUNTIF(Scénarios!$BC$129:$BC$136,0),COUNTIF(Scénarios!$BB$129:$BB$136,1)),0)</f>
        <v>0</v>
      </c>
      <c r="I11" s="472"/>
      <c r="J11" s="472">
        <f>IF(F11=1,IF(IndS=TRUE,COUNTIF(Scénarios!$BC$137:$BC$140,0),COUNTIF(Scénarios!$BB$137:$BB$140,1)),0)</f>
        <v>0</v>
      </c>
      <c r="K11" s="472"/>
      <c r="L11" s="264" t="str">
        <f t="shared" si="0"/>
        <v/>
      </c>
      <c r="M11" s="314" t="str">
        <f>IF(ISNA(VLOOKUP(5,A$7:B$18,2,FALSE))," ",VLOOKUP(5,A$7:B$18,2,FALSE))</f>
        <v xml:space="preserve"> </v>
      </c>
      <c r="S11" s="62"/>
    </row>
    <row r="12" spans="1:20" ht="26.25" customHeight="1" x14ac:dyDescent="0.25">
      <c r="A12" t="str">
        <f>IF($L12=1,SUM($L$7:$L12),"")</f>
        <v/>
      </c>
      <c r="B12" s="469" t="str">
        <f>Dpu</f>
        <v xml:space="preserve">Données et informations publiées </v>
      </c>
      <c r="C12" s="468" t="s">
        <v>1133</v>
      </c>
      <c r="D12" s="309" t="str">
        <f>IF(Actifs_primaires!F10&gt;$D$20,1,"")</f>
        <v/>
      </c>
      <c r="E12" s="309" t="str">
        <f>IF(Actifs_primaires!G10&gt;$D$20,1,"")</f>
        <v/>
      </c>
      <c r="F12" s="309" t="str">
        <f>IF(Actifs_primaires!H10&gt;$D$20,1,"")</f>
        <v/>
      </c>
      <c r="G12" s="309"/>
      <c r="H12" s="472">
        <f>IF(D12=1,IF(IndS=TRUE,COUNTIF(Scénarios!$BC$142:$BC$142,0),COUNTIF(Scénarios!$BB$142:$BB$142,1)),0)</f>
        <v>0</v>
      </c>
      <c r="I12" s="472">
        <f>IF(E12=1,IF(IndS=TRUE,COUNTIF(Scénarios!$BC$143:$BC$143,0),COUNTIF(Scénarios!$BB$143:$BB$143,1)),0)</f>
        <v>0</v>
      </c>
      <c r="J12" s="472"/>
      <c r="K12" s="472"/>
      <c r="L12" s="264" t="str">
        <f t="shared" si="0"/>
        <v/>
      </c>
      <c r="M12" s="314" t="str">
        <f>IF(ISNA(VLOOKUP(6,A$7:B$18,2,FALSE))," ",VLOOKUP(6,A$7:B$18,2,FALSE))</f>
        <v xml:space="preserve"> </v>
      </c>
      <c r="S12" s="62"/>
    </row>
    <row r="13" spans="1:20" ht="26.25" customHeight="1" x14ac:dyDescent="0.25">
      <c r="A13" t="str">
        <f>IF($L13=1,SUM($L$7:$L13),"")</f>
        <v/>
      </c>
      <c r="B13" s="469" t="str">
        <f>Dex</f>
        <v>Données externalisées</v>
      </c>
      <c r="C13" s="468" t="s">
        <v>71</v>
      </c>
      <c r="D13" s="309" t="str">
        <f>IF(Actifs_primaires!F11&gt;$D$20,1,"")</f>
        <v/>
      </c>
      <c r="E13" s="309" t="str">
        <f>IF(Actifs_primaires!G11&gt;$D$20,1,"")</f>
        <v/>
      </c>
      <c r="F13" s="309" t="str">
        <f>IF(Actifs_primaires!H11&gt;$D$20,1,"")</f>
        <v/>
      </c>
      <c r="G13" s="309"/>
      <c r="H13" s="472">
        <f>IF(D13=1,IF(IndS=TRUE,COUNTIF(Scénarios!$BC$147:$BC$151,0),COUNTIF(Scénarios!$BB$147:$BB$151,1)),0)</f>
        <v>0</v>
      </c>
      <c r="I13" s="472">
        <f>IF(E13=1,IF(IndS=TRUE,COUNTIF(Scénarios!$BC$152:$BC$153,0),COUNTIF(Scénarios!$BB$152:$BB$153,1)),0)</f>
        <v>0</v>
      </c>
      <c r="J13" s="472">
        <f>IF(F13=1,IF(IndS=TRUE,COUNTIF(Scénarios!$BC$155:$BC$157,0),COUNTIF(Scénarios!$BB$155:$BB$157,1)),0)</f>
        <v>0</v>
      </c>
      <c r="K13" s="472"/>
      <c r="L13" s="264" t="str">
        <f t="shared" si="0"/>
        <v/>
      </c>
      <c r="M13" s="314" t="str">
        <f>IF(ISNA(VLOOKUP(7,A$7:B$18,2,FALSE))," ",VLOOKUP(7,A$7:B$18,2,FALSE))</f>
        <v xml:space="preserve"> </v>
      </c>
    </row>
    <row r="14" spans="1:20" ht="26.25" customHeight="1" x14ac:dyDescent="0.25">
      <c r="A14" t="str">
        <f>IF($L14=1,SUM($L$7:$L14),"")</f>
        <v/>
      </c>
      <c r="B14" s="470" t="str">
        <f>Sap</f>
        <v>Services applicatifs</v>
      </c>
      <c r="C14" s="468" t="s">
        <v>53</v>
      </c>
      <c r="D14" s="309" t="str">
        <f>IF(Actifs_primaires!F12&gt;$D$20,1,"")</f>
        <v/>
      </c>
      <c r="E14" s="309" t="str">
        <f>IF(Actifs_primaires!G12&gt;$D$20,1,"")</f>
        <v/>
      </c>
      <c r="F14" s="309" t="str">
        <f>IF(Actifs_primaires!H12&gt;$D$20,1,"")</f>
        <v/>
      </c>
      <c r="G14" s="309"/>
      <c r="H14" s="472">
        <f>IF(D14=1,IF(IndS=TRUE,COUNTIF(Scénarios!$BC$159:$BC$190,0),COUNTIF(Scénarios!$BB$159:$BB$190,1)),0)</f>
        <v>0</v>
      </c>
      <c r="I14" s="472">
        <f>IF(E14=1,IF(IndS=TRUE,COUNTIF(Scénarios!$BC$191:$BC$202,0),COUNTIF(Scénarios!$BB$191:$BB$202,1)),0)</f>
        <v>0</v>
      </c>
      <c r="J14" s="472">
        <f>IF(F14=1,IF(IndS=TRUE,COUNTIF(Scénarios!$BC$207:$BC$211,0),COUNTIF(Scénarios!$BB$207:$BB$211,1)),0)</f>
        <v>0</v>
      </c>
      <c r="K14" s="472"/>
      <c r="L14" s="264" t="str">
        <f t="shared" si="0"/>
        <v/>
      </c>
      <c r="M14" s="314" t="str">
        <f>IF(ISNA(VLOOKUP(8,A$7:B$18,2,FALSE))," ",VLOOKUP(8,A$7:B$18,2,FALSE))</f>
        <v xml:space="preserve"> </v>
      </c>
    </row>
    <row r="15" spans="1:20" ht="26.25" customHeight="1" x14ac:dyDescent="0.25">
      <c r="A15" t="str">
        <f>IF($L15=1,SUM($L$7:$L15),"")</f>
        <v/>
      </c>
      <c r="B15" s="471" t="str">
        <f>Sex</f>
        <v>Services externalisés</v>
      </c>
      <c r="C15" s="468" t="s">
        <v>69</v>
      </c>
      <c r="D15" s="309" t="str">
        <f>IF(Actifs_primaires!F13&gt;$D$20,1,"")</f>
        <v/>
      </c>
      <c r="E15" s="309" t="str">
        <f>IF(Actifs_primaires!G13&gt;$D$20,1,"")</f>
        <v/>
      </c>
      <c r="F15" s="309" t="str">
        <f>IF(Actifs_primaires!H13&gt;$D$20,1,"")</f>
        <v/>
      </c>
      <c r="G15" s="309"/>
      <c r="H15" s="472">
        <f>IF(D15=1,IF(IndS=TRUE,COUNTIF(Scénarios!$BC$216:$BC$217,0),COUNTIF(Scénarios!$BB$216:$BB$217,1)),0)</f>
        <v>0</v>
      </c>
      <c r="I15" s="472">
        <f>IF(E15=1,IF(IndS=TRUE,COUNTIF(Scénarios!$BC$218:$BC$218,0),COUNTIF(Scénarios!$BB$218:$BB$218,1)),0)</f>
        <v>0</v>
      </c>
      <c r="J15" s="472"/>
      <c r="K15" s="472"/>
      <c r="L15" s="264" t="str">
        <f t="shared" si="0"/>
        <v/>
      </c>
      <c r="M15" s="314" t="str">
        <f>IF(ISNA(VLOOKUP(9,A$7:B$18,2,FALSE))," ",VLOOKUP(9,A$7:B$18,2,FALSE))</f>
        <v xml:space="preserve"> </v>
      </c>
    </row>
    <row r="16" spans="1:20" ht="26.25" customHeight="1" x14ac:dyDescent="0.25">
      <c r="A16" t="str">
        <f>IF($L16=1,SUM($L$7:$L16),"")</f>
        <v/>
      </c>
      <c r="B16" s="471" t="str">
        <f>Spu</f>
        <v xml:space="preserve">Services de publication d'informations </v>
      </c>
      <c r="C16" s="468" t="s">
        <v>36</v>
      </c>
      <c r="D16" s="309" t="str">
        <f>IF(Actifs_primaires!F14&gt;$D$20,1,"")</f>
        <v/>
      </c>
      <c r="E16" s="309" t="str">
        <f>IF(Actifs_primaires!G14&gt;$D$20,1,"")</f>
        <v/>
      </c>
      <c r="F16" s="309" t="str">
        <f>IF(Actifs_primaires!H14&gt;$D$20,1,"")</f>
        <v/>
      </c>
      <c r="G16" s="309"/>
      <c r="H16" s="472">
        <f>IF(D16=1,IF(IndS=TRUE,COUNTIF(Scénarios!$BC$220:$BC$220,0),COUNTIF(Scénarios!$BB$220:$BB$220,1)),0)</f>
        <v>0</v>
      </c>
      <c r="I16" s="472">
        <f>IF(E16=1,IF(IndS=TRUE,COUNTIF(Scénarios!$BC$221:$BC$221,0),COUNTIF(Scénarios!$BB$221:$BB$221,1)),0)</f>
        <v>0</v>
      </c>
      <c r="J16" s="472"/>
      <c r="K16" s="472"/>
      <c r="L16" s="264" t="str">
        <f t="shared" si="0"/>
        <v/>
      </c>
      <c r="M16" s="314" t="str">
        <f>IF(ISNA(VLOOKUP(10,A$7:B$18,2,FALSE))," ",VLOOKUP(10,A$7:B$18,2,FALSE))</f>
        <v xml:space="preserve"> </v>
      </c>
    </row>
    <row r="17" spans="1:18" ht="26.25" customHeight="1" x14ac:dyDescent="0.25">
      <c r="A17" t="str">
        <f>IF($L17=1,SUM($L$7:$L17),"")</f>
        <v/>
      </c>
      <c r="B17" s="471" t="str">
        <f>Pgc</f>
        <v xml:space="preserve">Processus de gestion de la conformité </v>
      </c>
      <c r="C17" s="468" t="s">
        <v>1214</v>
      </c>
      <c r="D17" s="309" t="str">
        <f>IF(Actifs_primaires!F15&gt;$D$20,1,"")</f>
        <v/>
      </c>
      <c r="E17" s="309" t="str">
        <f>IF(Actifs_primaires!G15&gt;$D$20,1,"")</f>
        <v/>
      </c>
      <c r="F17" s="309" t="str">
        <f>IF(Actifs_primaires!H15&gt;$D$20,1,"")</f>
        <v/>
      </c>
      <c r="G17" s="309" t="str">
        <f>IF(Actifs_primaires!I15&gt;$D$20,1,"")</f>
        <v/>
      </c>
      <c r="H17" s="472"/>
      <c r="I17" s="472"/>
      <c r="J17" s="472"/>
      <c r="K17" s="472">
        <f>IF(G17=1,IF(IndS=TRUE,COUNTIF(Scénarios!$BC$226:$BC$228,0),COUNTIF(Scénarios!$BB$226:$BB$228,1)),0)</f>
        <v>0</v>
      </c>
      <c r="L17" s="264" t="str">
        <f t="shared" si="0"/>
        <v/>
      </c>
      <c r="M17" s="314" t="str">
        <f>IF(ISNA(VLOOKUP(11,A$7:B$18,2,FALSE))," ",VLOOKUP(11,A$7:B$18,2,FALSE))</f>
        <v xml:space="preserve"> </v>
      </c>
    </row>
    <row r="18" spans="1:18" ht="26.25" customHeight="1" thickBot="1" x14ac:dyDescent="0.3">
      <c r="A18" t="str">
        <f>IF($L18=1,SUM($L$7:$L18),"")</f>
        <v/>
      </c>
      <c r="B18" s="470" t="str">
        <f>Pgd</f>
        <v xml:space="preserve">Processus de gouvernance et de prise de décision </v>
      </c>
      <c r="C18" s="468" t="s">
        <v>1215</v>
      </c>
      <c r="D18" s="309" t="str">
        <f>IF(Actifs_primaires!F16&gt;$D$20,1,"")</f>
        <v/>
      </c>
      <c r="E18" s="309" t="str">
        <f>IF(Actifs_primaires!G16&gt;$D$20,1,"")</f>
        <v/>
      </c>
      <c r="F18" s="309" t="str">
        <f>IF(Actifs_primaires!H16&gt;$D$20,1,"")</f>
        <v/>
      </c>
      <c r="G18" s="309" t="str">
        <f>IF(Actifs_primaires!I16&gt;$D$20,1,"")</f>
        <v/>
      </c>
      <c r="H18" s="472"/>
      <c r="I18" s="472"/>
      <c r="J18" s="472"/>
      <c r="K18" s="472">
        <f>IF(G18=1,IF(IndS=TRUE,COUNTIF(Scénarios!$BC$230:$BC$232,0),COUNTIF(Scénarios!$BB$230:$BB$232,1)),0)</f>
        <v>0</v>
      </c>
      <c r="L18" s="264" t="str">
        <f t="shared" si="0"/>
        <v/>
      </c>
      <c r="M18" s="315" t="str">
        <f>IF(ISNA(VLOOKUP(12,A$7:B$18,2,FALSE))," ",VLOOKUP(12,A$7:B$18,2,FALSE))</f>
        <v xml:space="preserve"> </v>
      </c>
    </row>
    <row r="19" spans="1:18" x14ac:dyDescent="0.25">
      <c r="H19" s="62" t="s">
        <v>1749</v>
      </c>
      <c r="L19" s="357">
        <f>SUM(L7:L18)</f>
        <v>0</v>
      </c>
    </row>
    <row r="20" spans="1:18" x14ac:dyDescent="0.25">
      <c r="B20" s="312" t="s">
        <v>1689</v>
      </c>
      <c r="D20">
        <v>0</v>
      </c>
      <c r="K20">
        <f>SUM(Tabscenanal)</f>
        <v>0</v>
      </c>
    </row>
    <row r="21" spans="1:18" x14ac:dyDescent="0.25">
      <c r="B21" s="312"/>
    </row>
    <row r="22" spans="1:18" ht="13.8" thickBot="1" x14ac:dyDescent="0.3"/>
    <row r="23" spans="1:18" ht="21.75" customHeight="1" thickBot="1" x14ac:dyDescent="0.3">
      <c r="B23" s="63" t="s">
        <v>1379</v>
      </c>
      <c r="M23" s="327" t="s">
        <v>1700</v>
      </c>
      <c r="N23" s="328" t="s">
        <v>1704</v>
      </c>
      <c r="O23" s="328" t="s">
        <v>73</v>
      </c>
    </row>
    <row r="24" spans="1:18" ht="21" customHeight="1" thickBot="1" x14ac:dyDescent="0.3">
      <c r="A24" t="e" cm="1">
        <f t="array" ref="A24">IF(AND(ISNUMBER(INDEX(Tabscenanal,$O$7,1)),INDEX(Tabscenanal,$O$7,1)&gt;0),1,"")</f>
        <v>#N/A</v>
      </c>
      <c r="B24" s="320" t="s">
        <v>1576</v>
      </c>
      <c r="C24" s="322" t="s">
        <v>76</v>
      </c>
      <c r="M24" s="326" t="str">
        <f>IF(ISNA(VLOOKUP(1,A$24:B$27,2,FALSE))," ",VLOOKUP(1,A$24:B$27,2,FALSE))</f>
        <v xml:space="preserve"> </v>
      </c>
      <c r="N24" s="319">
        <f>Ana_risk!C10</f>
        <v>0</v>
      </c>
      <c r="O24" s="318" t="e">
        <f>VLOOKUP(N24,B24:C27,2,FALSE)</f>
        <v>#N/A</v>
      </c>
      <c r="P24" s="357" t="s">
        <v>1754</v>
      </c>
    </row>
    <row r="25" spans="1:18" ht="21" customHeight="1" x14ac:dyDescent="0.25">
      <c r="A25" t="e" cm="1">
        <f t="array" ref="A25">IF(AND(ISNUMBER(INDEX(Tabscenanal,$O$7,2)),INDEX(Tabscenanal,$O$7,2)&gt;0),1+COUNT(A$24:A24),"")</f>
        <v>#N/A</v>
      </c>
      <c r="B25" s="320" t="s">
        <v>1701</v>
      </c>
      <c r="C25" s="322" t="s">
        <v>23</v>
      </c>
      <c r="M25" s="324" t="str">
        <f>IF(ISNA(VLOOKUP(2,A$24:B$27,2,FALSE))," ",VLOOKUP(2,A$24:B$27,2,FALSE))</f>
        <v xml:space="preserve"> </v>
      </c>
      <c r="N25" s="333"/>
      <c r="O25" s="264" t="e">
        <f>IF(O24="D",1,IF(O24="I",2,IF(O24="C",3,4)))</f>
        <v>#N/A</v>
      </c>
      <c r="P25" s="366" t="str">
        <f>IF(OR(N24="",N24=" "),1,"")</f>
        <v/>
      </c>
      <c r="Q25" t="s">
        <v>1755</v>
      </c>
      <c r="R25" s="62" t="s">
        <v>1756</v>
      </c>
    </row>
    <row r="26" spans="1:18" ht="21" customHeight="1" x14ac:dyDescent="0.25">
      <c r="A26" t="e" cm="1">
        <f t="array" ref="A26">IF(AND(ISNUMBER(INDEX(Tabscenanal,$O$7,3)),INDEX(Tabscenanal,$O$7,3)&gt;0),1+COUNT(A$24:A25),"")</f>
        <v>#N/A</v>
      </c>
      <c r="B26" s="320" t="s">
        <v>1702</v>
      </c>
      <c r="C26" s="322" t="s">
        <v>34</v>
      </c>
      <c r="M26" s="324" t="str">
        <f>IF(ISNA(VLOOKUP(3,A$24:B$27,2,FALSE))," ",VLOOKUP(3,A$24:B$27,2,FALSE))</f>
        <v xml:space="preserve"> </v>
      </c>
      <c r="P26" s="366">
        <f>IF(ISNA(VLOOKUP(N24,M24:M27,2,FALSE)),1,"")</f>
        <v>1</v>
      </c>
      <c r="Q26" t="s">
        <v>1758</v>
      </c>
      <c r="R26" s="62" t="s">
        <v>1757</v>
      </c>
    </row>
    <row r="27" spans="1:18" ht="21" customHeight="1" thickBot="1" x14ac:dyDescent="0.3">
      <c r="A27" t="e" cm="1">
        <f t="array" ref="A27">IF(AND(ISNUMBER(INDEX(Tabscenanal,$O$7,4)),INDEX(Tabscenanal,$O$7,4)&gt;0),1+COUNT(A$24:A26),"")</f>
        <v>#N/A</v>
      </c>
      <c r="B27" s="320" t="s">
        <v>1703</v>
      </c>
      <c r="C27" s="322" t="s">
        <v>41</v>
      </c>
      <c r="M27" s="325" t="str">
        <f>IF(ISNA(VLOOKUP(4,A$24:B$27,2,FALSE))," ",VLOOKUP(4,A$24:B$27,2,FALSE))</f>
        <v xml:space="preserve"> </v>
      </c>
      <c r="N27" s="265"/>
    </row>
    <row r="29" spans="1:18" ht="13.8" thickBot="1" x14ac:dyDescent="0.3"/>
    <row r="30" spans="1:18" ht="24.75" customHeight="1" thickBot="1" x14ac:dyDescent="0.3">
      <c r="B30" s="256" t="s">
        <v>1690</v>
      </c>
      <c r="D30" s="62"/>
      <c r="M30" s="329" t="s">
        <v>1709</v>
      </c>
      <c r="N30" s="328" t="s">
        <v>1710</v>
      </c>
      <c r="O30" s="319" t="s">
        <v>1711</v>
      </c>
    </row>
    <row r="31" spans="1:18" ht="26.25" customHeight="1" thickBot="1" x14ac:dyDescent="0.3">
      <c r="A31" t="str">
        <f>IF(COUNTIF(Scénarios!BD$7:BD$232,1)&gt;0,1,"")</f>
        <v/>
      </c>
      <c r="B31" s="321" t="e">
        <f>IF(NOT(INDEX(TabPS,2,$O$7)=""),INDEX(TabPS,2,$O$7),"")</f>
        <v>#N/A</v>
      </c>
      <c r="C31" s="322">
        <v>1</v>
      </c>
      <c r="M31" s="330" t="str">
        <f>IF(ISNA(VLOOKUP(1,A$31:B$36,2,FALSE))," ",VLOOKUP(1,A$31:B$36,2,FALSE))</f>
        <v xml:space="preserve"> </v>
      </c>
      <c r="N31" s="319">
        <f>Ana_risk!C12</f>
        <v>0</v>
      </c>
      <c r="O31" s="318" t="e">
        <f>VLOOKUP(N31,B31:C36,2,FALSE)</f>
        <v>#N/A</v>
      </c>
      <c r="P31" s="357" t="s">
        <v>1754</v>
      </c>
    </row>
    <row r="32" spans="1:18" ht="26.25" customHeight="1" x14ac:dyDescent="0.25">
      <c r="A32" t="str">
        <f>IF(COUNTIF(Scénarios!BE$7:BE$232,1)&gt;0,1+COUNT(A$31:A31),"")</f>
        <v/>
      </c>
      <c r="B32" s="321" t="e">
        <f>IF(NOT(INDEX(TabPS,3,$O$7)=""),INDEX(TabPS,3,$O$7),"")</f>
        <v>#N/A</v>
      </c>
      <c r="C32" s="322">
        <v>2</v>
      </c>
      <c r="M32" s="331" t="str">
        <f>IF(ISNA(VLOOKUP(2,A$31:B$36,2,FALSE))," ",VLOOKUP(2,A$31:B$36,2,FALSE))</f>
        <v xml:space="preserve"> </v>
      </c>
      <c r="P32" s="366" t="str">
        <f>IF(OR(N31="",N31=" "),1,"")</f>
        <v/>
      </c>
      <c r="Q32" t="s">
        <v>1759</v>
      </c>
      <c r="R32" s="62" t="s">
        <v>1760</v>
      </c>
    </row>
    <row r="33" spans="1:18" ht="26.25" customHeight="1" x14ac:dyDescent="0.25">
      <c r="A33" t="str">
        <f>IF(COUNTIF(Scénarios!BF$7:BF$232,1)&gt;0,1+COUNT(A$31:A32),"")</f>
        <v/>
      </c>
      <c r="B33" s="321" t="e">
        <f>IF(NOT(INDEX(TabPS,4,$O$7)=""),INDEX(TabPS,4,$O$7),"")</f>
        <v>#N/A</v>
      </c>
      <c r="C33" s="322">
        <v>3</v>
      </c>
      <c r="M33" s="331" t="str">
        <f>IF(ISNA(VLOOKUP(3,A$31:B$36,2,FALSE))," ",VLOOKUP(3,A$31:B$36,2,FALSE))</f>
        <v xml:space="preserve"> </v>
      </c>
      <c r="P33" s="366">
        <f>IF(ISNA(VLOOKUP(N31,M31:M34,2,FALSE)),1,"")</f>
        <v>1</v>
      </c>
      <c r="Q33" t="s">
        <v>1762</v>
      </c>
      <c r="R33" s="62" t="s">
        <v>1761</v>
      </c>
    </row>
    <row r="34" spans="1:18" ht="26.25" customHeight="1" x14ac:dyDescent="0.25">
      <c r="A34" t="str">
        <f>IF(COUNTIF(Scénarios!BG$7:BG$232,1)&gt;0,1+COUNT(A$31:A33),"")</f>
        <v/>
      </c>
      <c r="B34" s="321" t="e">
        <f>IF(NOT(INDEX(TabPS,5,$O$7)=""),INDEX(TabPS,5,$O$7),"")</f>
        <v>#N/A</v>
      </c>
      <c r="C34" s="322">
        <v>4</v>
      </c>
      <c r="M34" s="331" t="str">
        <f>IF(ISNA(VLOOKUP(4,A$31:B$36,2,FALSE))," ",VLOOKUP(4,A$31:B$36,2,FALSE))</f>
        <v xml:space="preserve"> </v>
      </c>
    </row>
    <row r="35" spans="1:18" ht="26.25" customHeight="1" x14ac:dyDescent="0.25">
      <c r="A35" t="str">
        <f>IF(COUNTIF(Scénarios!BH$7:BH$232,1)&gt;0,1+COUNT(A$31:A34),"")</f>
        <v/>
      </c>
      <c r="B35" s="321" t="e">
        <f>IF(NOT(INDEX(TabPS,6,$O$7)=""),INDEX(TabPS,6,$O$7),"")</f>
        <v>#N/A</v>
      </c>
      <c r="C35" s="322">
        <v>5</v>
      </c>
      <c r="M35" s="331" t="str">
        <f>IF(ISNA(VLOOKUP(5,A$31:B$36,2,FALSE))," ",VLOOKUP(5,A$31:B$36,2,FALSE))</f>
        <v xml:space="preserve"> </v>
      </c>
    </row>
    <row r="36" spans="1:18" ht="26.25" customHeight="1" thickBot="1" x14ac:dyDescent="0.3">
      <c r="A36" t="str">
        <f>IF(COUNTIF(Scénarios!BI$7:BI$232,1)&gt;0,1+COUNT(A$31:A35),"")</f>
        <v/>
      </c>
      <c r="B36" s="321" t="e">
        <f>IF(NOT(INDEX(TabPS,7,$O$7)=""),INDEX(TabPS,7,$O$7),"")</f>
        <v>#N/A</v>
      </c>
      <c r="C36" s="322">
        <v>6</v>
      </c>
      <c r="M36" s="332" t="str">
        <f>IF(ISNA(VLOOKUP(6,A$31:B$36,2,FALSE))," ",VLOOKUP(6,A$31:B$36,2,FALSE))</f>
        <v xml:space="preserve"> </v>
      </c>
    </row>
    <row r="38" spans="1:18" ht="13.8" thickBot="1" x14ac:dyDescent="0.3"/>
    <row r="39" spans="1:18" ht="20.25" customHeight="1" thickBot="1" x14ac:dyDescent="0.3">
      <c r="B39" s="335" t="s">
        <v>1715</v>
      </c>
      <c r="M39" s="344" t="s">
        <v>1716</v>
      </c>
      <c r="N39" s="328" t="s">
        <v>1717</v>
      </c>
      <c r="O39" s="319" t="s">
        <v>1719</v>
      </c>
    </row>
    <row r="40" spans="1:18" ht="19.5" customHeight="1" thickBot="1" x14ac:dyDescent="0.3">
      <c r="A40" t="str">
        <f>IF(COUNTIF(Scénarios!BJ$7:BJ$232,1)&gt;0,1,"")</f>
        <v/>
      </c>
      <c r="B40" s="321" t="e">
        <f>INDEX(Tab_dom,4,INDEX(Tab_ad_dom,$O$7,$O$31))</f>
        <v>#N/A</v>
      </c>
      <c r="C40" s="322">
        <v>1</v>
      </c>
      <c r="M40" s="345" t="str">
        <f>IF(ISNA(VLOOKUP(1,A40:B$45,2,FALSE))," ",VLOOKUP(1,A$40:B$45,2,FALSE))</f>
        <v xml:space="preserve"> </v>
      </c>
      <c r="N40" s="319">
        <f>Ana_risk!C17</f>
        <v>0</v>
      </c>
      <c r="O40" s="318" t="e">
        <f>VLOOKUP(N40,B40:C45,2,FALSE)</f>
        <v>#N/A</v>
      </c>
      <c r="P40" s="357" t="s">
        <v>1754</v>
      </c>
    </row>
    <row r="41" spans="1:18" ht="19.5" customHeight="1" x14ac:dyDescent="0.25">
      <c r="A41" t="str">
        <f>IF(COUNTIF(Scénarios!BK$7:BK$232,1)&gt;0,1+COUNT(A$40:A40),"")</f>
        <v/>
      </c>
      <c r="B41" s="321" t="e">
        <f>IF(INDEX(Tab_dom,5,INDEX(Tab_ad_dom,$O$7,$O$31))="","",INDEX(Tab_dom,5,INDEX(Tab_ad_dom,$O$7,$O$31)))</f>
        <v>#N/A</v>
      </c>
      <c r="C41" s="322">
        <v>2</v>
      </c>
      <c r="M41" s="346" t="str">
        <f>IF(ISNA(VLOOKUP(2,A41:B$45,2,FALSE))," ",VLOOKUP(2,A$40:B$45,2,FALSE))</f>
        <v xml:space="preserve"> </v>
      </c>
      <c r="P41" s="366" t="str">
        <f>IF(OR(N40="",N40=" "),1,"")</f>
        <v/>
      </c>
      <c r="Q41" t="s">
        <v>1763</v>
      </c>
      <c r="R41" s="62" t="s">
        <v>1765</v>
      </c>
    </row>
    <row r="42" spans="1:18" ht="19.5" customHeight="1" x14ac:dyDescent="0.25">
      <c r="A42" t="str">
        <f>IF(COUNTIF(Scénarios!BL$7:BL$232,1)&gt;0,1+COUNT(A$40:A41),"")</f>
        <v/>
      </c>
      <c r="B42" s="321" t="e">
        <f>IF(INDEX(Tab_dom,6,INDEX(Tab_ad_dom,$O$7,$O$31))="","",INDEX(Tab_dom,6,INDEX(Tab_ad_dom,$O$7,$O$31)))</f>
        <v>#N/A</v>
      </c>
      <c r="C42" s="322">
        <v>3</v>
      </c>
      <c r="M42" s="346" t="str">
        <f>IF(ISNA(VLOOKUP(3,A42:B$45,2,FALSE))," ",VLOOKUP(3,A$40:B$45,2,FALSE))</f>
        <v xml:space="preserve"> </v>
      </c>
      <c r="P42" s="366">
        <f>IF(ISNA(VLOOKUP(N40,M40:M45,2,FALSE)),1,"")</f>
        <v>1</v>
      </c>
      <c r="Q42" t="s">
        <v>1764</v>
      </c>
      <c r="R42" s="62" t="s">
        <v>1766</v>
      </c>
    </row>
    <row r="43" spans="1:18" ht="19.5" customHeight="1" x14ac:dyDescent="0.25">
      <c r="A43" t="str">
        <f>IF(COUNTIF(Scénarios!BM$7:BM$232,1)&gt;0,1+COUNT(A$40:A42),"")</f>
        <v/>
      </c>
      <c r="B43" s="321" t="e">
        <f>IF(INDEX(Tab_dom,7,INDEX(Tab_ad_dom,$O$7,$O$31))="","",INDEX(Tab_dom,7,INDEX(Tab_ad_dom,$O$7,$O$31)))</f>
        <v>#N/A</v>
      </c>
      <c r="C43" s="322">
        <v>4</v>
      </c>
      <c r="M43" s="346" t="str">
        <f>IF(ISNA(VLOOKUP(4,A43:B$45,2,FALSE))," ",VLOOKUP(4,A$40:B$45,2,FALSE))</f>
        <v xml:space="preserve"> </v>
      </c>
    </row>
    <row r="44" spans="1:18" ht="19.5" customHeight="1" x14ac:dyDescent="0.25">
      <c r="A44" t="str">
        <f>IF(COUNTIF(Scénarios!BN$7:BN$232,1)&gt;0,1+COUNT(A$40:A43),"")</f>
        <v/>
      </c>
      <c r="B44" s="321" t="e">
        <f>IF(INDEX(Tab_dom,8,INDEX(Tab_ad_dom,$O$7,$O$31))="","",INDEX(Tab_dom,8,INDEX(Tab_ad_dom,$O$7,$O$31)))</f>
        <v>#N/A</v>
      </c>
      <c r="C44" s="322">
        <v>5</v>
      </c>
      <c r="M44" s="346" t="str">
        <f>IF(ISNA(VLOOKUP(5,A44:B$45,2,FALSE))," ",VLOOKUP(5,A$40:B$45,2,FALSE))</f>
        <v xml:space="preserve"> </v>
      </c>
    </row>
    <row r="45" spans="1:18" ht="19.5" customHeight="1" thickBot="1" x14ac:dyDescent="0.3">
      <c r="A45" t="str">
        <f>IF(COUNTIF(Scénarios!BO$7:BO$232,1)&gt;0,1+COUNT(A$40:A44),"")</f>
        <v/>
      </c>
      <c r="B45" s="321" t="e">
        <f>IF(INDEX(Tab_dom,9,INDEX(Tab_ad_dom,$O$7,$O$31))="","",INDEX(Tab_dom,9,INDEX(Tab_ad_dom,$O$7,$O$31)))</f>
        <v>#N/A</v>
      </c>
      <c r="C45" s="322">
        <v>6</v>
      </c>
      <c r="M45" s="347" t="str">
        <f>IF(ISNA(VLOOKUP(6,A45:B$45,2,FALSE))," ",VLOOKUP(6,A$40:B$45,2,FALSE))</f>
        <v xml:space="preserve"> </v>
      </c>
    </row>
    <row r="48" spans="1:18" x14ac:dyDescent="0.25">
      <c r="B48" s="256" t="s">
        <v>1460</v>
      </c>
    </row>
    <row r="49" spans="1:17" ht="13.8" x14ac:dyDescent="0.25">
      <c r="B49" s="257" t="s">
        <v>1461</v>
      </c>
      <c r="H49" t="e">
        <f>INDEX(Tab_ad_dom,$O$7,$O$31)</f>
        <v>#N/A</v>
      </c>
    </row>
    <row r="50" spans="1:17" ht="26.4" x14ac:dyDescent="0.25">
      <c r="B50" s="257" t="s">
        <v>1412</v>
      </c>
      <c r="H50" t="e" cm="1">
        <f t="array" ref="H50">INDEX(Tab_scen,O$40,H$49)</f>
        <v>#N/A</v>
      </c>
      <c r="J50" s="62" t="s">
        <v>2211</v>
      </c>
      <c r="N50" t="s">
        <v>2261</v>
      </c>
    </row>
    <row r="51" spans="1:17" ht="13.8" x14ac:dyDescent="0.25">
      <c r="B51" s="257" t="s">
        <v>2299</v>
      </c>
      <c r="H51" t="e" cm="1">
        <f t="array" ref="H51">INDEX(Tab_nb_event,O$40,H$49)</f>
        <v>#N/A</v>
      </c>
      <c r="J51" s="62" t="s">
        <v>1721</v>
      </c>
    </row>
    <row r="52" spans="1:17" ht="26.4" x14ac:dyDescent="0.25">
      <c r="H52" t="s">
        <v>2317</v>
      </c>
      <c r="I52" t="s">
        <v>2318</v>
      </c>
      <c r="J52" s="62"/>
    </row>
    <row r="53" spans="1:17" ht="13.8" x14ac:dyDescent="0.25">
      <c r="B53" s="257" t="s">
        <v>2319</v>
      </c>
      <c r="H53" s="898" t="e" cm="1">
        <f t="array" ref="H53">INDEX(Tab_nb_event,9+$O$40,$H$49)</f>
        <v>#N/A</v>
      </c>
      <c r="I53" s="899" t="e">
        <f>H50</f>
        <v>#N/A</v>
      </c>
      <c r="J53" s="62" t="s">
        <v>2325</v>
      </c>
    </row>
    <row r="54" spans="1:17" ht="13.8" x14ac:dyDescent="0.25">
      <c r="B54" s="257" t="s">
        <v>2320</v>
      </c>
      <c r="H54" s="900" t="e" cm="1">
        <f t="array" ref="H54">INDEX(Tab_nb_event,17+$O$40,$H$49)</f>
        <v>#N/A</v>
      </c>
      <c r="I54" s="901" t="e">
        <f>IF($H$53&lt;$H$51,I$53+$H$53,"")</f>
        <v>#N/A</v>
      </c>
      <c r="J54" s="62"/>
    </row>
    <row r="55" spans="1:17" ht="13.8" x14ac:dyDescent="0.25">
      <c r="B55" s="257" t="s">
        <v>2321</v>
      </c>
      <c r="H55" s="900" t="e" cm="1">
        <f t="array" ref="H55">INDEX(Tab_nb_event,25+$O$40,$H$49)</f>
        <v>#N/A</v>
      </c>
      <c r="I55" s="901" t="e">
        <f>IF($H$53+$H$54&lt;$H$51,I54+$H54,"")</f>
        <v>#N/A</v>
      </c>
      <c r="J55" s="62"/>
    </row>
    <row r="56" spans="1:17" ht="12.75" customHeight="1" x14ac:dyDescent="0.25">
      <c r="B56" s="257" t="s">
        <v>2322</v>
      </c>
      <c r="H56" s="900" t="e" cm="1">
        <f t="array" ref="H56">INDEX(Tab_nb_event,33+$O$40,$H$49)</f>
        <v>#N/A</v>
      </c>
      <c r="I56" s="901" t="e">
        <f>IF($H$53+$H$54+H55&lt;$H$51,I55+$H55,"")</f>
        <v>#N/A</v>
      </c>
      <c r="J56" s="62"/>
    </row>
    <row r="57" spans="1:17" ht="6" customHeight="1" x14ac:dyDescent="0.25">
      <c r="B57" s="257"/>
      <c r="H57" s="902"/>
      <c r="I57" s="903"/>
      <c r="J57" s="62"/>
    </row>
    <row r="58" spans="1:17" ht="6" customHeight="1" x14ac:dyDescent="0.25">
      <c r="B58" s="257"/>
      <c r="J58" s="62"/>
    </row>
    <row r="59" spans="1:17" ht="13.8" thickBot="1" x14ac:dyDescent="0.3"/>
    <row r="60" spans="1:17" ht="20.25" customHeight="1" thickBot="1" x14ac:dyDescent="0.3">
      <c r="B60" s="349" t="s">
        <v>1722</v>
      </c>
      <c r="M60" s="350" t="s">
        <v>1723</v>
      </c>
      <c r="N60" s="328" t="s">
        <v>1724</v>
      </c>
      <c r="O60" s="319" t="s">
        <v>1725</v>
      </c>
      <c r="P60" s="319" t="s">
        <v>2324</v>
      </c>
      <c r="Q60" t="s">
        <v>1708</v>
      </c>
    </row>
    <row r="61" spans="1:17" ht="25.5" customHeight="1" thickBot="1" x14ac:dyDescent="0.3">
      <c r="A61" t="str">
        <f>IF(COUNTIF(Scénarios!BP$7:BP$232,1)&gt;0,1,"")</f>
        <v/>
      </c>
      <c r="B61" s="320" t="e" cm="1">
        <f t="array" ref="B61">INDEX(Scen,I53,8)</f>
        <v>#N/A</v>
      </c>
      <c r="C61" s="1098" t="str">
        <f>IF(ISNA(VLOOKUP(B61,Tabexpo,2,FALSE)),"",VLOOKUP(B61,Tabexpo,2,FALSE))</f>
        <v/>
      </c>
      <c r="D61" s="1099"/>
      <c r="E61" s="1099"/>
      <c r="F61" s="1099"/>
      <c r="G61" s="1099"/>
      <c r="H61" s="1099"/>
      <c r="I61" s="1099"/>
      <c r="J61" s="1100"/>
      <c r="K61" s="348">
        <v>1</v>
      </c>
      <c r="M61" s="351" t="str">
        <f>IF(ISNA(VLOOKUP(1,A$61:C65,3,FALSE))," ",VLOOKUP(1,A$61:C$65,3,FALSE))</f>
        <v xml:space="preserve"> </v>
      </c>
      <c r="N61" s="319">
        <f>Ana_risk!C19</f>
        <v>0</v>
      </c>
      <c r="O61" s="318" t="e">
        <f>VLOOKUP(N61,C61:K66,9,FALSE)</f>
        <v>#N/A</v>
      </c>
      <c r="P61" s="319" t="e" cm="1">
        <f t="array" ref="P61">INDEX(Tab_cod_event,O61)</f>
        <v>#N/A</v>
      </c>
    </row>
    <row r="62" spans="1:17" ht="25.5" customHeight="1" x14ac:dyDescent="0.25">
      <c r="A62" t="str">
        <f>IF(COUNTIF(Scénarios!BQ$7:BQ$232,1)&gt;0,1+COUNT(A$61:A61),"")</f>
        <v/>
      </c>
      <c r="B62" s="320" t="str" cm="1">
        <f t="array" ref="B62">IF(ISERROR(INDEX(Scen,I54,8)),"",INDEX(Scen,I54,8))</f>
        <v/>
      </c>
      <c r="C62" s="1098" t="str">
        <f>IF(ISNA(VLOOKUP(B62,Tabexpo,2,FALSE)),"",VLOOKUP(B62,Tabexpo,2,FALSE))</f>
        <v/>
      </c>
      <c r="D62" s="1099"/>
      <c r="E62" s="1099"/>
      <c r="F62" s="1099"/>
      <c r="G62" s="1099"/>
      <c r="H62" s="1099"/>
      <c r="I62" s="1099"/>
      <c r="J62" s="1100"/>
      <c r="K62" s="348">
        <v>2</v>
      </c>
      <c r="M62" s="352" t="str">
        <f>IF(ISNA(VLOOKUP(2,A$61:D66,3,FALSE))," ",VLOOKUP(2,A$61:C$65,3,FALSE))</f>
        <v xml:space="preserve"> </v>
      </c>
      <c r="P62" s="368" t="str">
        <f>IF(OR(N61="",N61=" "),1,"")</f>
        <v/>
      </c>
      <c r="Q62" t="s">
        <v>1777</v>
      </c>
    </row>
    <row r="63" spans="1:17" ht="25.5" customHeight="1" x14ac:dyDescent="0.25">
      <c r="A63" t="str">
        <f>IF(COUNTIF(Scénarios!BR$7:BR$232,1)&gt;0,1+COUNT(A$61:A62),"")</f>
        <v/>
      </c>
      <c r="B63" s="320" t="str" cm="1">
        <f t="array" ref="B63">IF(ISERROR(INDEX(Scen,I55,8)),"",INDEX(Scen,I55,8))</f>
        <v/>
      </c>
      <c r="C63" s="1098" t="str">
        <f>IF(ISNA(VLOOKUP(B63,Tabexpo,2,FALSE)),"",VLOOKUP(B63,Tabexpo,2,FALSE))</f>
        <v/>
      </c>
      <c r="D63" s="1099"/>
      <c r="E63" s="1099"/>
      <c r="F63" s="1099"/>
      <c r="G63" s="1099"/>
      <c r="H63" s="1099"/>
      <c r="I63" s="1099"/>
      <c r="J63" s="1100"/>
      <c r="K63" s="348">
        <v>3</v>
      </c>
      <c r="M63" s="352" t="str">
        <f>IF(ISNA(VLOOKUP(3,A$61:D67,3,FALSE))," ",VLOOKUP(3,A$61:C$65,3,FALSE))</f>
        <v xml:space="preserve"> </v>
      </c>
      <c r="P63" s="368">
        <f>IF(ISNA(VLOOKUP(N61,M61:M612,2,FALSE)),1,"")</f>
        <v>1</v>
      </c>
      <c r="Q63" t="s">
        <v>1778</v>
      </c>
    </row>
    <row r="64" spans="1:17" ht="25.5" customHeight="1" x14ac:dyDescent="0.25">
      <c r="A64" t="str">
        <f>IF(COUNTIF(Scénarios!BS$7:BS$232,1)&gt;0,1+COUNT(A$61:A63),"")</f>
        <v/>
      </c>
      <c r="B64" s="320" t="str" cm="1">
        <f t="array" ref="B64">IF(ISERROR(INDEX(Scen,I56,8)),"",INDEX(Scen,I56,8))</f>
        <v/>
      </c>
      <c r="C64" s="1098" t="str">
        <f>IF(ISNA(VLOOKUP(B64,Tabexpo,2,FALSE)),"",VLOOKUP(B64,Tabexpo,2,FALSE))</f>
        <v/>
      </c>
      <c r="D64" s="1099"/>
      <c r="E64" s="1099"/>
      <c r="F64" s="1099"/>
      <c r="G64" s="1099"/>
      <c r="H64" s="1099"/>
      <c r="I64" s="1099"/>
      <c r="J64" s="1100"/>
      <c r="K64" s="348">
        <v>4</v>
      </c>
      <c r="M64" s="352" t="str">
        <f>IF(ISNA(VLOOKUP(4,A$61:D68,3,FALSE))," ",VLOOKUP(4,A$61:C$65,3,FALSE))</f>
        <v xml:space="preserve"> </v>
      </c>
    </row>
    <row r="65" spans="1:17" ht="25.5" customHeight="1" thickBot="1" x14ac:dyDescent="0.3">
      <c r="A65" t="str">
        <f>IF(COUNTIF(Scénarios!BT$7:BT$232,1)&gt;0,1+COUNT(A$61:A64),"")</f>
        <v/>
      </c>
      <c r="B65" s="320"/>
      <c r="C65" s="1098"/>
      <c r="D65" s="1099"/>
      <c r="E65" s="1099"/>
      <c r="F65" s="1099"/>
      <c r="G65" s="1099"/>
      <c r="H65" s="1099"/>
      <c r="I65" s="1099"/>
      <c r="J65" s="1100"/>
      <c r="K65" s="348"/>
      <c r="M65" s="353" t="str">
        <f>IF(ISNA(VLOOKUP(5,A$61:D69,3,FALSE))," ",VLOOKUP(5,A$61:C$65,3,FALSE))</f>
        <v xml:space="preserve"> </v>
      </c>
    </row>
    <row r="67" spans="1:17" x14ac:dyDescent="0.25">
      <c r="B67" t="s">
        <v>1727</v>
      </c>
      <c r="C67" t="e" cm="1">
        <f t="array" ref="C67">INDEX(Tab_sel_event,O61,2)</f>
        <v>#N/A</v>
      </c>
      <c r="F67" s="62" t="s">
        <v>2212</v>
      </c>
      <c r="N67" s="265" t="s">
        <v>2323</v>
      </c>
    </row>
    <row r="68" spans="1:17" ht="16.5" customHeight="1" x14ac:dyDescent="0.25">
      <c r="B68" t="s">
        <v>1728</v>
      </c>
      <c r="C68" s="997" t="e" cm="1">
        <f t="array" ref="C68">INDEX(Scen,C67,8)</f>
        <v>#N/A</v>
      </c>
      <c r="D68" s="997"/>
      <c r="F68" s="62" t="s">
        <v>2316</v>
      </c>
      <c r="J68" t="e">
        <f>MATCH(C68,Expo!D4:D35,0)</f>
        <v>#N/A</v>
      </c>
    </row>
    <row r="69" spans="1:17" x14ac:dyDescent="0.25">
      <c r="B69" t="s">
        <v>1867</v>
      </c>
      <c r="C69" s="997" t="e" cm="1">
        <f t="array" ref="C69">IF(Sel_GD = "G",INDEX(Scénarios!A1:AK232,C67-1+ROW(INDEX(Tab_base_scen,1,1)),COLUMN(INDEX(Tab_base_scen,1,1))+32),INDEX(Scénarios!A1:AK232,C84-1+ROW(INDEX(Tab_base_scen,1,1)),COLUMN(INDEX(Tab_base_scen,1,1))+32))</f>
        <v>#N/A</v>
      </c>
      <c r="D69" s="997"/>
      <c r="E69" s="665"/>
    </row>
    <row r="70" spans="1:17" ht="26.4" x14ac:dyDescent="0.25">
      <c r="B70" t="s">
        <v>1868</v>
      </c>
      <c r="C70" s="997" t="e">
        <f>IF(Tab_sel!C69&lt;=0,(MAX(Scénarios!AH6:AH232)+1),Tab_sel!C69)</f>
        <v>#N/A</v>
      </c>
      <c r="D70" s="997"/>
    </row>
    <row r="71" spans="1:17" ht="19.5" customHeight="1" thickBot="1" x14ac:dyDescent="0.3">
      <c r="C71" s="845"/>
      <c r="D71" s="845"/>
    </row>
    <row r="72" spans="1:17" ht="19.5" customHeight="1" thickBot="1" x14ac:dyDescent="0.3">
      <c r="B72" s="349" t="s">
        <v>2310</v>
      </c>
      <c r="C72" s="845"/>
      <c r="D72" s="845"/>
      <c r="N72" s="328" t="s">
        <v>2314</v>
      </c>
      <c r="O72" s="319" t="s">
        <v>2315</v>
      </c>
    </row>
    <row r="73" spans="1:17" ht="19.5" customHeight="1" thickBot="1" x14ac:dyDescent="0.3">
      <c r="B73" s="320" t="s">
        <v>2311</v>
      </c>
      <c r="C73" s="348">
        <v>1</v>
      </c>
      <c r="D73" s="845"/>
      <c r="N73" s="319" t="str">
        <f>Ana_risk!D23</f>
        <v>Analyse globale</v>
      </c>
      <c r="O73" s="318">
        <f>IF(N73="Analyse globale",1,2)</f>
        <v>1</v>
      </c>
    </row>
    <row r="74" spans="1:17" ht="19.5" customHeight="1" x14ac:dyDescent="0.25">
      <c r="B74" s="320" t="s">
        <v>2312</v>
      </c>
      <c r="C74" s="348">
        <v>2</v>
      </c>
      <c r="D74" s="845"/>
    </row>
    <row r="75" spans="1:17" ht="13.8" thickBot="1" x14ac:dyDescent="0.3">
      <c r="C75" s="590"/>
      <c r="D75" s="845"/>
    </row>
    <row r="76" spans="1:17" ht="20.25" customHeight="1" thickBot="1" x14ac:dyDescent="0.3">
      <c r="B76" s="349" t="s">
        <v>2306</v>
      </c>
      <c r="M76" s="350" t="s">
        <v>2307</v>
      </c>
      <c r="N76" s="328" t="s">
        <v>2308</v>
      </c>
      <c r="O76" s="319" t="s">
        <v>2326</v>
      </c>
      <c r="P76" t="s">
        <v>1708</v>
      </c>
    </row>
    <row r="77" spans="1:17" ht="25.5" customHeight="1" thickBot="1" x14ac:dyDescent="0.3">
      <c r="A77" t="str">
        <f>IF(COUNTIF(Scénarios!BU$7:BU$232,1)&gt;0,1,"")</f>
        <v/>
      </c>
      <c r="B77" s="320" t="e" cm="1">
        <f t="array" ref="B77">INDEX(Scen,INDEX(Tab_sel_event,O61,2)+1,7)</f>
        <v>#N/A</v>
      </c>
      <c r="C77" s="348">
        <v>1</v>
      </c>
      <c r="M77" s="351" t="str">
        <f>IF(ISNA(VLOOKUP(1,A$77:B$82,2,FALSE))," ",VLOOKUP(1,A$77:B$82,2,FALSE))</f>
        <v xml:space="preserve"> </v>
      </c>
      <c r="N77" s="319" t="str">
        <f>Ana_risk!C25</f>
        <v/>
      </c>
      <c r="O77" s="318" t="e">
        <f>VLOOKUP(N77,B77:C83,2,FALSE)</f>
        <v>#N/A</v>
      </c>
      <c r="P77" t="str">
        <f>IF(OR(ISNA(VLOOKUP(N77,M$61:M$65,2,FALSE)),N77="",N77=" "),"Erreur","")</f>
        <v>Erreur</v>
      </c>
    </row>
    <row r="78" spans="1:17" ht="25.5" customHeight="1" x14ac:dyDescent="0.25">
      <c r="A78" t="str">
        <f>IF(COUNTIF(Scénarios!BV$7:BV$232,1)&gt;0,1+COUNT(A$77:A77),"")</f>
        <v/>
      </c>
      <c r="B78" s="320" t="e" cm="1">
        <f t="array" ref="B78">INDEX(Scen,INDEX(Tab_sel_event,O61,2)+2,7)</f>
        <v>#N/A</v>
      </c>
      <c r="C78" s="348">
        <v>2</v>
      </c>
      <c r="F78" s="62"/>
      <c r="M78" s="352" t="str">
        <f>IF(ISNA(VLOOKUP(2,A$77:B$82,2,FALSE))," ",VLOOKUP(2,A$77:B$82,2,FALSE))</f>
        <v xml:space="preserve"> </v>
      </c>
      <c r="P78" s="368">
        <f>IF(OR(N77="",N77=" "),1,"")</f>
        <v>1</v>
      </c>
      <c r="Q78" t="s">
        <v>1777</v>
      </c>
    </row>
    <row r="79" spans="1:17" ht="25.5" customHeight="1" x14ac:dyDescent="0.25">
      <c r="A79" t="str">
        <f>IF(COUNTIF(Scénarios!BW$7:BW$232,1)&gt;0,1+COUNT(A$77:A78),"")</f>
        <v/>
      </c>
      <c r="B79" s="320" t="e" cm="1">
        <f t="array" ref="B79">IF(INDEX(Tab_sel_event,O61,1)&gt;3,INDEX(Scen,INDEX(Tab_sel_event,O61,2)+3,7),"")</f>
        <v>#N/A</v>
      </c>
      <c r="C79" s="348">
        <v>3</v>
      </c>
      <c r="M79" s="352" t="str">
        <f>IF(ISNA(VLOOKUP(3,A$77:B$82,2,FALSE))," ",VLOOKUP(3,A$77:B$82,2,FALSE))</f>
        <v xml:space="preserve"> </v>
      </c>
      <c r="P79" s="368">
        <f>IF(ISNA(VLOOKUP(N77,M77:M624,2,FALSE)),1,"")</f>
        <v>1</v>
      </c>
      <c r="Q79" t="s">
        <v>1778</v>
      </c>
    </row>
    <row r="80" spans="1:17" ht="25.5" customHeight="1" x14ac:dyDescent="0.25">
      <c r="A80" t="str">
        <f>IF(COUNTIF(Scénarios!BX$7:BX$232,1)&gt;0,1+COUNT(A$77:A79),"")</f>
        <v/>
      </c>
      <c r="B80" s="320" t="e" cm="1">
        <f t="array" ref="B80">IF(INDEX(Tab_sel_event,O61,1)&gt;4,INDEX(Scen,INDEX(Tab_sel_event,O61,2)+4,7),"")</f>
        <v>#N/A</v>
      </c>
      <c r="C80" s="348">
        <v>4</v>
      </c>
      <c r="M80" s="352" t="str">
        <f>IF(ISNA(VLOOKUP(4,A$77:B$82,2,FALSE))," ",VLOOKUP(4,A$77:B$82,2,FALSE))</f>
        <v xml:space="preserve"> </v>
      </c>
    </row>
    <row r="81" spans="1:13" ht="25.5" customHeight="1" x14ac:dyDescent="0.25">
      <c r="A81" t="str">
        <f>IF(COUNTIF(Scénarios!BY$7:BY$232,1)&gt;0,1+COUNT(A$77:A80),"")</f>
        <v/>
      </c>
      <c r="B81" s="320" t="e" cm="1">
        <f t="array" ref="B81">IF(INDEX(Tab_sel_event,O61,1)&gt;5,INDEX(Scen,INDEX(Tab_sel_event,O61,2)+5,7),"")</f>
        <v>#N/A</v>
      </c>
      <c r="C81" s="348">
        <v>5</v>
      </c>
      <c r="M81" s="352" t="str">
        <f>IF(ISNA(VLOOKUP(5,A$77:B$82,2,FALSE))," ",VLOOKUP(5,A$77:B$82,2,FALSE))</f>
        <v xml:space="preserve"> </v>
      </c>
    </row>
    <row r="82" spans="1:13" ht="25.5" customHeight="1" thickBot="1" x14ac:dyDescent="0.3">
      <c r="A82" t="str">
        <f>IF(COUNTIF(Scénarios!BZ$7:BZ$232,1)&gt;0,1+COUNT(A$77:A81),"")</f>
        <v/>
      </c>
      <c r="B82" s="320" t="e" cm="1">
        <f t="array" ref="B82">IF(INDEX(Tab_sel_event,O61,1)&gt;6,INDEX(Scen,INDEX(Tab_sel_event,O61,2)+6,7),"")</f>
        <v>#N/A</v>
      </c>
      <c r="C82" s="348">
        <v>6</v>
      </c>
      <c r="M82" s="353" t="str">
        <f>IF(ISNA(VLOOKUP(6,A$77:B$82,2,FALSE))," ",VLOOKUP(6,A$77:B$82,2,FALSE))</f>
        <v xml:space="preserve"> </v>
      </c>
    </row>
    <row r="83" spans="1:13" x14ac:dyDescent="0.25">
      <c r="C83" s="845"/>
      <c r="D83" s="845"/>
    </row>
    <row r="84" spans="1:13" ht="26.4" x14ac:dyDescent="0.25">
      <c r="B84" t="s">
        <v>2473</v>
      </c>
      <c r="C84" s="847" t="e">
        <f>C67 + IF(O73=2,O77,0)</f>
        <v>#N/A</v>
      </c>
      <c r="D84" s="847"/>
    </row>
    <row r="85" spans="1:13" x14ac:dyDescent="0.25">
      <c r="B85" t="s">
        <v>2472</v>
      </c>
      <c r="C85" s="847">
        <f>ROW(INDEX(Scen,1,1))</f>
        <v>6</v>
      </c>
      <c r="D85" s="847"/>
    </row>
    <row r="86" spans="1:13" x14ac:dyDescent="0.25">
      <c r="B86" t="s">
        <v>2474</v>
      </c>
      <c r="C86" s="882" t="e">
        <f>C84+C85-1</f>
        <v>#N/A</v>
      </c>
      <c r="D86" s="882"/>
    </row>
    <row r="87" spans="1:13" ht="19.5" customHeight="1" x14ac:dyDescent="0.25">
      <c r="A87" s="308" t="s">
        <v>2174</v>
      </c>
      <c r="C87" s="62"/>
      <c r="I87" s="455" t="b">
        <v>0</v>
      </c>
    </row>
    <row r="88" spans="1:13" ht="30" customHeight="1" x14ac:dyDescent="0.25">
      <c r="A88" s="1096" t="s">
        <v>2173</v>
      </c>
      <c r="B88" s="1096"/>
      <c r="C88" s="1096"/>
      <c r="D88" s="1096"/>
      <c r="E88" s="1096"/>
      <c r="F88" s="1096"/>
      <c r="G88" s="1096"/>
      <c r="H88" s="1096"/>
      <c r="I88" s="455" t="b">
        <v>0</v>
      </c>
      <c r="J88" s="591"/>
    </row>
    <row r="89" spans="1:13" x14ac:dyDescent="0.25">
      <c r="I89" s="455"/>
    </row>
    <row r="90" spans="1:13" ht="15" x14ac:dyDescent="0.25">
      <c r="A90" s="308" t="s">
        <v>2195</v>
      </c>
      <c r="I90" s="455" t="b">
        <v>0</v>
      </c>
      <c r="K90" s="62" t="s">
        <v>2197</v>
      </c>
    </row>
    <row r="91" spans="1:13" ht="15" x14ac:dyDescent="0.25">
      <c r="A91" s="308" t="s">
        <v>2196</v>
      </c>
      <c r="I91" s="455" t="b">
        <v>0</v>
      </c>
      <c r="K91" s="62" t="s">
        <v>2197</v>
      </c>
    </row>
    <row r="92" spans="1:13" x14ac:dyDescent="0.25">
      <c r="I92" s="455"/>
    </row>
    <row r="93" spans="1:13" ht="15" x14ac:dyDescent="0.25">
      <c r="A93" s="308" t="s">
        <v>2327</v>
      </c>
      <c r="I93" s="455" t="b">
        <v>0</v>
      </c>
      <c r="K93" s="62" t="s">
        <v>2197</v>
      </c>
    </row>
    <row r="94" spans="1:13" ht="15" x14ac:dyDescent="0.25">
      <c r="A94" s="308" t="s">
        <v>2329</v>
      </c>
      <c r="C94" s="62" t="s">
        <v>2330</v>
      </c>
      <c r="I94" s="455" t="s">
        <v>2534</v>
      </c>
      <c r="M94" t="str">
        <f>Ana_risk!D23</f>
        <v>Analyse globale</v>
      </c>
    </row>
    <row r="95" spans="1:13" x14ac:dyDescent="0.25">
      <c r="I95" s="455"/>
    </row>
    <row r="96" spans="1:13" x14ac:dyDescent="0.25">
      <c r="I96" s="455"/>
    </row>
    <row r="97" spans="1:14" ht="14.25" customHeight="1" x14ac:dyDescent="0.25">
      <c r="A97" s="308" t="s">
        <v>2487</v>
      </c>
      <c r="I97" s="455" t="s">
        <v>1881</v>
      </c>
      <c r="L97" s="997"/>
      <c r="M97" s="997"/>
      <c r="N97" s="997"/>
    </row>
    <row r="98" spans="1:14" x14ac:dyDescent="0.25">
      <c r="I98" s="455"/>
    </row>
    <row r="99" spans="1:14" ht="15" x14ac:dyDescent="0.25">
      <c r="A99" s="308" t="s">
        <v>2488</v>
      </c>
      <c r="I99" s="455"/>
    </row>
    <row r="100" spans="1:14" x14ac:dyDescent="0.25">
      <c r="B100" s="62" t="s">
        <v>2547</v>
      </c>
      <c r="I100" s="455" t="b">
        <v>0</v>
      </c>
    </row>
    <row r="101" spans="1:14" x14ac:dyDescent="0.25">
      <c r="B101" t="s">
        <v>2489</v>
      </c>
      <c r="I101" s="895"/>
    </row>
    <row r="102" spans="1:14" x14ac:dyDescent="0.25">
      <c r="B102" t="s">
        <v>2490</v>
      </c>
      <c r="I102" s="896"/>
      <c r="L102" t="s">
        <v>2492</v>
      </c>
    </row>
    <row r="103" spans="1:14" x14ac:dyDescent="0.25">
      <c r="B103" t="s">
        <v>2491</v>
      </c>
      <c r="I103" s="897"/>
    </row>
    <row r="104" spans="1:14" x14ac:dyDescent="0.25">
      <c r="J104" s="62" t="s">
        <v>2493</v>
      </c>
    </row>
    <row r="106" spans="1:14" ht="15" x14ac:dyDescent="0.25">
      <c r="A106" s="308" t="s">
        <v>2548</v>
      </c>
      <c r="I106" s="455" t="s">
        <v>2549</v>
      </c>
    </row>
    <row r="107" spans="1:14" x14ac:dyDescent="0.25">
      <c r="B107" t="s">
        <v>2544</v>
      </c>
      <c r="I107" s="455"/>
    </row>
    <row r="108" spans="1:14" x14ac:dyDescent="0.25">
      <c r="B108" t="s">
        <v>2545</v>
      </c>
      <c r="I108" s="455"/>
    </row>
    <row r="109" spans="1:14" ht="15" x14ac:dyDescent="0.25">
      <c r="B109" s="216" t="s">
        <v>2546</v>
      </c>
      <c r="I109" s="455" t="b">
        <v>0</v>
      </c>
    </row>
  </sheetData>
  <sheetProtection sheet="1" objects="1" scenarios="1"/>
  <mergeCells count="12">
    <mergeCell ref="L97:N97"/>
    <mergeCell ref="A88:H88"/>
    <mergeCell ref="C70:D70"/>
    <mergeCell ref="C69:D69"/>
    <mergeCell ref="D5:G5"/>
    <mergeCell ref="H5:K5"/>
    <mergeCell ref="C68:D68"/>
    <mergeCell ref="C61:J61"/>
    <mergeCell ref="C62:J62"/>
    <mergeCell ref="C63:J63"/>
    <mergeCell ref="C64:J64"/>
    <mergeCell ref="C65:J65"/>
  </mergeCells>
  <phoneticPr fontId="5"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BC105"/>
  <sheetViews>
    <sheetView topLeftCell="P13" workbookViewId="0">
      <selection activeCell="AB20" sqref="AB20"/>
    </sheetView>
  </sheetViews>
  <sheetFormatPr baseColWidth="10" defaultRowHeight="13.2" x14ac:dyDescent="0.25"/>
  <cols>
    <col min="1" max="1" width="12.6640625" customWidth="1"/>
    <col min="2" max="3" width="12.109375" customWidth="1"/>
    <col min="4" max="4" width="13.109375" customWidth="1"/>
    <col min="5" max="6" width="12.109375" customWidth="1"/>
    <col min="7" max="7" width="12.5546875" customWidth="1"/>
    <col min="8" max="8" width="12.109375" customWidth="1"/>
    <col min="9" max="9" width="12.88671875" customWidth="1"/>
    <col min="10" max="11" width="13.109375" customWidth="1"/>
    <col min="12" max="12" width="12.109375" customWidth="1"/>
    <col min="13" max="13" width="12.44140625" customWidth="1"/>
    <col min="14" max="14" width="12.109375" customWidth="1"/>
    <col min="15" max="17" width="10.5546875" customWidth="1"/>
    <col min="18" max="18" width="11" customWidth="1"/>
    <col min="19" max="20" width="9.109375" customWidth="1"/>
    <col min="21" max="21" width="10.6640625" customWidth="1"/>
    <col min="22" max="22" width="10.33203125" customWidth="1"/>
    <col min="23" max="23" width="10.109375" customWidth="1"/>
    <col min="24" max="24" width="11.109375" customWidth="1"/>
    <col min="25" max="26" width="9.109375" customWidth="1"/>
    <col min="48" max="48" width="13.5546875" customWidth="1"/>
    <col min="49" max="49" width="13.33203125" customWidth="1"/>
    <col min="50" max="52" width="13.5546875" customWidth="1"/>
    <col min="53" max="53" width="13.88671875" customWidth="1"/>
    <col min="54" max="55" width="16.33203125" customWidth="1"/>
  </cols>
  <sheetData>
    <row r="1" spans="1:55" ht="22.8" x14ac:dyDescent="0.25">
      <c r="A1" s="214" t="s">
        <v>1713</v>
      </c>
      <c r="L1" s="62"/>
    </row>
    <row r="3" spans="1:55" ht="13.8" thickBot="1" x14ac:dyDescent="0.3">
      <c r="A3" s="62" t="s">
        <v>1401</v>
      </c>
    </row>
    <row r="4" spans="1:55" ht="49.5" customHeight="1" thickBot="1" x14ac:dyDescent="0.3">
      <c r="A4" s="486" t="str">
        <f>Dap</f>
        <v>Données applicatives</v>
      </c>
      <c r="B4" s="487" t="str">
        <f>Dbu</f>
        <v>Données bureautiques</v>
      </c>
      <c r="C4" s="487" t="str">
        <f>Iei</f>
        <v>Informations écrites ou imprimées</v>
      </c>
      <c r="D4" s="488" t="str">
        <f>Cep</f>
        <v>Courrier électronique ou postal</v>
      </c>
      <c r="E4" s="488" t="str">
        <f>Arc</f>
        <v xml:space="preserve">Archives </v>
      </c>
      <c r="F4" s="488" t="str">
        <f>Dpu</f>
        <v xml:space="preserve">Données et informations publiées </v>
      </c>
      <c r="G4" s="488" t="str">
        <f>Dex</f>
        <v>Données externalisées</v>
      </c>
      <c r="H4" s="489" t="str">
        <f>Sap</f>
        <v>Services applicatifs</v>
      </c>
      <c r="I4" s="490" t="str">
        <f>Sex</f>
        <v>Services externalisés</v>
      </c>
      <c r="J4" s="490" t="str">
        <f>Spu</f>
        <v xml:space="preserve">Services de publication d'informations </v>
      </c>
      <c r="K4" s="490" t="str">
        <f>Pgc</f>
        <v xml:space="preserve">Processus de gestion de la conformité </v>
      </c>
      <c r="L4" s="491" t="str">
        <f>Pgd</f>
        <v xml:space="preserve">Processus de gouvernance et de prise de décision </v>
      </c>
    </row>
    <row r="5" spans="1:55" ht="78.75" customHeight="1" x14ac:dyDescent="0.25">
      <c r="A5" s="477" t="str">
        <f>Fic</f>
        <v xml:space="preserve">Fichier ou base de données </v>
      </c>
      <c r="B5" s="478" t="str">
        <f>Fic</f>
        <v xml:space="preserve">Fichier ou base de données </v>
      </c>
      <c r="C5" s="478" t="str">
        <f>Doc</f>
        <v>Document</v>
      </c>
      <c r="D5" s="478" t="str">
        <f>Coe</f>
        <v>Courriel en transit</v>
      </c>
      <c r="E5" s="478" t="str">
        <f>Fic</f>
        <v xml:space="preserve">Fichier ou base de données </v>
      </c>
      <c r="F5" s="478" t="str">
        <f>Fic</f>
        <v xml:space="preserve">Fichier ou base de données </v>
      </c>
      <c r="G5" s="478" t="str">
        <f>Fic</f>
        <v xml:space="preserve">Fichier ou base de données </v>
      </c>
      <c r="H5" s="478" t="str">
        <f>Cfg</f>
        <v>Configuration systèmes et applications</v>
      </c>
      <c r="I5" s="478" t="str">
        <f>Iml</f>
        <v>Infrastructure matérielle et logicielle support de services externalisés</v>
      </c>
      <c r="J5" s="478" t="str">
        <f>Cfg</f>
        <v>Configuration systèmes et applications</v>
      </c>
      <c r="K5" s="478" t="str">
        <f>Pro</f>
        <v xml:space="preserve"> Procédure support des processus</v>
      </c>
      <c r="L5" s="253" t="str">
        <f>Pro</f>
        <v xml:space="preserve"> Procédure support des processus</v>
      </c>
    </row>
    <row r="6" spans="1:55" ht="57.75" customHeight="1" x14ac:dyDescent="0.25">
      <c r="A6" s="482" t="str">
        <f>Det</f>
        <v>Données en transit</v>
      </c>
      <c r="B6" s="483" t="str">
        <f>Det</f>
        <v>Données en transit</v>
      </c>
      <c r="C6" s="483"/>
      <c r="D6" s="483" t="str">
        <f>Cop</f>
        <v>Courrier en transit</v>
      </c>
      <c r="E6" s="483" t="str">
        <f>Msa</f>
        <v>Média support d'archive</v>
      </c>
      <c r="F6" s="483"/>
      <c r="G6" s="483" t="str">
        <f>Det</f>
        <v>Données en transit</v>
      </c>
      <c r="H6" s="483" t="str">
        <f>Msl</f>
        <v>Media support de logiciel</v>
      </c>
      <c r="I6" s="483"/>
      <c r="J6" s="483"/>
      <c r="K6" s="483"/>
      <c r="L6" s="492"/>
    </row>
    <row r="7" spans="1:55" ht="74.25" customHeight="1" x14ac:dyDescent="0.25">
      <c r="A7" s="482" t="str">
        <f>Med</f>
        <v>Media support de données</v>
      </c>
      <c r="B7" s="483" t="str">
        <f>Med</f>
        <v>Media support de données</v>
      </c>
      <c r="C7" s="483"/>
      <c r="D7" s="483"/>
      <c r="E7" s="483"/>
      <c r="F7" s="483"/>
      <c r="G7" s="483"/>
      <c r="H7" s="483" t="str">
        <f>Equ</f>
        <v>Equipement de l'Infrastructure informatique</v>
      </c>
      <c r="I7" s="483"/>
      <c r="J7" s="483"/>
      <c r="K7" s="483"/>
      <c r="L7" s="492"/>
    </row>
    <row r="8" spans="1:55" ht="64.5" customHeight="1" x14ac:dyDescent="0.25">
      <c r="A8" s="482"/>
      <c r="B8" s="483"/>
      <c r="C8" s="483"/>
      <c r="D8" s="483"/>
      <c r="E8" s="483"/>
      <c r="F8" s="483"/>
      <c r="G8" s="483"/>
      <c r="H8" s="483" t="str">
        <f>Env</f>
        <v>Environnement de travail et équipement des utilisateurs</v>
      </c>
      <c r="I8" s="483"/>
      <c r="J8" s="483"/>
      <c r="K8" s="483"/>
      <c r="L8" s="492"/>
    </row>
    <row r="9" spans="1:55" ht="64.5" customHeight="1" x14ac:dyDescent="0.25">
      <c r="A9" s="482"/>
      <c r="B9" s="483"/>
      <c r="C9" s="483"/>
      <c r="D9" s="483"/>
      <c r="E9" s="483"/>
      <c r="F9" s="483"/>
      <c r="G9" s="483"/>
      <c r="H9" s="483"/>
      <c r="I9" s="483"/>
      <c r="J9" s="483"/>
      <c r="K9" s="483"/>
      <c r="L9" s="492"/>
    </row>
    <row r="10" spans="1:55" ht="64.5" customHeight="1" thickBot="1" x14ac:dyDescent="0.3">
      <c r="A10" s="493"/>
      <c r="B10" s="494"/>
      <c r="C10" s="494"/>
      <c r="D10" s="494"/>
      <c r="E10" s="494"/>
      <c r="F10" s="494"/>
      <c r="G10" s="494"/>
      <c r="H10" s="494"/>
      <c r="I10" s="494"/>
      <c r="J10" s="494"/>
      <c r="K10" s="494"/>
      <c r="L10" s="495"/>
    </row>
    <row r="12" spans="1:55" ht="22.8" x14ac:dyDescent="0.25">
      <c r="A12" s="214" t="s">
        <v>1712</v>
      </c>
    </row>
    <row r="13" spans="1:55" x14ac:dyDescent="0.25">
      <c r="A13" s="62" t="s">
        <v>1149</v>
      </c>
    </row>
    <row r="14" spans="1:55" ht="13.8" thickBot="1" x14ac:dyDescent="0.3">
      <c r="A14" s="337">
        <v>1</v>
      </c>
      <c r="B14" s="337">
        <v>2</v>
      </c>
      <c r="C14" s="337">
        <v>3</v>
      </c>
      <c r="D14" s="337">
        <v>4</v>
      </c>
      <c r="E14" s="337">
        <v>5</v>
      </c>
      <c r="F14" s="337">
        <v>6</v>
      </c>
      <c r="G14" s="337">
        <v>7</v>
      </c>
      <c r="H14" s="337">
        <v>8</v>
      </c>
      <c r="I14" s="337">
        <v>9</v>
      </c>
      <c r="J14" s="337">
        <v>10</v>
      </c>
      <c r="K14" s="337">
        <v>11</v>
      </c>
      <c r="L14" s="337">
        <v>12</v>
      </c>
      <c r="M14" s="337">
        <v>13</v>
      </c>
      <c r="N14" s="337">
        <v>14</v>
      </c>
      <c r="O14" s="337">
        <v>15</v>
      </c>
      <c r="P14" s="337">
        <v>16</v>
      </c>
      <c r="Q14" s="337">
        <v>17</v>
      </c>
      <c r="R14" s="337">
        <v>18</v>
      </c>
      <c r="S14" s="337">
        <v>19</v>
      </c>
      <c r="T14" s="337">
        <v>20</v>
      </c>
      <c r="U14" s="337">
        <v>21</v>
      </c>
      <c r="V14" s="337">
        <v>22</v>
      </c>
      <c r="W14" s="337">
        <v>23</v>
      </c>
      <c r="X14" s="337">
        <v>24</v>
      </c>
      <c r="Y14" s="337">
        <v>25</v>
      </c>
      <c r="Z14" s="337">
        <v>26</v>
      </c>
      <c r="AA14" s="337">
        <v>27</v>
      </c>
      <c r="AB14" s="337">
        <v>28</v>
      </c>
      <c r="AC14" s="337">
        <v>29</v>
      </c>
      <c r="AD14" s="337">
        <v>30</v>
      </c>
      <c r="AE14" s="337">
        <v>31</v>
      </c>
      <c r="AF14" s="337">
        <v>32</v>
      </c>
      <c r="AG14" s="337">
        <v>33</v>
      </c>
      <c r="AH14" s="337">
        <v>34</v>
      </c>
      <c r="AI14" s="337">
        <v>35</v>
      </c>
      <c r="AJ14" s="337">
        <v>36</v>
      </c>
      <c r="AK14" s="337">
        <v>37</v>
      </c>
      <c r="AL14" s="337">
        <v>38</v>
      </c>
      <c r="AM14" s="337">
        <v>39</v>
      </c>
      <c r="AN14" s="337">
        <v>40</v>
      </c>
      <c r="AO14" s="337">
        <v>41</v>
      </c>
      <c r="AP14" s="337">
        <v>42</v>
      </c>
      <c r="AQ14" s="337">
        <v>43</v>
      </c>
      <c r="AR14" s="337">
        <v>44</v>
      </c>
      <c r="AS14" s="337">
        <v>45</v>
      </c>
      <c r="AT14" s="337">
        <v>46</v>
      </c>
      <c r="AU14" s="337">
        <v>47</v>
      </c>
      <c r="AV14" s="337">
        <v>48</v>
      </c>
      <c r="AW14" s="337">
        <v>49</v>
      </c>
      <c r="AX14" s="337">
        <v>50</v>
      </c>
      <c r="AY14" s="337">
        <v>51</v>
      </c>
      <c r="AZ14" s="337">
        <v>52</v>
      </c>
      <c r="BA14" s="337">
        <v>53</v>
      </c>
      <c r="BB14" s="337">
        <v>54</v>
      </c>
      <c r="BC14" s="337">
        <v>55</v>
      </c>
    </row>
    <row r="15" spans="1:55" ht="43.2" customHeight="1" x14ac:dyDescent="0.25">
      <c r="A15" s="1030" t="str">
        <f>Dap</f>
        <v>Données applicatives</v>
      </c>
      <c r="B15" s="1105"/>
      <c r="C15" s="1105"/>
      <c r="D15" s="1105"/>
      <c r="E15" s="1105"/>
      <c r="F15" s="1105"/>
      <c r="G15" s="1105"/>
      <c r="H15" s="1105"/>
      <c r="I15" s="1106"/>
      <c r="J15" s="1030" t="str">
        <f>Dbu</f>
        <v>Données bureautiques</v>
      </c>
      <c r="K15" s="1105"/>
      <c r="L15" s="1105"/>
      <c r="M15" s="1105"/>
      <c r="N15" s="1105"/>
      <c r="O15" s="1105"/>
      <c r="P15" s="1105"/>
      <c r="Q15" s="1105"/>
      <c r="R15" s="1106"/>
      <c r="S15" s="1030" t="str">
        <f>Iei</f>
        <v>Informations écrites ou imprimées</v>
      </c>
      <c r="T15" s="1105"/>
      <c r="U15" s="1105"/>
      <c r="V15" s="1030" t="str">
        <f>Cep</f>
        <v>Courrier électronique ou postal</v>
      </c>
      <c r="W15" s="1105"/>
      <c r="X15" s="1105"/>
      <c r="Y15" s="1105"/>
      <c r="Z15" s="1105"/>
      <c r="AA15" s="1106"/>
      <c r="AB15" s="1030" t="str">
        <f>Arc</f>
        <v xml:space="preserve">Archives </v>
      </c>
      <c r="AC15" s="1105"/>
      <c r="AD15" s="1105"/>
      <c r="AE15" s="1105"/>
      <c r="AF15" s="1030" t="str">
        <f>Dpu</f>
        <v xml:space="preserve">Données et informations publiées </v>
      </c>
      <c r="AG15" s="1106"/>
      <c r="AH15" s="1030" t="str">
        <f>Dex</f>
        <v>Données externalisées</v>
      </c>
      <c r="AI15" s="1105"/>
      <c r="AJ15" s="1105"/>
      <c r="AK15" s="1105"/>
      <c r="AL15" s="1105"/>
      <c r="AM15" s="1106"/>
      <c r="AN15" s="1030" t="str">
        <f>Sap</f>
        <v>Services applicatifs</v>
      </c>
      <c r="AO15" s="1105"/>
      <c r="AP15" s="1105"/>
      <c r="AQ15" s="1105"/>
      <c r="AR15" s="1105"/>
      <c r="AS15" s="1105"/>
      <c r="AT15" s="1105"/>
      <c r="AU15" s="1105"/>
      <c r="AV15" s="1105"/>
      <c r="AW15" s="1105"/>
      <c r="AX15" s="1030" t="str">
        <f>Sex</f>
        <v>Services externalisés</v>
      </c>
      <c r="AY15" s="1105"/>
      <c r="AZ15" s="1030" t="str">
        <f>Spu</f>
        <v xml:space="preserve">Services de publication d'informations </v>
      </c>
      <c r="BA15" s="1105"/>
      <c r="BB15" s="466" t="str">
        <f>Pgc</f>
        <v xml:space="preserve">Processus de gestion de la conformité </v>
      </c>
      <c r="BC15" s="467" t="str">
        <f>Pgd</f>
        <v xml:space="preserve">Processus de gouvernance et de prise de décision </v>
      </c>
    </row>
    <row r="16" spans="1:55" ht="54" customHeight="1" x14ac:dyDescent="0.25">
      <c r="A16" s="1112" t="str">
        <f>Fic</f>
        <v xml:space="preserve">Fichier ou base de données </v>
      </c>
      <c r="B16" s="1101"/>
      <c r="C16" s="1101"/>
      <c r="D16" s="1101" t="str">
        <f>Det</f>
        <v>Données en transit</v>
      </c>
      <c r="E16" s="1101"/>
      <c r="F16" s="1101"/>
      <c r="G16" s="1101" t="str">
        <f>Med</f>
        <v>Media support de données</v>
      </c>
      <c r="H16" s="1101"/>
      <c r="I16" s="1101"/>
      <c r="J16" s="1101" t="str">
        <f>Fic</f>
        <v xml:space="preserve">Fichier ou base de données </v>
      </c>
      <c r="K16" s="1101"/>
      <c r="L16" s="1101"/>
      <c r="M16" s="1101" t="str">
        <f>Det</f>
        <v>Données en transit</v>
      </c>
      <c r="N16" s="1101"/>
      <c r="O16" s="1101"/>
      <c r="P16" s="1101" t="str">
        <f>Med</f>
        <v>Media support de données</v>
      </c>
      <c r="Q16" s="1101"/>
      <c r="R16" s="1101"/>
      <c r="S16" s="1103" t="str">
        <f>Doc</f>
        <v>Document</v>
      </c>
      <c r="T16" s="1108"/>
      <c r="U16" s="1104"/>
      <c r="V16" s="1103" t="str">
        <f>Coe</f>
        <v>Courriel en transit</v>
      </c>
      <c r="W16" s="1108"/>
      <c r="X16" s="1104"/>
      <c r="Y16" s="1108" t="str">
        <f>Cop</f>
        <v>Courrier en transit</v>
      </c>
      <c r="Z16" s="1108"/>
      <c r="AA16" s="1104"/>
      <c r="AB16" s="1109" t="str">
        <f>Fic</f>
        <v xml:space="preserve">Fichier ou base de données </v>
      </c>
      <c r="AC16" s="1104"/>
      <c r="AD16" s="1108" t="str">
        <f>Msa</f>
        <v>Média support d'archive</v>
      </c>
      <c r="AE16" s="1104"/>
      <c r="AF16" s="1109" t="str">
        <f>Fic</f>
        <v xml:space="preserve">Fichier ou base de données </v>
      </c>
      <c r="AG16" s="1104"/>
      <c r="AH16" s="1109" t="str">
        <f>Fic</f>
        <v xml:space="preserve">Fichier ou base de données </v>
      </c>
      <c r="AI16" s="1108"/>
      <c r="AJ16" s="1108"/>
      <c r="AK16" s="1109" t="str">
        <f>Det</f>
        <v>Données en transit</v>
      </c>
      <c r="AL16" s="1108"/>
      <c r="AM16" s="1108"/>
      <c r="AN16" s="1101" t="str">
        <f>Cfg</f>
        <v>Configuration systèmes et applications</v>
      </c>
      <c r="AO16" s="1101"/>
      <c r="AP16" s="1101"/>
      <c r="AQ16" s="1101" t="str">
        <f>Msl</f>
        <v>Media support de logiciel</v>
      </c>
      <c r="AR16" s="1107"/>
      <c r="AS16" s="1101"/>
      <c r="AT16" s="1101" t="str">
        <f>Equ</f>
        <v>Equipement de l'Infrastructure informatique</v>
      </c>
      <c r="AU16" s="1101"/>
      <c r="AV16" s="1101" t="str">
        <f>Env</f>
        <v>Environnement de travail et équipement des utilisateurs</v>
      </c>
      <c r="AW16" s="1101"/>
      <c r="AX16" s="1101" t="str">
        <f>Iml</f>
        <v>Infrastructure matérielle et logicielle support de services externalisés</v>
      </c>
      <c r="AY16" s="1101"/>
      <c r="AZ16" s="1103" t="str">
        <f>Cfg</f>
        <v>Configuration systèmes et applications</v>
      </c>
      <c r="BA16" s="1104"/>
      <c r="BB16" s="483" t="str">
        <f>Pro</f>
        <v xml:space="preserve"> Procédure support des processus</v>
      </c>
      <c r="BC16" s="492" t="str">
        <f>Pro</f>
        <v xml:space="preserve"> Procédure support des processus</v>
      </c>
    </row>
    <row r="17" spans="1:55" ht="13.8" thickBot="1" x14ac:dyDescent="0.3">
      <c r="A17" s="496" t="s">
        <v>76</v>
      </c>
      <c r="B17" s="484" t="s">
        <v>23</v>
      </c>
      <c r="C17" s="484" t="s">
        <v>34</v>
      </c>
      <c r="D17" s="496" t="s">
        <v>76</v>
      </c>
      <c r="E17" s="484" t="s">
        <v>23</v>
      </c>
      <c r="F17" s="484" t="s">
        <v>34</v>
      </c>
      <c r="G17" s="496" t="s">
        <v>76</v>
      </c>
      <c r="H17" s="484" t="s">
        <v>23</v>
      </c>
      <c r="I17" s="484" t="s">
        <v>34</v>
      </c>
      <c r="J17" s="496" t="s">
        <v>76</v>
      </c>
      <c r="K17" s="484" t="s">
        <v>23</v>
      </c>
      <c r="L17" s="484" t="s">
        <v>34</v>
      </c>
      <c r="M17" s="496" t="s">
        <v>76</v>
      </c>
      <c r="N17" s="484" t="s">
        <v>23</v>
      </c>
      <c r="O17" s="484" t="s">
        <v>34</v>
      </c>
      <c r="P17" s="496" t="s">
        <v>76</v>
      </c>
      <c r="Q17" s="484" t="s">
        <v>23</v>
      </c>
      <c r="R17" s="484" t="s">
        <v>34</v>
      </c>
      <c r="S17" s="484" t="s">
        <v>76</v>
      </c>
      <c r="T17" s="484" t="s">
        <v>23</v>
      </c>
      <c r="U17" s="484" t="s">
        <v>34</v>
      </c>
      <c r="V17" s="496" t="s">
        <v>76</v>
      </c>
      <c r="W17" s="484" t="s">
        <v>23</v>
      </c>
      <c r="X17" s="484" t="s">
        <v>34</v>
      </c>
      <c r="Y17" s="496" t="s">
        <v>76</v>
      </c>
      <c r="Z17" s="497" t="s">
        <v>23</v>
      </c>
      <c r="AA17" s="484" t="s">
        <v>34</v>
      </c>
      <c r="AB17" s="496" t="s">
        <v>76</v>
      </c>
      <c r="AC17" s="484" t="s">
        <v>34</v>
      </c>
      <c r="AD17" s="496" t="s">
        <v>76</v>
      </c>
      <c r="AE17" s="484" t="s">
        <v>34</v>
      </c>
      <c r="AF17" s="496" t="s">
        <v>76</v>
      </c>
      <c r="AG17" s="484" t="s">
        <v>23</v>
      </c>
      <c r="AH17" s="496" t="s">
        <v>76</v>
      </c>
      <c r="AI17" s="484" t="s">
        <v>23</v>
      </c>
      <c r="AJ17" s="484" t="s">
        <v>34</v>
      </c>
      <c r="AK17" s="496" t="s">
        <v>76</v>
      </c>
      <c r="AL17" s="484" t="s">
        <v>23</v>
      </c>
      <c r="AM17" s="484" t="s">
        <v>34</v>
      </c>
      <c r="AN17" s="484" t="s">
        <v>76</v>
      </c>
      <c r="AO17" s="484" t="s">
        <v>23</v>
      </c>
      <c r="AP17" s="484" t="s">
        <v>34</v>
      </c>
      <c r="AQ17" s="484" t="s">
        <v>76</v>
      </c>
      <c r="AR17" s="759" t="s">
        <v>23</v>
      </c>
      <c r="AS17" s="484" t="s">
        <v>34</v>
      </c>
      <c r="AT17" s="484" t="s">
        <v>76</v>
      </c>
      <c r="AU17" s="484" t="s">
        <v>23</v>
      </c>
      <c r="AV17" s="484" t="s">
        <v>76</v>
      </c>
      <c r="AW17" s="484" t="s">
        <v>23</v>
      </c>
      <c r="AX17" s="484" t="s">
        <v>76</v>
      </c>
      <c r="AY17" s="484" t="s">
        <v>23</v>
      </c>
      <c r="AZ17" s="484" t="s">
        <v>76</v>
      </c>
      <c r="BA17" s="484" t="s">
        <v>23</v>
      </c>
      <c r="BB17" s="484" t="s">
        <v>41</v>
      </c>
      <c r="BC17" s="498" t="s">
        <v>41</v>
      </c>
    </row>
    <row r="18" spans="1:55" ht="53.4" thickBot="1" x14ac:dyDescent="0.3">
      <c r="A18" s="499" t="str">
        <f>Disp</f>
        <v>Disparition</v>
      </c>
      <c r="B18" s="485" t="str">
        <f>Altd</f>
        <v>Altération (non détectée) de donnée</v>
      </c>
      <c r="C18" s="485" t="str">
        <f>Dive</f>
        <v>Divulgation de données</v>
      </c>
      <c r="D18" s="500" t="str">
        <f>Disp</f>
        <v>Disparition</v>
      </c>
      <c r="E18" s="485" t="str">
        <f>Altd</f>
        <v>Altération (non détectée) de donnée</v>
      </c>
      <c r="F18" s="500" t="str">
        <f>Dive</f>
        <v>Divulgation de données</v>
      </c>
      <c r="G18" s="500" t="str">
        <f>Inac</f>
        <v>Inaccessibilité</v>
      </c>
      <c r="H18" s="500" t="str">
        <f>Crfx</f>
        <v>Création de faux</v>
      </c>
      <c r="I18" s="500" t="str">
        <f>Dive</f>
        <v>Divulgation de données</v>
      </c>
      <c r="J18" s="499" t="str">
        <f>Disp</f>
        <v>Disparition</v>
      </c>
      <c r="K18" s="485" t="str">
        <f>Altd</f>
        <v>Altération (non détectée) de donnée</v>
      </c>
      <c r="L18" s="500" t="str">
        <f>Dive</f>
        <v>Divulgation de données</v>
      </c>
      <c r="M18" s="500" t="str">
        <f>Disp</f>
        <v>Disparition</v>
      </c>
      <c r="N18" s="485" t="str">
        <f>Altd</f>
        <v>Altération (non détectée) de donnée</v>
      </c>
      <c r="O18" s="500" t="str">
        <f>Dive</f>
        <v>Divulgation de données</v>
      </c>
      <c r="P18" s="500" t="str">
        <f>Inac</f>
        <v>Inaccessibilité</v>
      </c>
      <c r="Q18" s="500" t="str">
        <f>Crfx</f>
        <v>Création de faux</v>
      </c>
      <c r="R18" s="501" t="str">
        <f>Dive</f>
        <v>Divulgation de données</v>
      </c>
      <c r="S18" s="502" t="str">
        <f>Disp</f>
        <v>Disparition</v>
      </c>
      <c r="T18" s="485" t="str">
        <f>Crfx</f>
        <v>Création de faux</v>
      </c>
      <c r="U18" s="500" t="str">
        <f>Dive</f>
        <v>Divulgation de données</v>
      </c>
      <c r="V18" s="503" t="str">
        <f>Disp</f>
        <v>Disparition</v>
      </c>
      <c r="W18" s="500" t="str">
        <f>Altd</f>
        <v>Altération (non détectée) de donnée</v>
      </c>
      <c r="X18" s="500" t="str">
        <f>Dive</f>
        <v>Divulgation de données</v>
      </c>
      <c r="Y18" s="175" t="str">
        <f>Disp</f>
        <v>Disparition</v>
      </c>
      <c r="Z18" s="220" t="str">
        <f>Crfx</f>
        <v>Création de faux</v>
      </c>
      <c r="AA18" s="500" t="str">
        <f>Dive</f>
        <v>Divulgation de données</v>
      </c>
      <c r="AB18" s="504" t="str">
        <f>Disp</f>
        <v>Disparition</v>
      </c>
      <c r="AC18" s="500" t="str">
        <f>Dive</f>
        <v>Divulgation de données</v>
      </c>
      <c r="AD18" s="500" t="str">
        <f>Inac</f>
        <v>Inaccessibilité</v>
      </c>
      <c r="AE18" s="500" t="str">
        <f>Dive</f>
        <v>Divulgation de données</v>
      </c>
      <c r="AF18" s="504" t="str">
        <f>Disp</f>
        <v>Disparition</v>
      </c>
      <c r="AG18" s="500" t="str">
        <f>Altd</f>
        <v>Altération (non détectée) de donnée</v>
      </c>
      <c r="AH18" s="504" t="str">
        <f>Disp</f>
        <v>Disparition</v>
      </c>
      <c r="AI18" s="500" t="str">
        <f>Altd</f>
        <v>Altération (non détectée) de donnée</v>
      </c>
      <c r="AJ18" s="500" t="str">
        <f>Dive</f>
        <v>Divulgation de données</v>
      </c>
      <c r="AK18" s="504" t="str">
        <f>Disp</f>
        <v>Disparition</v>
      </c>
      <c r="AL18" s="500" t="str">
        <f>Altd</f>
        <v>Altération (non détectée) de donnée</v>
      </c>
      <c r="AM18" s="500" t="str">
        <f>Dive</f>
        <v>Divulgation de données</v>
      </c>
      <c r="AN18" s="500" t="str">
        <f>Disp</f>
        <v>Disparition</v>
      </c>
      <c r="AO18" s="500" t="str">
        <f>Altf</f>
        <v>Altération (non détectée) de fonction</v>
      </c>
      <c r="AP18" s="500" t="str">
        <f>Dive</f>
        <v>Divulgation de données</v>
      </c>
      <c r="AQ18" s="500" t="str">
        <f>Inac</f>
        <v>Inaccessibilité</v>
      </c>
      <c r="AR18" s="500" t="str">
        <f>Crfx</f>
        <v>Création de faux</v>
      </c>
      <c r="AS18" s="500" t="str">
        <f>Dive</f>
        <v>Divulgation de données</v>
      </c>
      <c r="AT18" s="500" t="str">
        <f>Disp</f>
        <v>Disparition</v>
      </c>
      <c r="AU18" s="500" t="str">
        <f>Altf</f>
        <v>Altération (non détectée) de fonction</v>
      </c>
      <c r="AV18" s="505" t="str">
        <f>Inex</f>
        <v>Inexploitabilité</v>
      </c>
      <c r="AW18" s="500" t="str">
        <f>Altf</f>
        <v>Altération (non détectée) de fonction</v>
      </c>
      <c r="AX18" s="500" t="str">
        <f>Inac</f>
        <v>Inaccessibilité</v>
      </c>
      <c r="AY18" s="500" t="str">
        <f>Altf</f>
        <v>Altération (non détectée) de fonction</v>
      </c>
      <c r="AZ18" s="485" t="str">
        <f>Inex</f>
        <v>Inexploitabilité</v>
      </c>
      <c r="BA18" s="500" t="str">
        <f>Altf</f>
        <v>Altération (non détectée) de fonction</v>
      </c>
      <c r="BB18" s="506" t="str">
        <f>Napp</f>
        <v>Non application de la procédure adaptée</v>
      </c>
      <c r="BC18" s="507" t="str">
        <f>Napp</f>
        <v>Non application de la procédure adaptée</v>
      </c>
    </row>
    <row r="19" spans="1:55" ht="52.8" x14ac:dyDescent="0.25">
      <c r="A19" s="502" t="str">
        <f>Inex</f>
        <v>Inexploitabilité</v>
      </c>
      <c r="B19" s="485" t="str">
        <f>Inco</f>
        <v>Incohérence (non détectée) de données</v>
      </c>
      <c r="D19" s="500"/>
      <c r="E19" s="483"/>
      <c r="F19" s="508"/>
      <c r="G19" s="500" t="str">
        <f>Disp</f>
        <v>Disparition</v>
      </c>
      <c r="H19" s="483"/>
      <c r="I19" s="508"/>
      <c r="J19" s="276" t="str">
        <f>Inex</f>
        <v>Inexploitabilité</v>
      </c>
      <c r="K19" s="485"/>
      <c r="M19" s="500"/>
      <c r="N19" s="483"/>
      <c r="O19" s="508"/>
      <c r="P19" s="500" t="str">
        <f>Disp</f>
        <v>Disparition</v>
      </c>
      <c r="Q19" s="483"/>
      <c r="R19" s="492"/>
      <c r="S19" s="509" t="str">
        <f>Endp</f>
        <v>Endommagement physique</v>
      </c>
      <c r="T19" s="509"/>
      <c r="U19" s="483"/>
      <c r="V19" s="218" t="str">
        <f>Inac</f>
        <v>Inaccessibilité</v>
      </c>
      <c r="W19" s="220" t="str">
        <f>Crfx</f>
        <v>Création de faux</v>
      </c>
      <c r="X19" s="510"/>
      <c r="Y19" s="510"/>
      <c r="Z19" s="510"/>
      <c r="AA19" s="483"/>
      <c r="AB19" s="504" t="str">
        <f>Inex</f>
        <v>Inexploitabilité</v>
      </c>
      <c r="AD19" s="500" t="str">
        <f>Disp</f>
        <v>Disparition</v>
      </c>
      <c r="AE19" s="483"/>
      <c r="AF19" s="504"/>
      <c r="AG19" s="485"/>
      <c r="AH19" s="504"/>
      <c r="AI19" s="511"/>
      <c r="AJ19" s="485"/>
      <c r="AK19" s="504"/>
      <c r="AL19" s="511"/>
      <c r="AM19" s="485"/>
      <c r="AN19" s="509" t="str">
        <f>Inop</f>
        <v>Inopérabilité</v>
      </c>
      <c r="AO19" s="483"/>
      <c r="AP19" s="483"/>
      <c r="AQ19" s="500" t="str">
        <f>Disp</f>
        <v>Disparition</v>
      </c>
      <c r="AR19" s="483"/>
      <c r="AS19" s="483"/>
      <c r="AT19" s="509" t="str">
        <f>Endp</f>
        <v>Endommagement physique</v>
      </c>
      <c r="AV19" s="502" t="str">
        <f>Inop</f>
        <v>Inopérabilité</v>
      </c>
      <c r="AX19" s="509" t="str">
        <f>Inop</f>
        <v>Inopérabilité</v>
      </c>
      <c r="AY19" s="483"/>
      <c r="AZ19" s="509"/>
      <c r="BA19" s="485"/>
      <c r="BB19" s="512"/>
      <c r="BC19" s="492"/>
    </row>
    <row r="20" spans="1:55" ht="39.6" x14ac:dyDescent="0.25">
      <c r="A20" s="504" t="str">
        <f>Endl</f>
        <v>Endommagement logique</v>
      </c>
      <c r="C20" s="483"/>
      <c r="D20" s="502"/>
      <c r="E20" s="483"/>
      <c r="F20" s="508"/>
      <c r="G20" s="502" t="str">
        <f>Inop</f>
        <v>Inopérabilité</v>
      </c>
      <c r="H20" s="483"/>
      <c r="I20" s="508"/>
      <c r="J20" s="504" t="str">
        <f>Endl</f>
        <v>Endommagement logique</v>
      </c>
      <c r="L20" s="483"/>
      <c r="M20" s="502"/>
      <c r="N20" s="483"/>
      <c r="O20" s="508"/>
      <c r="P20" s="509" t="str">
        <f>Endp</f>
        <v>Endommagement physique</v>
      </c>
      <c r="Q20" s="483"/>
      <c r="R20" s="492"/>
      <c r="T20" s="509"/>
      <c r="U20" s="483"/>
      <c r="V20" s="483"/>
      <c r="X20" s="483"/>
      <c r="Y20" s="483"/>
      <c r="Z20" s="483"/>
      <c r="AA20" s="483"/>
      <c r="AB20" s="504"/>
      <c r="AC20" s="483"/>
      <c r="AD20" s="502" t="str">
        <f>Inop</f>
        <v>Inopérabilité</v>
      </c>
      <c r="AE20" s="483"/>
      <c r="AF20" s="504"/>
      <c r="AH20" s="504"/>
      <c r="AI20" s="513"/>
      <c r="AK20" s="504"/>
      <c r="AL20" s="513"/>
      <c r="AN20" s="485" t="str">
        <f>Inex</f>
        <v>Inexploitabilité</v>
      </c>
      <c r="AO20" s="483"/>
      <c r="AP20" s="483"/>
      <c r="AQ20" s="502" t="str">
        <f>Inop</f>
        <v>Inopérabilité</v>
      </c>
      <c r="AR20" s="483"/>
      <c r="AS20" s="483"/>
      <c r="AT20" s="502" t="str">
        <f>Inop</f>
        <v>Inopérabilité</v>
      </c>
      <c r="AU20" s="483"/>
      <c r="AV20" s="483"/>
      <c r="AW20" s="483"/>
      <c r="AX20" s="485"/>
      <c r="AY20" s="483"/>
      <c r="BA20" s="485"/>
      <c r="BB20" s="485"/>
      <c r="BC20" s="492"/>
    </row>
    <row r="21" spans="1:55" ht="39.6" x14ac:dyDescent="0.25">
      <c r="A21" s="483"/>
      <c r="B21" s="483"/>
      <c r="C21" s="483"/>
      <c r="D21" s="509"/>
      <c r="E21" s="483"/>
      <c r="F21" s="508"/>
      <c r="G21" s="509" t="str">
        <f>Endp</f>
        <v>Endommagement physique</v>
      </c>
      <c r="H21" s="483"/>
      <c r="I21" s="508"/>
      <c r="J21" s="277"/>
      <c r="K21" s="483"/>
      <c r="L21" s="483"/>
      <c r="M21" s="509"/>
      <c r="N21" s="483"/>
      <c r="O21" s="508"/>
      <c r="P21" s="502" t="str">
        <f>Inop</f>
        <v>Inopérabilité</v>
      </c>
      <c r="R21" s="492"/>
      <c r="S21" s="502"/>
      <c r="T21" s="502"/>
      <c r="U21" s="483"/>
      <c r="V21" s="483"/>
      <c r="W21" s="483"/>
      <c r="X21" s="483"/>
      <c r="Y21" s="483"/>
      <c r="Z21" s="483"/>
      <c r="AA21" s="483"/>
      <c r="AB21" s="504"/>
      <c r="AC21" s="483"/>
      <c r="AD21" s="509" t="str">
        <f>Endp</f>
        <v>Endommagement physique</v>
      </c>
      <c r="AE21" s="483"/>
      <c r="AF21" s="504"/>
      <c r="AG21" s="483"/>
      <c r="AH21" s="504"/>
      <c r="AI21" s="511"/>
      <c r="AJ21" s="483"/>
      <c r="AK21" s="504"/>
      <c r="AL21" s="511"/>
      <c r="AM21" s="483"/>
      <c r="AN21" s="514" t="str">
        <f>Endl</f>
        <v>Endommagement logique</v>
      </c>
      <c r="AO21" s="483"/>
      <c r="AP21" s="483"/>
      <c r="AQ21" s="515" t="str">
        <f>Endp</f>
        <v>Endommagement physique</v>
      </c>
      <c r="AR21" s="483"/>
      <c r="AS21" s="483"/>
      <c r="AT21" s="500" t="str">
        <f>Inex</f>
        <v>Inexploitabilité</v>
      </c>
      <c r="AU21" s="483"/>
      <c r="AV21" s="502"/>
      <c r="AW21" s="502"/>
      <c r="AX21" s="502"/>
      <c r="AY21" s="483"/>
      <c r="AZ21" s="502"/>
      <c r="BA21" s="502"/>
      <c r="BC21" s="492"/>
    </row>
    <row r="22" spans="1:55" ht="26.4" x14ac:dyDescent="0.25">
      <c r="A22" s="516"/>
      <c r="B22" s="386"/>
      <c r="C22" s="386"/>
      <c r="D22" s="517"/>
      <c r="E22" s="483"/>
      <c r="F22" s="386"/>
      <c r="G22" s="517" t="str">
        <f>Inex</f>
        <v>Inexploitabilité</v>
      </c>
      <c r="H22" s="483"/>
      <c r="I22" s="386"/>
      <c r="J22" s="516"/>
      <c r="K22" s="386"/>
      <c r="L22" s="386"/>
      <c r="M22" s="517"/>
      <c r="N22" s="483"/>
      <c r="O22" s="386"/>
      <c r="P22" s="517" t="str">
        <f>Inex</f>
        <v>Inexploitabilité</v>
      </c>
      <c r="Q22" s="483"/>
      <c r="R22" s="261"/>
      <c r="S22" s="518"/>
      <c r="T22" s="518"/>
      <c r="U22" s="386"/>
      <c r="V22" s="386"/>
      <c r="W22" s="386"/>
      <c r="X22" s="386"/>
      <c r="Y22" s="386"/>
      <c r="Z22" s="386"/>
      <c r="AA22" s="386"/>
      <c r="AB22" s="516"/>
      <c r="AC22" s="386"/>
      <c r="AD22" s="517" t="str">
        <f>Inex</f>
        <v>Inexploitabilité</v>
      </c>
      <c r="AE22" s="386"/>
      <c r="AF22" s="516"/>
      <c r="AG22" s="386"/>
      <c r="AH22" s="516"/>
      <c r="AI22" s="519"/>
      <c r="AJ22" s="386"/>
      <c r="AK22" s="516"/>
      <c r="AL22" s="519"/>
      <c r="AM22" s="386"/>
      <c r="AN22" s="386"/>
      <c r="AO22" s="386"/>
      <c r="AP22" s="386"/>
      <c r="AQ22" s="517" t="str">
        <f>Inex</f>
        <v>Inexploitabilité</v>
      </c>
      <c r="AR22" s="483"/>
      <c r="AS22" s="483"/>
      <c r="AT22" s="251"/>
      <c r="AU22" s="502"/>
      <c r="AW22" s="502"/>
      <c r="AY22" s="386"/>
      <c r="BA22" s="502"/>
      <c r="BB22" s="386"/>
      <c r="BC22" s="261"/>
    </row>
    <row r="23" spans="1:55" ht="13.8" thickBot="1" x14ac:dyDescent="0.3">
      <c r="A23" s="493"/>
      <c r="B23" s="494"/>
      <c r="C23" s="494"/>
      <c r="D23" s="505"/>
      <c r="E23" s="505"/>
      <c r="F23" s="494"/>
      <c r="G23" s="505"/>
      <c r="H23" s="505"/>
      <c r="I23" s="494"/>
      <c r="J23" s="493"/>
      <c r="K23" s="494"/>
      <c r="L23" s="494"/>
      <c r="M23" s="505"/>
      <c r="N23" s="505"/>
      <c r="O23" s="494"/>
      <c r="P23" s="520"/>
      <c r="Q23" s="520"/>
      <c r="R23" s="495"/>
      <c r="S23" s="505"/>
      <c r="T23" s="505"/>
      <c r="U23" s="494"/>
      <c r="V23" s="494"/>
      <c r="W23" s="494"/>
      <c r="X23" s="494"/>
      <c r="Y23" s="494"/>
      <c r="Z23" s="494"/>
      <c r="AA23" s="494"/>
      <c r="AB23" s="493"/>
      <c r="AC23" s="494"/>
      <c r="AD23" s="505"/>
      <c r="AE23" s="494"/>
      <c r="AF23" s="493"/>
      <c r="AG23" s="494"/>
      <c r="AH23" s="493"/>
      <c r="AI23" s="521"/>
      <c r="AJ23" s="494"/>
      <c r="AK23" s="493"/>
      <c r="AL23" s="521"/>
      <c r="AM23" s="494"/>
      <c r="AN23" s="522"/>
      <c r="AO23" s="494"/>
      <c r="AP23" s="494"/>
      <c r="AQ23" s="505"/>
      <c r="AR23" s="494"/>
      <c r="AS23" s="494"/>
      <c r="AT23" s="494"/>
      <c r="AU23" s="494"/>
      <c r="AV23" s="494"/>
      <c r="AW23" s="494"/>
      <c r="AX23" s="522"/>
      <c r="AY23" s="494"/>
      <c r="AZ23" s="522"/>
      <c r="BA23" s="494"/>
      <c r="BB23" s="494"/>
      <c r="BC23" s="495"/>
    </row>
    <row r="25" spans="1:55" ht="23.25" customHeight="1" x14ac:dyDescent="0.25">
      <c r="A25" s="1113" t="s">
        <v>1714</v>
      </c>
      <c r="B25" s="1113"/>
      <c r="C25" s="1113"/>
      <c r="D25" s="1113"/>
      <c r="E25" s="1113"/>
      <c r="F25" s="1113"/>
      <c r="G25" s="1113"/>
      <c r="H25" s="1113"/>
      <c r="I25" s="1113"/>
      <c r="J25" s="1113"/>
      <c r="K25" s="1113"/>
      <c r="L25" s="1113"/>
      <c r="M25" s="1113"/>
      <c r="N25" s="1113"/>
    </row>
    <row r="26" spans="1:55" ht="19.5" customHeight="1" x14ac:dyDescent="0.25">
      <c r="A26" s="62" t="s">
        <v>1150</v>
      </c>
      <c r="B26" s="334"/>
      <c r="C26" s="338" t="s">
        <v>1767</v>
      </c>
      <c r="D26" s="334"/>
      <c r="E26" s="334"/>
      <c r="F26" s="334"/>
      <c r="G26" s="334"/>
      <c r="H26" s="62"/>
      <c r="J26" t="e">
        <f>Tab_sel!$O$24</f>
        <v>#N/A</v>
      </c>
    </row>
    <row r="27" spans="1:55" ht="18" customHeight="1" x14ac:dyDescent="0.25">
      <c r="A27" s="320"/>
      <c r="B27" s="1111" t="s">
        <v>1122</v>
      </c>
      <c r="C27" s="1111"/>
      <c r="D27" s="1111"/>
      <c r="E27" s="1111"/>
      <c r="F27" s="1111"/>
      <c r="G27" s="1111"/>
    </row>
    <row r="28" spans="1:55" ht="28.5" customHeight="1" x14ac:dyDescent="0.25">
      <c r="A28" s="335" t="s">
        <v>1135</v>
      </c>
      <c r="B28" s="336">
        <v>1</v>
      </c>
      <c r="C28" s="336">
        <v>2</v>
      </c>
      <c r="D28" s="336">
        <v>3</v>
      </c>
      <c r="E28" s="336">
        <v>4</v>
      </c>
      <c r="F28" s="336">
        <v>5</v>
      </c>
      <c r="G28" s="336">
        <v>6</v>
      </c>
    </row>
    <row r="29" spans="1:55" ht="18" customHeight="1" x14ac:dyDescent="0.25">
      <c r="A29" s="523">
        <v>1</v>
      </c>
      <c r="B29" s="524" t="e">
        <f>IF($J$26="D",0+1, IF($J$26="I", 0 +2,0+3))</f>
        <v>#N/A</v>
      </c>
      <c r="C29" s="524" t="e">
        <f>IF($J$26="D",3+1, IF($J$26="I", 3 +2,3+3))</f>
        <v>#N/A</v>
      </c>
      <c r="D29" s="524" t="e">
        <f>IF($J$26="D",6+1, IF($J$26="I", 6 +2,6+3))</f>
        <v>#N/A</v>
      </c>
      <c r="E29" s="524"/>
      <c r="F29" s="524"/>
      <c r="G29" s="524"/>
    </row>
    <row r="30" spans="1:55" ht="18" customHeight="1" x14ac:dyDescent="0.25">
      <c r="A30" s="523">
        <v>2</v>
      </c>
      <c r="B30" s="524" t="e">
        <f>IF($J$26="D",9+1, IF($J$26="I", 9 +2,9+3))</f>
        <v>#N/A</v>
      </c>
      <c r="C30" s="524" t="e">
        <f>IF($J$26="D",12+1, IF($J$26="I", 12 +2,12+3))</f>
        <v>#N/A</v>
      </c>
      <c r="D30" s="524" t="e">
        <f>IF($J$26="D",15+1, IF($J$26="I", 15 +2,15+3))</f>
        <v>#N/A</v>
      </c>
      <c r="E30" s="524"/>
      <c r="F30" s="524"/>
      <c r="G30" s="524"/>
    </row>
    <row r="31" spans="1:55" ht="18" customHeight="1" x14ac:dyDescent="0.25">
      <c r="A31" s="523">
        <v>3</v>
      </c>
      <c r="B31" s="524" t="e">
        <f>IF($J$26="D",18+1, IF($J$26="I", 18 +2,18+3))</f>
        <v>#N/A</v>
      </c>
      <c r="C31" s="524"/>
      <c r="D31" s="524"/>
      <c r="E31" s="524"/>
      <c r="F31" s="524"/>
      <c r="G31" s="524"/>
    </row>
    <row r="32" spans="1:55" ht="18" customHeight="1" x14ac:dyDescent="0.25">
      <c r="A32" s="523">
        <v>4</v>
      </c>
      <c r="B32" s="524" t="e">
        <f>IF($J$26="D",21+1, IF($J$26="I", 21 +2,21+3))</f>
        <v>#N/A</v>
      </c>
      <c r="C32" s="524" t="e">
        <f>IF($J$26="D",24+1, IF($J$26="I", 24 +2,24+3))</f>
        <v>#N/A</v>
      </c>
      <c r="D32" s="524"/>
      <c r="E32" s="524"/>
      <c r="F32" s="524"/>
      <c r="G32" s="524"/>
    </row>
    <row r="33" spans="1:55" ht="18" customHeight="1" x14ac:dyDescent="0.25">
      <c r="A33" s="523">
        <v>5</v>
      </c>
      <c r="B33" s="524" t="e">
        <f>IF($J$26="D", 27+1, 27+2)</f>
        <v>#N/A</v>
      </c>
      <c r="C33" s="524" t="e">
        <f>IF(Tab_sel!$O$24="D", 29+1, 29+2)</f>
        <v>#N/A</v>
      </c>
      <c r="D33" s="524">
        <v>33</v>
      </c>
      <c r="E33" s="524"/>
      <c r="F33" s="524"/>
      <c r="G33" s="524"/>
    </row>
    <row r="34" spans="1:55" ht="18" customHeight="1" x14ac:dyDescent="0.25">
      <c r="A34" s="523">
        <v>6</v>
      </c>
      <c r="B34" s="524" t="e">
        <f>IF(Tab_sel!$O$24="D", 31+1, 31+2)</f>
        <v>#N/A</v>
      </c>
      <c r="C34" s="524"/>
      <c r="D34" s="524"/>
      <c r="E34" s="524"/>
      <c r="F34" s="524"/>
      <c r="G34" s="524"/>
    </row>
    <row r="35" spans="1:55" ht="18" customHeight="1" x14ac:dyDescent="0.25">
      <c r="A35" s="523">
        <v>7</v>
      </c>
      <c r="B35" s="524" t="e">
        <f>IF($J$26="D",33+1, IF($J$26="I", 33 +2,33+3))</f>
        <v>#N/A</v>
      </c>
      <c r="C35" s="524" t="e">
        <f>IF($J$26="D",36+1, IF($J$26="I", 36 +2,36+3))</f>
        <v>#N/A</v>
      </c>
      <c r="D35" s="524"/>
      <c r="E35" s="524"/>
      <c r="F35" s="524"/>
      <c r="G35" s="524"/>
    </row>
    <row r="36" spans="1:55" ht="18" customHeight="1" x14ac:dyDescent="0.25">
      <c r="A36" s="523">
        <v>8</v>
      </c>
      <c r="B36" s="524" t="e">
        <f>IF($J$26="D",39+1, IF($J$26="I", 39 +2,39+3))</f>
        <v>#N/A</v>
      </c>
      <c r="C36" s="524" t="e">
        <f>IF($J$26="D",42+1, IF($J$26="I", 42 +2,42+3))</f>
        <v>#N/A</v>
      </c>
      <c r="D36" s="524" t="e">
        <f>IF($J$26="D", 45+1, 45+2)</f>
        <v>#N/A</v>
      </c>
      <c r="E36" s="524" t="e">
        <f>IF(Tab_sel!$O$24="D", 47+1, 47+2)</f>
        <v>#N/A</v>
      </c>
      <c r="F36" s="524"/>
      <c r="G36" s="524"/>
    </row>
    <row r="37" spans="1:55" ht="18" customHeight="1" x14ac:dyDescent="0.25">
      <c r="A37" s="523">
        <v>9</v>
      </c>
      <c r="B37" s="524" t="e">
        <f>IF(Tab_sel!$O$24="D", 49+1, 49+2)</f>
        <v>#N/A</v>
      </c>
      <c r="C37" s="524"/>
      <c r="D37" s="524"/>
      <c r="E37" s="524"/>
      <c r="F37" s="524"/>
      <c r="G37" s="524"/>
    </row>
    <row r="38" spans="1:55" ht="18" customHeight="1" x14ac:dyDescent="0.25">
      <c r="A38" s="523">
        <v>10</v>
      </c>
      <c r="B38" s="524" t="e">
        <f>IF(Tab_sel!$O$24="D", 51+1, 51+2)</f>
        <v>#N/A</v>
      </c>
      <c r="C38" s="524"/>
      <c r="D38" s="524"/>
      <c r="E38" s="524"/>
      <c r="F38" s="524"/>
      <c r="G38" s="524"/>
    </row>
    <row r="39" spans="1:55" ht="18" customHeight="1" x14ac:dyDescent="0.25">
      <c r="A39" s="523">
        <v>11</v>
      </c>
      <c r="B39" s="524">
        <f>53+1</f>
        <v>54</v>
      </c>
      <c r="C39" s="524"/>
      <c r="D39" s="524"/>
      <c r="E39" s="524"/>
      <c r="F39" s="524"/>
      <c r="G39" s="524"/>
    </row>
    <row r="40" spans="1:55" ht="18" customHeight="1" x14ac:dyDescent="0.25">
      <c r="A40" s="523">
        <v>12</v>
      </c>
      <c r="B40" s="524">
        <f>54+1</f>
        <v>55</v>
      </c>
      <c r="C40" s="525"/>
      <c r="D40" s="525"/>
      <c r="E40" s="525"/>
      <c r="F40" s="525"/>
      <c r="G40" s="525"/>
    </row>
    <row r="41" spans="1:55" ht="18" customHeight="1" x14ac:dyDescent="0.25"/>
    <row r="44" spans="1:55" ht="22.8" x14ac:dyDescent="0.25">
      <c r="A44" s="214" t="s">
        <v>1212</v>
      </c>
      <c r="M44" s="665" t="s">
        <v>2535</v>
      </c>
    </row>
    <row r="45" spans="1:55" ht="18.75" customHeight="1" x14ac:dyDescent="0.25">
      <c r="A45" s="62" t="s">
        <v>1213</v>
      </c>
      <c r="T45" s="62"/>
    </row>
    <row r="46" spans="1:55" ht="43.2" customHeight="1" x14ac:dyDescent="0.25">
      <c r="A46" s="1103" t="str">
        <f>Dap</f>
        <v>Données applicatives</v>
      </c>
      <c r="B46" s="1110"/>
      <c r="C46" s="1110"/>
      <c r="D46" s="1110"/>
      <c r="E46" s="1110"/>
      <c r="F46" s="1110"/>
      <c r="G46" s="1110"/>
      <c r="H46" s="1110"/>
      <c r="I46" s="1104"/>
      <c r="J46" s="1103" t="str">
        <f>Dbu</f>
        <v>Données bureautiques</v>
      </c>
      <c r="K46" s="1110"/>
      <c r="L46" s="1110"/>
      <c r="M46" s="1110"/>
      <c r="N46" s="1110"/>
      <c r="O46" s="1110"/>
      <c r="P46" s="1110"/>
      <c r="Q46" s="1110"/>
      <c r="R46" s="1104"/>
      <c r="S46" s="1101" t="str">
        <f>Iei</f>
        <v>Informations écrites ou imprimées</v>
      </c>
      <c r="T46" s="1101"/>
      <c r="U46" s="1101"/>
      <c r="V46" s="1101" t="str">
        <f>Cep</f>
        <v>Courrier électronique ou postal</v>
      </c>
      <c r="W46" s="1101"/>
      <c r="X46" s="1101"/>
      <c r="Y46" s="1101"/>
      <c r="Z46" s="1101"/>
      <c r="AA46" s="1101"/>
      <c r="AB46" s="1101" t="str">
        <f>Arc</f>
        <v xml:space="preserve">Archives </v>
      </c>
      <c r="AC46" s="1101"/>
      <c r="AD46" s="1101"/>
      <c r="AE46" s="1101"/>
      <c r="AF46" s="1101" t="str">
        <f>Dpu</f>
        <v xml:space="preserve">Données et informations publiées </v>
      </c>
      <c r="AG46" s="1101"/>
      <c r="AH46" s="1103" t="str">
        <f>Dex</f>
        <v>Données externalisées</v>
      </c>
      <c r="AI46" s="1110"/>
      <c r="AJ46" s="1110"/>
      <c r="AK46" s="1110"/>
      <c r="AL46" s="1110"/>
      <c r="AM46" s="1104"/>
      <c r="AN46" s="1101" t="str">
        <f>Sap</f>
        <v>Services applicatifs</v>
      </c>
      <c r="AO46" s="1101"/>
      <c r="AP46" s="1101"/>
      <c r="AQ46" s="1101"/>
      <c r="AR46" s="1102"/>
      <c r="AS46" s="1101"/>
      <c r="AT46" s="1101"/>
      <c r="AU46" s="1101"/>
      <c r="AV46" s="1101"/>
      <c r="AW46" s="1101"/>
      <c r="AX46" s="1101" t="str">
        <f>Sex</f>
        <v>Services externalisés</v>
      </c>
      <c r="AY46" s="1101"/>
      <c r="AZ46" s="1101" t="str">
        <f>Spu</f>
        <v xml:space="preserve">Services de publication d'informations </v>
      </c>
      <c r="BA46" s="1101"/>
      <c r="BB46" s="484" t="str">
        <f>Pgc</f>
        <v xml:space="preserve">Processus de gestion de la conformité </v>
      </c>
      <c r="BC46" s="484" t="str">
        <f>Pgd</f>
        <v xml:space="preserve">Processus de gouvernance et de prise de décision </v>
      </c>
    </row>
    <row r="47" spans="1:55" ht="54" customHeight="1" x14ac:dyDescent="0.25">
      <c r="A47" s="1101" t="str">
        <f>Fic</f>
        <v xml:space="preserve">Fichier ou base de données </v>
      </c>
      <c r="B47" s="1101"/>
      <c r="C47" s="1101"/>
      <c r="D47" s="1101" t="str">
        <f>Det</f>
        <v>Données en transit</v>
      </c>
      <c r="E47" s="1101"/>
      <c r="F47" s="1101"/>
      <c r="G47" s="1101" t="str">
        <f>Med</f>
        <v>Media support de données</v>
      </c>
      <c r="H47" s="1101"/>
      <c r="I47" s="1101"/>
      <c r="J47" s="1101" t="str">
        <f>Fic</f>
        <v xml:space="preserve">Fichier ou base de données </v>
      </c>
      <c r="K47" s="1101"/>
      <c r="L47" s="1101"/>
      <c r="M47" s="1101" t="str">
        <f>Det</f>
        <v>Données en transit</v>
      </c>
      <c r="N47" s="1101"/>
      <c r="O47" s="1101"/>
      <c r="P47" s="1101" t="str">
        <f>Med</f>
        <v>Media support de données</v>
      </c>
      <c r="Q47" s="1101"/>
      <c r="R47" s="1101"/>
      <c r="S47" s="1101" t="str">
        <f>Doc</f>
        <v>Document</v>
      </c>
      <c r="T47" s="1101"/>
      <c r="U47" s="1101"/>
      <c r="V47" s="1101" t="str">
        <f>Coe</f>
        <v>Courriel en transit</v>
      </c>
      <c r="W47" s="1101"/>
      <c r="X47" s="1101"/>
      <c r="Y47" s="1101" t="str">
        <f>Cop</f>
        <v>Courrier en transit</v>
      </c>
      <c r="Z47" s="1101"/>
      <c r="AA47" s="1101"/>
      <c r="AB47" s="1101" t="str">
        <f>Fic</f>
        <v xml:space="preserve">Fichier ou base de données </v>
      </c>
      <c r="AC47" s="1101"/>
      <c r="AD47" s="1101" t="str">
        <f>Msa</f>
        <v>Média support d'archive</v>
      </c>
      <c r="AE47" s="1101"/>
      <c r="AF47" s="1101" t="str">
        <f>Fic</f>
        <v xml:space="preserve">Fichier ou base de données </v>
      </c>
      <c r="AG47" s="1101"/>
      <c r="AH47" s="1101" t="str">
        <f>Fic</f>
        <v xml:space="preserve">Fichier ou base de données </v>
      </c>
      <c r="AI47" s="1101"/>
      <c r="AJ47" s="1101"/>
      <c r="AK47" s="1101" t="str">
        <f>Det</f>
        <v>Données en transit</v>
      </c>
      <c r="AL47" s="1101"/>
      <c r="AM47" s="1101"/>
      <c r="AN47" s="1101" t="str">
        <f>Cfg</f>
        <v>Configuration systèmes et applications</v>
      </c>
      <c r="AO47" s="1101"/>
      <c r="AP47" s="1101"/>
      <c r="AQ47" s="1101" t="str">
        <f>Msl</f>
        <v>Media support de logiciel</v>
      </c>
      <c r="AR47" s="1102"/>
      <c r="AS47" s="1101"/>
      <c r="AT47" s="1101" t="str">
        <f>Equ</f>
        <v>Equipement de l'Infrastructure informatique</v>
      </c>
      <c r="AU47" s="1101"/>
      <c r="AV47" s="1101" t="str">
        <f>Env</f>
        <v>Environnement de travail et équipement des utilisateurs</v>
      </c>
      <c r="AW47" s="1101"/>
      <c r="AX47" s="1101" t="str">
        <f>Iml</f>
        <v>Infrastructure matérielle et logicielle support de services externalisés</v>
      </c>
      <c r="AY47" s="1101"/>
      <c r="AZ47" s="1103" t="str">
        <f>Cfg</f>
        <v>Configuration systèmes et applications</v>
      </c>
      <c r="BA47" s="1104"/>
      <c r="BB47" s="484" t="str">
        <f>Pro</f>
        <v xml:space="preserve"> Procédure support des processus</v>
      </c>
      <c r="BC47" s="484" t="str">
        <f>Pro</f>
        <v xml:space="preserve"> Procédure support des processus</v>
      </c>
    </row>
    <row r="48" spans="1:55" x14ac:dyDescent="0.25">
      <c r="A48" s="484" t="s">
        <v>76</v>
      </c>
      <c r="B48" s="484" t="s">
        <v>23</v>
      </c>
      <c r="C48" s="484" t="s">
        <v>34</v>
      </c>
      <c r="D48" s="484" t="s">
        <v>76</v>
      </c>
      <c r="E48" s="484" t="s">
        <v>23</v>
      </c>
      <c r="F48" s="484" t="s">
        <v>34</v>
      </c>
      <c r="G48" s="484" t="s">
        <v>76</v>
      </c>
      <c r="H48" s="484" t="s">
        <v>23</v>
      </c>
      <c r="I48" s="484" t="s">
        <v>34</v>
      </c>
      <c r="J48" s="484" t="s">
        <v>76</v>
      </c>
      <c r="K48" s="484" t="s">
        <v>23</v>
      </c>
      <c r="L48" s="484" t="s">
        <v>34</v>
      </c>
      <c r="M48" s="484" t="s">
        <v>76</v>
      </c>
      <c r="N48" s="484" t="s">
        <v>23</v>
      </c>
      <c r="O48" s="484" t="s">
        <v>34</v>
      </c>
      <c r="P48" s="484" t="s">
        <v>76</v>
      </c>
      <c r="Q48" s="484" t="s">
        <v>23</v>
      </c>
      <c r="R48" s="484" t="s">
        <v>34</v>
      </c>
      <c r="S48" s="484" t="s">
        <v>76</v>
      </c>
      <c r="T48" s="484"/>
      <c r="U48" s="484" t="s">
        <v>34</v>
      </c>
      <c r="V48" s="484" t="s">
        <v>76</v>
      </c>
      <c r="W48" s="484" t="s">
        <v>23</v>
      </c>
      <c r="X48" s="484" t="s">
        <v>34</v>
      </c>
      <c r="Y48" s="484" t="s">
        <v>76</v>
      </c>
      <c r="Z48" s="484"/>
      <c r="AA48" s="484" t="s">
        <v>34</v>
      </c>
      <c r="AB48" s="484" t="s">
        <v>76</v>
      </c>
      <c r="AC48" s="484" t="s">
        <v>34</v>
      </c>
      <c r="AD48" s="484" t="s">
        <v>76</v>
      </c>
      <c r="AE48" s="484" t="s">
        <v>34</v>
      </c>
      <c r="AF48" s="484" t="s">
        <v>76</v>
      </c>
      <c r="AG48" s="484" t="s">
        <v>23</v>
      </c>
      <c r="AH48" s="484" t="s">
        <v>76</v>
      </c>
      <c r="AI48" s="484" t="s">
        <v>23</v>
      </c>
      <c r="AJ48" s="484" t="s">
        <v>34</v>
      </c>
      <c r="AK48" s="484" t="s">
        <v>76</v>
      </c>
      <c r="AL48" s="484" t="s">
        <v>23</v>
      </c>
      <c r="AM48" s="484" t="s">
        <v>34</v>
      </c>
      <c r="AN48" s="484" t="s">
        <v>76</v>
      </c>
      <c r="AO48" s="484" t="s">
        <v>23</v>
      </c>
      <c r="AP48" s="484" t="s">
        <v>34</v>
      </c>
      <c r="AQ48" s="484" t="s">
        <v>76</v>
      </c>
      <c r="AR48" s="759" t="s">
        <v>23</v>
      </c>
      <c r="AS48" s="484" t="s">
        <v>34</v>
      </c>
      <c r="AT48" s="484" t="s">
        <v>76</v>
      </c>
      <c r="AU48" s="484" t="s">
        <v>23</v>
      </c>
      <c r="AV48" s="484" t="s">
        <v>76</v>
      </c>
      <c r="AW48" s="484" t="s">
        <v>23</v>
      </c>
      <c r="AX48" s="484" t="s">
        <v>76</v>
      </c>
      <c r="AY48" s="484" t="s">
        <v>23</v>
      </c>
      <c r="AZ48" s="484" t="s">
        <v>76</v>
      </c>
      <c r="BA48" s="484" t="s">
        <v>23</v>
      </c>
      <c r="BB48" s="484" t="s">
        <v>41</v>
      </c>
      <c r="BC48" s="484" t="s">
        <v>41</v>
      </c>
    </row>
    <row r="49" spans="1:55" x14ac:dyDescent="0.25">
      <c r="A49" s="526">
        <v>2</v>
      </c>
      <c r="B49" s="527">
        <v>25</v>
      </c>
      <c r="C49" s="527">
        <v>39</v>
      </c>
      <c r="D49" s="526">
        <v>15</v>
      </c>
      <c r="E49" s="526">
        <v>31</v>
      </c>
      <c r="F49" s="528">
        <v>43</v>
      </c>
      <c r="G49" s="526">
        <v>16</v>
      </c>
      <c r="H49" s="526">
        <v>36</v>
      </c>
      <c r="I49" s="528">
        <v>45</v>
      </c>
      <c r="J49" s="529">
        <v>50</v>
      </c>
      <c r="K49" s="530">
        <v>69</v>
      </c>
      <c r="L49" s="530">
        <v>78</v>
      </c>
      <c r="M49" s="529">
        <v>59</v>
      </c>
      <c r="N49" s="529">
        <v>74</v>
      </c>
      <c r="O49" s="531">
        <v>87</v>
      </c>
      <c r="P49" s="529">
        <v>60</v>
      </c>
      <c r="Q49" s="529">
        <v>77</v>
      </c>
      <c r="R49" s="531">
        <v>92</v>
      </c>
      <c r="S49" s="531">
        <v>97</v>
      </c>
      <c r="T49" s="531">
        <v>103</v>
      </c>
      <c r="U49" s="531">
        <v>104</v>
      </c>
      <c r="V49" s="532">
        <v>111</v>
      </c>
      <c r="W49" s="530">
        <v>117</v>
      </c>
      <c r="X49" s="530">
        <v>120</v>
      </c>
      <c r="Y49" s="532">
        <v>113</v>
      </c>
      <c r="Z49" s="532">
        <v>119</v>
      </c>
      <c r="AA49" s="530">
        <v>122</v>
      </c>
      <c r="AB49" s="529">
        <v>124</v>
      </c>
      <c r="AC49" s="530">
        <v>132</v>
      </c>
      <c r="AD49" s="529">
        <v>126</v>
      </c>
      <c r="AE49" s="531">
        <v>135</v>
      </c>
      <c r="AF49" s="529">
        <v>137</v>
      </c>
      <c r="AG49" s="530">
        <v>138</v>
      </c>
      <c r="AH49" s="529">
        <v>142</v>
      </c>
      <c r="AI49" s="530">
        <v>147</v>
      </c>
      <c r="AJ49" s="530">
        <v>150</v>
      </c>
      <c r="AK49" s="529">
        <v>146</v>
      </c>
      <c r="AL49" s="530">
        <v>148</v>
      </c>
      <c r="AM49" s="530">
        <v>151</v>
      </c>
      <c r="AN49" s="529">
        <v>154</v>
      </c>
      <c r="AO49" s="530">
        <v>186</v>
      </c>
      <c r="AP49" s="530">
        <v>202</v>
      </c>
      <c r="AQ49" s="529">
        <v>164</v>
      </c>
      <c r="AR49" s="529">
        <v>191</v>
      </c>
      <c r="AS49" s="529">
        <v>206</v>
      </c>
      <c r="AT49" s="529">
        <v>173</v>
      </c>
      <c r="AU49" s="530">
        <v>194</v>
      </c>
      <c r="AV49" s="529">
        <v>182</v>
      </c>
      <c r="AW49" s="530">
        <v>197</v>
      </c>
      <c r="AX49" s="529">
        <v>211</v>
      </c>
      <c r="AY49" s="530">
        <v>213</v>
      </c>
      <c r="AZ49" s="530">
        <v>215</v>
      </c>
      <c r="BA49" s="529">
        <v>216</v>
      </c>
      <c r="BB49" s="533">
        <v>221</v>
      </c>
      <c r="BC49" s="533">
        <v>225</v>
      </c>
    </row>
    <row r="50" spans="1:55" x14ac:dyDescent="0.25">
      <c r="A50" s="526">
        <v>7</v>
      </c>
      <c r="B50" s="527">
        <v>28</v>
      </c>
      <c r="C50" s="534"/>
      <c r="D50" s="526"/>
      <c r="E50" s="534"/>
      <c r="F50" s="534"/>
      <c r="G50" s="526">
        <v>17</v>
      </c>
      <c r="H50" s="534"/>
      <c r="I50" s="534"/>
      <c r="J50" s="529">
        <v>57</v>
      </c>
      <c r="K50" s="530">
        <v>44</v>
      </c>
      <c r="L50" s="534"/>
      <c r="M50" s="529"/>
      <c r="N50" s="534"/>
      <c r="O50" s="534"/>
      <c r="P50" s="529">
        <v>61</v>
      </c>
      <c r="Q50" s="534"/>
      <c r="R50" s="534"/>
      <c r="S50" s="529">
        <v>101</v>
      </c>
      <c r="T50" s="529"/>
      <c r="U50" s="534"/>
      <c r="V50" s="529">
        <v>112</v>
      </c>
      <c r="W50" s="529">
        <v>118</v>
      </c>
      <c r="X50" s="532"/>
      <c r="Y50" s="532"/>
      <c r="Z50" s="532"/>
      <c r="AA50" s="534"/>
      <c r="AB50" s="529">
        <v>125</v>
      </c>
      <c r="AC50" s="534"/>
      <c r="AD50" s="529">
        <v>127</v>
      </c>
      <c r="AE50" s="534"/>
      <c r="AF50" s="529">
        <v>94</v>
      </c>
      <c r="AG50" s="530"/>
      <c r="AH50" s="529">
        <v>98</v>
      </c>
      <c r="AI50" s="529"/>
      <c r="AJ50" s="530"/>
      <c r="AK50" s="529"/>
      <c r="AL50" s="529"/>
      <c r="AM50" s="530"/>
      <c r="AN50" s="529">
        <v>157</v>
      </c>
      <c r="AO50" s="534"/>
      <c r="AP50" s="534"/>
      <c r="AQ50" s="529">
        <v>165</v>
      </c>
      <c r="AR50" s="534"/>
      <c r="AS50" s="534"/>
      <c r="AT50" s="529">
        <v>176</v>
      </c>
      <c r="AU50" s="534"/>
      <c r="AV50" s="529">
        <v>184</v>
      </c>
      <c r="AW50" s="534"/>
      <c r="AX50" s="529">
        <v>212</v>
      </c>
      <c r="AY50" s="534"/>
      <c r="AZ50" s="529"/>
      <c r="BA50" s="530"/>
      <c r="BB50" s="534"/>
      <c r="BC50" s="534"/>
    </row>
    <row r="51" spans="1:55" x14ac:dyDescent="0.25">
      <c r="A51" s="526">
        <v>8</v>
      </c>
      <c r="B51" s="534"/>
      <c r="C51" s="534"/>
      <c r="D51" s="528"/>
      <c r="E51" s="534"/>
      <c r="F51" s="534"/>
      <c r="G51" s="528">
        <v>23</v>
      </c>
      <c r="H51" s="534"/>
      <c r="I51" s="534"/>
      <c r="J51" s="529">
        <v>58</v>
      </c>
      <c r="K51" s="534"/>
      <c r="L51" s="534"/>
      <c r="M51" s="531"/>
      <c r="N51" s="534"/>
      <c r="O51" s="534"/>
      <c r="P51" s="531">
        <v>65</v>
      </c>
      <c r="Q51" s="534"/>
      <c r="R51" s="534"/>
      <c r="S51" s="534"/>
      <c r="T51" s="534"/>
      <c r="U51" s="534"/>
      <c r="V51" s="534"/>
      <c r="W51" s="534"/>
      <c r="X51" s="534"/>
      <c r="Y51" s="534"/>
      <c r="Z51" s="534"/>
      <c r="AA51" s="534"/>
      <c r="AB51" s="529">
        <v>78</v>
      </c>
      <c r="AC51" s="534"/>
      <c r="AD51" s="531">
        <v>128</v>
      </c>
      <c r="AE51" s="534"/>
      <c r="AF51" s="529"/>
      <c r="AG51" s="534"/>
      <c r="AH51" s="529"/>
      <c r="AI51" s="529"/>
      <c r="AJ51" s="534"/>
      <c r="AK51" s="529"/>
      <c r="AL51" s="529"/>
      <c r="AM51" s="534"/>
      <c r="AN51" s="530">
        <v>159</v>
      </c>
      <c r="AO51" s="534"/>
      <c r="AP51" s="534"/>
      <c r="AQ51" s="531">
        <v>171</v>
      </c>
      <c r="AR51" s="534"/>
      <c r="AS51" s="534"/>
      <c r="AT51" s="530">
        <v>178</v>
      </c>
      <c r="AU51" s="534"/>
      <c r="AV51" s="530"/>
      <c r="AW51" s="534"/>
      <c r="AX51" s="530">
        <v>142</v>
      </c>
      <c r="AY51" s="534"/>
      <c r="AZ51" s="534"/>
      <c r="BA51" s="530"/>
      <c r="BB51" s="534"/>
      <c r="BC51" s="534"/>
    </row>
    <row r="52" spans="1:55" x14ac:dyDescent="0.25">
      <c r="A52" s="526"/>
      <c r="B52" s="534"/>
      <c r="C52" s="534"/>
      <c r="D52" s="526"/>
      <c r="E52" s="534"/>
      <c r="F52" s="534"/>
      <c r="G52" s="526">
        <v>21</v>
      </c>
      <c r="H52" s="534"/>
      <c r="I52" s="534"/>
      <c r="J52" s="529"/>
      <c r="K52" s="534"/>
      <c r="L52" s="534"/>
      <c r="M52" s="529"/>
      <c r="N52" s="534"/>
      <c r="O52" s="534"/>
      <c r="P52" s="529">
        <v>67</v>
      </c>
      <c r="Q52" s="534"/>
      <c r="R52" s="534"/>
      <c r="S52" s="531"/>
      <c r="T52" s="531"/>
      <c r="U52" s="534"/>
      <c r="V52" s="534"/>
      <c r="W52" s="534"/>
      <c r="X52" s="534"/>
      <c r="Y52" s="534"/>
      <c r="Z52" s="534"/>
      <c r="AA52" s="534"/>
      <c r="AB52" s="529"/>
      <c r="AC52" s="534"/>
      <c r="AD52" s="529">
        <v>129</v>
      </c>
      <c r="AE52" s="534"/>
      <c r="AF52" s="529"/>
      <c r="AG52" s="534"/>
      <c r="AH52" s="529"/>
      <c r="AI52" s="529"/>
      <c r="AJ52" s="534"/>
      <c r="AK52" s="529"/>
      <c r="AL52" s="529"/>
      <c r="AM52" s="534"/>
      <c r="AN52" s="530">
        <v>162</v>
      </c>
      <c r="AO52" s="534"/>
      <c r="AP52" s="534"/>
      <c r="AQ52" s="530">
        <v>169</v>
      </c>
      <c r="AR52" s="534"/>
      <c r="AS52" s="534"/>
      <c r="AT52" s="531">
        <v>180</v>
      </c>
      <c r="AU52" s="531"/>
      <c r="AV52" s="534"/>
      <c r="AW52" s="531"/>
      <c r="AX52" s="530"/>
      <c r="AY52" s="534"/>
      <c r="AZ52" s="530"/>
      <c r="BA52" s="531"/>
      <c r="BB52" s="534"/>
      <c r="BC52" s="534"/>
    </row>
    <row r="53" spans="1:55" x14ac:dyDescent="0.25">
      <c r="A53" s="526"/>
      <c r="B53" s="534"/>
      <c r="C53" s="534"/>
      <c r="D53" s="527"/>
      <c r="E53" s="534"/>
      <c r="F53" s="534"/>
      <c r="G53" s="527">
        <v>24</v>
      </c>
      <c r="H53" s="534"/>
      <c r="I53" s="534"/>
      <c r="J53" s="529"/>
      <c r="K53" s="534"/>
      <c r="L53" s="534"/>
      <c r="M53" s="530"/>
      <c r="N53" s="534"/>
      <c r="O53" s="534"/>
      <c r="P53" s="530">
        <v>68</v>
      </c>
      <c r="Q53" s="534"/>
      <c r="R53" s="534"/>
      <c r="S53" s="531"/>
      <c r="T53" s="531"/>
      <c r="U53" s="534"/>
      <c r="V53" s="534"/>
      <c r="W53" s="534"/>
      <c r="X53" s="534"/>
      <c r="Y53" s="534"/>
      <c r="Z53" s="534"/>
      <c r="AA53" s="534"/>
      <c r="AB53" s="529"/>
      <c r="AC53" s="534"/>
      <c r="AD53" s="530">
        <v>131</v>
      </c>
      <c r="AE53" s="534"/>
      <c r="AF53" s="529"/>
      <c r="AG53" s="534"/>
      <c r="AH53" s="529"/>
      <c r="AI53" s="529"/>
      <c r="AJ53" s="534"/>
      <c r="AK53" s="529"/>
      <c r="AL53" s="529"/>
      <c r="AM53" s="534"/>
      <c r="AN53" s="534"/>
      <c r="AO53" s="534"/>
      <c r="AP53" s="534"/>
      <c r="AQ53" s="530">
        <v>172</v>
      </c>
      <c r="AR53" s="534"/>
      <c r="AS53" s="534"/>
      <c r="AT53" s="531"/>
      <c r="AU53" s="531"/>
      <c r="AV53" s="531"/>
      <c r="AW53" s="531"/>
      <c r="AX53" s="534"/>
      <c r="AY53" s="534"/>
      <c r="AZ53" s="534"/>
      <c r="BA53" s="531"/>
      <c r="BB53" s="534"/>
      <c r="BC53" s="534"/>
    </row>
    <row r="54" spans="1:55" x14ac:dyDescent="0.25">
      <c r="A54" s="534"/>
      <c r="B54" s="534"/>
      <c r="C54" s="534"/>
      <c r="D54" s="528"/>
      <c r="E54" s="534"/>
      <c r="F54" s="534"/>
      <c r="G54" s="528"/>
      <c r="H54" s="534"/>
      <c r="I54" s="534"/>
      <c r="J54" s="534"/>
      <c r="K54" s="534"/>
      <c r="L54" s="534"/>
      <c r="M54" s="535"/>
      <c r="N54" s="534"/>
      <c r="O54" s="534"/>
      <c r="P54" s="535"/>
      <c r="Q54" s="534"/>
      <c r="R54" s="534"/>
      <c r="S54" s="531"/>
      <c r="T54" s="531"/>
      <c r="U54" s="534"/>
      <c r="V54" s="534"/>
      <c r="W54" s="534"/>
      <c r="X54" s="534"/>
      <c r="Y54" s="534"/>
      <c r="Z54" s="534"/>
      <c r="AA54" s="534"/>
      <c r="AB54" s="534"/>
      <c r="AC54" s="534"/>
      <c r="AD54" s="531"/>
      <c r="AE54" s="534"/>
      <c r="AF54" s="534"/>
      <c r="AG54" s="534"/>
      <c r="AH54" s="534"/>
      <c r="AI54" s="534"/>
      <c r="AJ54" s="534"/>
      <c r="AK54" s="534"/>
      <c r="AL54" s="534"/>
      <c r="AM54" s="534"/>
      <c r="AN54" s="530"/>
      <c r="AO54" s="534"/>
      <c r="AP54" s="534"/>
      <c r="AQ54" s="531"/>
      <c r="AR54" s="534"/>
      <c r="AS54" s="534"/>
      <c r="AT54" s="534"/>
      <c r="AU54" s="534"/>
      <c r="AV54" s="534"/>
      <c r="AW54" s="534"/>
      <c r="AX54" s="530"/>
      <c r="AY54" s="534"/>
      <c r="AZ54" s="530"/>
      <c r="BA54" s="534"/>
      <c r="BB54" s="534"/>
      <c r="BC54" s="534"/>
    </row>
    <row r="55" spans="1:55" s="392" customFormat="1" x14ac:dyDescent="0.25">
      <c r="A55" s="387"/>
      <c r="B55" s="387"/>
      <c r="C55" s="387"/>
      <c r="D55" s="388"/>
      <c r="E55" s="387"/>
      <c r="F55" s="387"/>
      <c r="G55" s="387"/>
      <c r="H55" s="387"/>
      <c r="I55" s="387"/>
      <c r="J55" s="389"/>
      <c r="K55" s="387"/>
      <c r="L55" s="387"/>
      <c r="M55" s="387"/>
      <c r="N55" s="387"/>
      <c r="O55" s="387"/>
      <c r="P55" s="387"/>
      <c r="Q55" s="387"/>
      <c r="R55" s="387"/>
      <c r="S55" s="390"/>
      <c r="T55" s="390"/>
      <c r="U55" s="387"/>
      <c r="V55" s="387"/>
      <c r="W55" s="387"/>
      <c r="X55" s="387"/>
      <c r="Y55" s="387"/>
      <c r="Z55" s="387"/>
      <c r="AA55" s="387"/>
      <c r="AB55" s="387"/>
      <c r="AC55" s="387"/>
      <c r="AD55" s="390"/>
      <c r="AE55" s="387"/>
      <c r="AF55" s="387"/>
      <c r="AG55" s="387"/>
      <c r="AH55" s="387"/>
      <c r="AI55" s="387"/>
      <c r="AJ55" s="387"/>
      <c r="AK55" s="391"/>
      <c r="AL55" s="387"/>
      <c r="AM55" s="387"/>
      <c r="AN55" s="390"/>
      <c r="AO55" s="387"/>
      <c r="AP55" s="387"/>
      <c r="AQ55" s="387"/>
      <c r="AR55" s="387"/>
      <c r="AS55" s="387"/>
      <c r="AT55" s="387"/>
      <c r="AU55" s="391"/>
      <c r="AV55" s="387"/>
      <c r="AW55" s="387"/>
      <c r="AX55" s="391"/>
      <c r="AY55" s="387"/>
      <c r="AZ55" s="387"/>
      <c r="BA55" s="387"/>
      <c r="BB55" s="387"/>
    </row>
    <row r="56" spans="1:55" ht="17.25" customHeight="1" x14ac:dyDescent="0.25"/>
    <row r="57" spans="1:55" ht="22.8" x14ac:dyDescent="0.25">
      <c r="A57" s="214" t="s">
        <v>2300</v>
      </c>
      <c r="S57" s="62"/>
      <c r="T57" s="62"/>
    </row>
    <row r="58" spans="1:55" ht="16.5" customHeight="1" x14ac:dyDescent="0.25">
      <c r="A58" s="222" t="s">
        <v>1720</v>
      </c>
      <c r="S58" s="62"/>
      <c r="T58" s="62"/>
    </row>
    <row r="59" spans="1:55" ht="43.2" customHeight="1" x14ac:dyDescent="0.25">
      <c r="A59" s="1103" t="str">
        <f>Dap</f>
        <v>Données applicatives</v>
      </c>
      <c r="B59" s="1110"/>
      <c r="C59" s="1110"/>
      <c r="D59" s="1110"/>
      <c r="E59" s="1110"/>
      <c r="F59" s="1110"/>
      <c r="G59" s="1110"/>
      <c r="H59" s="1110"/>
      <c r="I59" s="1104"/>
      <c r="J59" s="1103" t="str">
        <f>Dbu</f>
        <v>Données bureautiques</v>
      </c>
      <c r="K59" s="1110"/>
      <c r="L59" s="1110"/>
      <c r="M59" s="1110"/>
      <c r="N59" s="1110"/>
      <c r="O59" s="1110"/>
      <c r="P59" s="1110"/>
      <c r="Q59" s="1110"/>
      <c r="R59" s="1104"/>
      <c r="S59" s="1101" t="str">
        <f>Iei</f>
        <v>Informations écrites ou imprimées</v>
      </c>
      <c r="T59" s="1101"/>
      <c r="U59" s="1101"/>
      <c r="V59" s="1101" t="str">
        <f>Cep</f>
        <v>Courrier électronique ou postal</v>
      </c>
      <c r="W59" s="1101"/>
      <c r="X59" s="1101"/>
      <c r="Y59" s="1101"/>
      <c r="Z59" s="1101"/>
      <c r="AA59" s="1101"/>
      <c r="AB59" s="1101" t="str">
        <f>Arc</f>
        <v xml:space="preserve">Archives </v>
      </c>
      <c r="AC59" s="1101"/>
      <c r="AD59" s="1101"/>
      <c r="AE59" s="1101"/>
      <c r="AF59" s="1101" t="str">
        <f>Dpu</f>
        <v xml:space="preserve">Données et informations publiées </v>
      </c>
      <c r="AG59" s="1101"/>
      <c r="AH59" s="1103" t="str">
        <f>Dex</f>
        <v>Données externalisées</v>
      </c>
      <c r="AI59" s="1110"/>
      <c r="AJ59" s="1110"/>
      <c r="AK59" s="1110"/>
      <c r="AL59" s="1110"/>
      <c r="AM59" s="1104"/>
      <c r="AN59" s="1101" t="str">
        <f>Sap</f>
        <v>Services applicatifs</v>
      </c>
      <c r="AO59" s="1101"/>
      <c r="AP59" s="1101"/>
      <c r="AQ59" s="1101"/>
      <c r="AR59" s="1102"/>
      <c r="AS59" s="1101"/>
      <c r="AT59" s="1101"/>
      <c r="AU59" s="1101"/>
      <c r="AV59" s="1101"/>
      <c r="AW59" s="1101"/>
      <c r="AX59" s="1101" t="str">
        <f>Sex</f>
        <v>Services externalisés</v>
      </c>
      <c r="AY59" s="1101"/>
      <c r="AZ59" s="1101" t="str">
        <f>Spu</f>
        <v xml:space="preserve">Services de publication d'informations </v>
      </c>
      <c r="BA59" s="1101"/>
      <c r="BB59" s="484" t="str">
        <f>Pgc</f>
        <v xml:space="preserve">Processus de gestion de la conformité </v>
      </c>
      <c r="BC59" s="484" t="str">
        <f>Pgd</f>
        <v xml:space="preserve">Processus de gouvernance et de prise de décision </v>
      </c>
    </row>
    <row r="60" spans="1:55" ht="54" customHeight="1" x14ac:dyDescent="0.25">
      <c r="A60" s="1101" t="str">
        <f>Fic</f>
        <v xml:space="preserve">Fichier ou base de données </v>
      </c>
      <c r="B60" s="1101"/>
      <c r="C60" s="1101"/>
      <c r="D60" s="1101" t="str">
        <f>Det</f>
        <v>Données en transit</v>
      </c>
      <c r="E60" s="1101"/>
      <c r="F60" s="1101"/>
      <c r="G60" s="1101" t="str">
        <f>Med</f>
        <v>Media support de données</v>
      </c>
      <c r="H60" s="1101"/>
      <c r="I60" s="1101"/>
      <c r="J60" s="1101" t="str">
        <f>Fic</f>
        <v xml:space="preserve">Fichier ou base de données </v>
      </c>
      <c r="K60" s="1101"/>
      <c r="L60" s="1101"/>
      <c r="M60" s="1101" t="str">
        <f>Det</f>
        <v>Données en transit</v>
      </c>
      <c r="N60" s="1101"/>
      <c r="O60" s="1101"/>
      <c r="P60" s="1101" t="str">
        <f>Med</f>
        <v>Media support de données</v>
      </c>
      <c r="Q60" s="1101"/>
      <c r="R60" s="1101"/>
      <c r="S60" s="1101" t="str">
        <f>Doc</f>
        <v>Document</v>
      </c>
      <c r="T60" s="1101"/>
      <c r="U60" s="1101"/>
      <c r="V60" s="1101" t="str">
        <f>Coe</f>
        <v>Courriel en transit</v>
      </c>
      <c r="W60" s="1101"/>
      <c r="X60" s="1101"/>
      <c r="Y60" s="1101" t="str">
        <f>Cop</f>
        <v>Courrier en transit</v>
      </c>
      <c r="Z60" s="1101"/>
      <c r="AA60" s="1101"/>
      <c r="AB60" s="1101" t="str">
        <f>Fic</f>
        <v xml:space="preserve">Fichier ou base de données </v>
      </c>
      <c r="AC60" s="1101"/>
      <c r="AD60" s="1101" t="str">
        <f>Msa</f>
        <v>Média support d'archive</v>
      </c>
      <c r="AE60" s="1101"/>
      <c r="AF60" s="1101" t="str">
        <f>Fic</f>
        <v xml:space="preserve">Fichier ou base de données </v>
      </c>
      <c r="AG60" s="1101"/>
      <c r="AH60" s="1101" t="str">
        <f>Fic</f>
        <v xml:space="preserve">Fichier ou base de données </v>
      </c>
      <c r="AI60" s="1101"/>
      <c r="AJ60" s="1101"/>
      <c r="AK60" s="1101" t="str">
        <f>Det</f>
        <v>Données en transit</v>
      </c>
      <c r="AL60" s="1101"/>
      <c r="AM60" s="1101"/>
      <c r="AN60" s="1101" t="str">
        <f>Cfg</f>
        <v>Configuration systèmes et applications</v>
      </c>
      <c r="AO60" s="1101"/>
      <c r="AP60" s="1101"/>
      <c r="AQ60" s="1101" t="str">
        <f>Msl</f>
        <v>Media support de logiciel</v>
      </c>
      <c r="AR60" s="1102"/>
      <c r="AS60" s="1101"/>
      <c r="AT60" s="1101" t="str">
        <f>Equ</f>
        <v>Equipement de l'Infrastructure informatique</v>
      </c>
      <c r="AU60" s="1101"/>
      <c r="AV60" s="1101" t="str">
        <f>Env</f>
        <v>Environnement de travail et équipement des utilisateurs</v>
      </c>
      <c r="AW60" s="1101"/>
      <c r="AX60" s="1101" t="str">
        <f>Iml</f>
        <v>Infrastructure matérielle et logicielle support de services externalisés</v>
      </c>
      <c r="AY60" s="1101"/>
      <c r="AZ60" s="1103" t="str">
        <f>Cfg</f>
        <v>Configuration systèmes et applications</v>
      </c>
      <c r="BA60" s="1104"/>
      <c r="BB60" s="484" t="str">
        <f>Pro</f>
        <v xml:space="preserve"> Procédure support des processus</v>
      </c>
      <c r="BC60" s="484" t="str">
        <f>Pro</f>
        <v xml:space="preserve"> Procédure support des processus</v>
      </c>
    </row>
    <row r="61" spans="1:55" x14ac:dyDescent="0.25">
      <c r="A61" s="846" t="s">
        <v>76</v>
      </c>
      <c r="B61" s="846" t="s">
        <v>23</v>
      </c>
      <c r="C61" s="846" t="s">
        <v>34</v>
      </c>
      <c r="D61" s="846" t="s">
        <v>76</v>
      </c>
      <c r="E61" s="846" t="s">
        <v>23</v>
      </c>
      <c r="F61" s="846" t="s">
        <v>34</v>
      </c>
      <c r="G61" s="846" t="s">
        <v>76</v>
      </c>
      <c r="H61" s="846" t="s">
        <v>23</v>
      </c>
      <c r="I61" s="846" t="s">
        <v>34</v>
      </c>
      <c r="J61" s="846" t="s">
        <v>76</v>
      </c>
      <c r="K61" s="846" t="s">
        <v>23</v>
      </c>
      <c r="L61" s="846" t="s">
        <v>34</v>
      </c>
      <c r="M61" s="846" t="s">
        <v>76</v>
      </c>
      <c r="N61" s="846" t="s">
        <v>23</v>
      </c>
      <c r="O61" s="846" t="s">
        <v>34</v>
      </c>
      <c r="P61" s="846" t="s">
        <v>76</v>
      </c>
      <c r="Q61" s="846" t="s">
        <v>23</v>
      </c>
      <c r="R61" s="846" t="s">
        <v>34</v>
      </c>
      <c r="S61" s="846" t="s">
        <v>76</v>
      </c>
      <c r="T61" s="846"/>
      <c r="U61" s="846" t="s">
        <v>34</v>
      </c>
      <c r="V61" s="846" t="s">
        <v>76</v>
      </c>
      <c r="W61" s="846" t="s">
        <v>23</v>
      </c>
      <c r="X61" s="846" t="s">
        <v>34</v>
      </c>
      <c r="Y61" s="846" t="s">
        <v>76</v>
      </c>
      <c r="Z61" s="846"/>
      <c r="AA61" s="846" t="s">
        <v>34</v>
      </c>
      <c r="AB61" s="846" t="s">
        <v>76</v>
      </c>
      <c r="AC61" s="846" t="s">
        <v>34</v>
      </c>
      <c r="AD61" s="846" t="s">
        <v>76</v>
      </c>
      <c r="AE61" s="846" t="s">
        <v>34</v>
      </c>
      <c r="AF61" s="846" t="s">
        <v>76</v>
      </c>
      <c r="AG61" s="846" t="s">
        <v>23</v>
      </c>
      <c r="AH61" s="846" t="s">
        <v>76</v>
      </c>
      <c r="AI61" s="846" t="s">
        <v>23</v>
      </c>
      <c r="AJ61" s="846" t="s">
        <v>34</v>
      </c>
      <c r="AK61" s="846" t="s">
        <v>76</v>
      </c>
      <c r="AL61" s="846" t="s">
        <v>23</v>
      </c>
      <c r="AM61" s="846" t="s">
        <v>34</v>
      </c>
      <c r="AN61" s="846" t="s">
        <v>76</v>
      </c>
      <c r="AO61" s="846" t="s">
        <v>23</v>
      </c>
      <c r="AP61" s="846" t="s">
        <v>34</v>
      </c>
      <c r="AQ61" s="846" t="s">
        <v>76</v>
      </c>
      <c r="AR61" s="846" t="s">
        <v>23</v>
      </c>
      <c r="AS61" s="846" t="s">
        <v>34</v>
      </c>
      <c r="AT61" s="846" t="s">
        <v>76</v>
      </c>
      <c r="AU61" s="846" t="s">
        <v>23</v>
      </c>
      <c r="AV61" s="846" t="s">
        <v>76</v>
      </c>
      <c r="AW61" s="846" t="s">
        <v>23</v>
      </c>
      <c r="AX61" s="846" t="s">
        <v>76</v>
      </c>
      <c r="AY61" s="846" t="s">
        <v>23</v>
      </c>
      <c r="AZ61" s="846" t="s">
        <v>76</v>
      </c>
      <c r="BA61" s="846" t="s">
        <v>23</v>
      </c>
      <c r="BB61" s="846" t="s">
        <v>41</v>
      </c>
      <c r="BC61" s="846" t="s">
        <v>41</v>
      </c>
    </row>
    <row r="62" spans="1:55" x14ac:dyDescent="0.25">
      <c r="A62" s="529">
        <v>5</v>
      </c>
      <c r="B62" s="530">
        <v>3</v>
      </c>
      <c r="C62" s="530">
        <v>4</v>
      </c>
      <c r="D62" s="529">
        <v>1</v>
      </c>
      <c r="E62" s="529">
        <v>5</v>
      </c>
      <c r="F62" s="531">
        <v>2</v>
      </c>
      <c r="G62" s="529">
        <v>1</v>
      </c>
      <c r="H62" s="529">
        <v>3</v>
      </c>
      <c r="I62" s="531">
        <v>4</v>
      </c>
      <c r="J62" s="529">
        <v>7</v>
      </c>
      <c r="K62" s="530">
        <v>5</v>
      </c>
      <c r="L62" s="530">
        <v>9</v>
      </c>
      <c r="M62" s="529">
        <v>1</v>
      </c>
      <c r="N62" s="529">
        <v>3</v>
      </c>
      <c r="O62" s="531">
        <v>5</v>
      </c>
      <c r="P62" s="529">
        <v>1</v>
      </c>
      <c r="Q62" s="529">
        <v>1</v>
      </c>
      <c r="R62" s="531">
        <v>4</v>
      </c>
      <c r="S62" s="531">
        <v>4</v>
      </c>
      <c r="T62" s="531">
        <v>1</v>
      </c>
      <c r="U62" s="531">
        <v>6</v>
      </c>
      <c r="V62" s="532">
        <v>1</v>
      </c>
      <c r="W62" s="530">
        <v>1</v>
      </c>
      <c r="X62" s="530">
        <v>2</v>
      </c>
      <c r="Y62" s="532">
        <v>4</v>
      </c>
      <c r="Z62" s="532">
        <v>1</v>
      </c>
      <c r="AA62" s="530">
        <v>1</v>
      </c>
      <c r="AB62" s="529">
        <v>1</v>
      </c>
      <c r="AC62" s="530">
        <v>3</v>
      </c>
      <c r="AD62" s="529">
        <v>1</v>
      </c>
      <c r="AE62" s="531">
        <v>1</v>
      </c>
      <c r="AF62" s="529">
        <v>1</v>
      </c>
      <c r="AG62" s="530">
        <v>3</v>
      </c>
      <c r="AH62" s="529">
        <v>4</v>
      </c>
      <c r="AI62" s="530">
        <v>1</v>
      </c>
      <c r="AJ62" s="530">
        <v>1</v>
      </c>
      <c r="AK62" s="529">
        <v>1</v>
      </c>
      <c r="AL62" s="530">
        <v>2</v>
      </c>
      <c r="AM62" s="530">
        <v>2</v>
      </c>
      <c r="AN62" s="529">
        <v>3</v>
      </c>
      <c r="AO62" s="530">
        <v>5</v>
      </c>
      <c r="AP62" s="530">
        <v>4</v>
      </c>
      <c r="AQ62" s="529">
        <v>1</v>
      </c>
      <c r="AR62" s="529">
        <v>3</v>
      </c>
      <c r="AS62" s="529">
        <v>4</v>
      </c>
      <c r="AT62" s="529">
        <v>3</v>
      </c>
      <c r="AU62" s="530">
        <v>3</v>
      </c>
      <c r="AV62" s="529">
        <v>2</v>
      </c>
      <c r="AW62" s="530">
        <v>5</v>
      </c>
      <c r="AX62" s="529">
        <v>1</v>
      </c>
      <c r="AY62" s="530">
        <v>1</v>
      </c>
      <c r="AZ62" s="530">
        <v>1</v>
      </c>
      <c r="BA62" s="529">
        <v>4</v>
      </c>
      <c r="BB62" s="533">
        <v>3</v>
      </c>
      <c r="BC62" s="533">
        <v>3</v>
      </c>
    </row>
    <row r="63" spans="1:55" x14ac:dyDescent="0.25">
      <c r="A63" s="529">
        <v>1</v>
      </c>
      <c r="B63" s="530">
        <v>3</v>
      </c>
      <c r="C63" s="534"/>
      <c r="D63" s="529"/>
      <c r="E63" s="534"/>
      <c r="F63" s="534"/>
      <c r="G63" s="529">
        <v>4</v>
      </c>
      <c r="H63" s="534"/>
      <c r="I63" s="534"/>
      <c r="J63" s="529">
        <v>1</v>
      </c>
      <c r="K63" s="530"/>
      <c r="L63" s="534"/>
      <c r="M63" s="529"/>
      <c r="N63" s="534"/>
      <c r="O63" s="534"/>
      <c r="P63" s="529">
        <v>4</v>
      </c>
      <c r="Q63" s="534"/>
      <c r="R63" s="534"/>
      <c r="S63" s="529">
        <v>2</v>
      </c>
      <c r="T63" s="529"/>
      <c r="U63" s="534"/>
      <c r="V63" s="529">
        <v>1</v>
      </c>
      <c r="W63" s="529">
        <v>1</v>
      </c>
      <c r="X63" s="532"/>
      <c r="Y63" s="532"/>
      <c r="Z63" s="532"/>
      <c r="AA63" s="534"/>
      <c r="AB63" s="529">
        <v>1</v>
      </c>
      <c r="AC63" s="534"/>
      <c r="AD63" s="529">
        <v>1</v>
      </c>
      <c r="AE63" s="534"/>
      <c r="AF63" s="529"/>
      <c r="AG63" s="530"/>
      <c r="AH63" s="529"/>
      <c r="AI63" s="529"/>
      <c r="AJ63" s="530"/>
      <c r="AK63" s="529"/>
      <c r="AL63" s="529"/>
      <c r="AM63" s="530"/>
      <c r="AN63" s="529">
        <v>2</v>
      </c>
      <c r="AO63" s="534"/>
      <c r="AP63" s="534"/>
      <c r="AQ63" s="529">
        <v>4</v>
      </c>
      <c r="AR63" s="534"/>
      <c r="AS63" s="534"/>
      <c r="AT63" s="529">
        <v>2</v>
      </c>
      <c r="AU63" s="534"/>
      <c r="AV63" s="529">
        <v>2</v>
      </c>
      <c r="AW63" s="534"/>
      <c r="AX63" s="529">
        <v>1</v>
      </c>
      <c r="AY63" s="534"/>
      <c r="AZ63" s="529"/>
      <c r="BA63" s="530"/>
      <c r="BB63" s="534"/>
      <c r="BC63" s="534"/>
    </row>
    <row r="64" spans="1:55" x14ac:dyDescent="0.25">
      <c r="A64" s="529">
        <v>7</v>
      </c>
      <c r="B64" s="534"/>
      <c r="C64" s="534"/>
      <c r="D64" s="531"/>
      <c r="E64" s="534"/>
      <c r="F64" s="534"/>
      <c r="G64" s="531">
        <v>1</v>
      </c>
      <c r="H64" s="534"/>
      <c r="I64" s="534"/>
      <c r="J64" s="529">
        <v>1</v>
      </c>
      <c r="K64" s="534"/>
      <c r="L64" s="534"/>
      <c r="M64" s="531"/>
      <c r="N64" s="534"/>
      <c r="O64" s="534"/>
      <c r="P64" s="531">
        <v>2</v>
      </c>
      <c r="Q64" s="534"/>
      <c r="R64" s="534"/>
      <c r="S64" s="534"/>
      <c r="T64" s="534"/>
      <c r="U64" s="534"/>
      <c r="V64" s="534"/>
      <c r="W64" s="534"/>
      <c r="X64" s="534"/>
      <c r="Y64" s="534"/>
      <c r="Z64" s="534"/>
      <c r="AA64" s="534"/>
      <c r="AB64" s="529"/>
      <c r="AC64" s="534"/>
      <c r="AD64" s="531">
        <v>1</v>
      </c>
      <c r="AE64" s="534"/>
      <c r="AF64" s="529"/>
      <c r="AG64" s="534"/>
      <c r="AH64" s="529"/>
      <c r="AI64" s="529"/>
      <c r="AJ64" s="534"/>
      <c r="AK64" s="529"/>
      <c r="AL64" s="529"/>
      <c r="AM64" s="534"/>
      <c r="AN64" s="530">
        <v>3</v>
      </c>
      <c r="AO64" s="534"/>
      <c r="AP64" s="534"/>
      <c r="AQ64" s="531">
        <v>1</v>
      </c>
      <c r="AR64" s="534"/>
      <c r="AS64" s="534"/>
      <c r="AT64" s="530">
        <v>2</v>
      </c>
      <c r="AU64" s="534"/>
      <c r="AV64" s="530"/>
      <c r="AW64" s="534"/>
      <c r="AX64" s="530"/>
      <c r="AY64" s="534"/>
      <c r="AZ64" s="534"/>
      <c r="BA64" s="530"/>
      <c r="BB64" s="534"/>
      <c r="BC64" s="534"/>
    </row>
    <row r="65" spans="1:55" x14ac:dyDescent="0.25">
      <c r="A65" s="529"/>
      <c r="B65" s="534"/>
      <c r="C65" s="534"/>
      <c r="D65" s="529"/>
      <c r="E65" s="534"/>
      <c r="F65" s="534"/>
      <c r="G65" s="529">
        <v>2</v>
      </c>
      <c r="H65" s="534"/>
      <c r="I65" s="534"/>
      <c r="J65" s="529"/>
      <c r="K65" s="534"/>
      <c r="L65" s="534"/>
      <c r="M65" s="529"/>
      <c r="N65" s="534"/>
      <c r="O65" s="534"/>
      <c r="P65" s="529">
        <v>1</v>
      </c>
      <c r="Q65" s="534"/>
      <c r="R65" s="534"/>
      <c r="S65" s="531"/>
      <c r="T65" s="531"/>
      <c r="U65" s="534"/>
      <c r="V65" s="534"/>
      <c r="W65" s="534"/>
      <c r="X65" s="534"/>
      <c r="Y65" s="534"/>
      <c r="Z65" s="534"/>
      <c r="AA65" s="534"/>
      <c r="AB65" s="529"/>
      <c r="AC65" s="534"/>
      <c r="AD65" s="529">
        <v>2</v>
      </c>
      <c r="AE65" s="534"/>
      <c r="AF65" s="529"/>
      <c r="AG65" s="534"/>
      <c r="AH65" s="529"/>
      <c r="AI65" s="529"/>
      <c r="AJ65" s="534"/>
      <c r="AK65" s="529"/>
      <c r="AL65" s="529"/>
      <c r="AM65" s="534"/>
      <c r="AN65" s="530">
        <v>2</v>
      </c>
      <c r="AO65" s="534"/>
      <c r="AP65" s="534"/>
      <c r="AQ65" s="530">
        <v>2</v>
      </c>
      <c r="AR65" s="534"/>
      <c r="AS65" s="534"/>
      <c r="AT65" s="531">
        <v>2</v>
      </c>
      <c r="AU65" s="531"/>
      <c r="AV65" s="534"/>
      <c r="AW65" s="531"/>
      <c r="AX65" s="530"/>
      <c r="AY65" s="534"/>
      <c r="AZ65" s="530"/>
      <c r="BA65" s="531"/>
      <c r="BB65" s="534"/>
      <c r="BC65" s="534"/>
    </row>
    <row r="66" spans="1:55" x14ac:dyDescent="0.25">
      <c r="A66" s="529"/>
      <c r="B66" s="534"/>
      <c r="C66" s="534"/>
      <c r="D66" s="530"/>
      <c r="E66" s="534"/>
      <c r="F66" s="534"/>
      <c r="G66" s="530">
        <v>1</v>
      </c>
      <c r="H66" s="534"/>
      <c r="I66" s="534"/>
      <c r="J66" s="529"/>
      <c r="K66" s="534"/>
      <c r="L66" s="534"/>
      <c r="M66" s="530"/>
      <c r="N66" s="534"/>
      <c r="O66" s="534"/>
      <c r="P66" s="530">
        <v>1</v>
      </c>
      <c r="Q66" s="534"/>
      <c r="R66" s="534"/>
      <c r="S66" s="531"/>
      <c r="T66" s="531"/>
      <c r="U66" s="534"/>
      <c r="V66" s="534"/>
      <c r="W66" s="534"/>
      <c r="X66" s="534"/>
      <c r="Y66" s="534"/>
      <c r="Z66" s="534"/>
      <c r="AA66" s="534"/>
      <c r="AB66" s="529"/>
      <c r="AC66" s="534"/>
      <c r="AD66" s="530">
        <v>1</v>
      </c>
      <c r="AE66" s="534"/>
      <c r="AF66" s="529"/>
      <c r="AG66" s="534"/>
      <c r="AH66" s="529"/>
      <c r="AI66" s="529"/>
      <c r="AJ66" s="534"/>
      <c r="AK66" s="529"/>
      <c r="AL66" s="529"/>
      <c r="AM66" s="534"/>
      <c r="AN66" s="534"/>
      <c r="AO66" s="534"/>
      <c r="AP66" s="534"/>
      <c r="AQ66" s="530">
        <v>1</v>
      </c>
      <c r="AR66" s="534"/>
      <c r="AS66" s="534"/>
      <c r="AT66" s="531"/>
      <c r="AU66" s="531"/>
      <c r="AV66" s="531"/>
      <c r="AW66" s="531"/>
      <c r="AX66" s="534"/>
      <c r="AY66" s="534"/>
      <c r="AZ66" s="534"/>
      <c r="BA66" s="531"/>
      <c r="BB66" s="534"/>
      <c r="BC66" s="534"/>
    </row>
    <row r="67" spans="1:55" x14ac:dyDescent="0.25">
      <c r="A67" s="534"/>
      <c r="B67" s="534"/>
      <c r="C67" s="534"/>
      <c r="D67" s="531"/>
      <c r="E67" s="534"/>
      <c r="F67" s="534"/>
      <c r="G67" s="531"/>
      <c r="H67" s="534"/>
      <c r="I67" s="534"/>
      <c r="J67" s="534"/>
      <c r="K67" s="534"/>
      <c r="L67" s="534"/>
      <c r="M67" s="535"/>
      <c r="N67" s="534"/>
      <c r="O67" s="534"/>
      <c r="P67" s="535"/>
      <c r="Q67" s="534"/>
      <c r="R67" s="534"/>
      <c r="S67" s="531"/>
      <c r="T67" s="531"/>
      <c r="U67" s="534"/>
      <c r="V67" s="534"/>
      <c r="W67" s="534"/>
      <c r="X67" s="534"/>
      <c r="Y67" s="534"/>
      <c r="Z67" s="534"/>
      <c r="AA67" s="534"/>
      <c r="AB67" s="534"/>
      <c r="AC67" s="534"/>
      <c r="AD67" s="531"/>
      <c r="AE67" s="534"/>
      <c r="AF67" s="534"/>
      <c r="AG67" s="534"/>
      <c r="AH67" s="534"/>
      <c r="AI67" s="534"/>
      <c r="AJ67" s="534"/>
      <c r="AK67" s="534"/>
      <c r="AL67" s="534"/>
      <c r="AM67" s="534"/>
      <c r="AN67" s="530"/>
      <c r="AO67" s="534"/>
      <c r="AP67" s="534"/>
      <c r="AQ67" s="531"/>
      <c r="AR67" s="534"/>
      <c r="AS67" s="534"/>
      <c r="AT67" s="534"/>
      <c r="AU67" s="534"/>
      <c r="AV67" s="534"/>
      <c r="AW67" s="534"/>
      <c r="AX67" s="530"/>
      <c r="AY67" s="534"/>
      <c r="AZ67" s="530"/>
      <c r="BA67" s="534"/>
      <c r="BB67" s="534"/>
      <c r="BC67" s="534"/>
    </row>
    <row r="68" spans="1:55" ht="17.25" customHeight="1" x14ac:dyDescent="0.25">
      <c r="A68">
        <f>SUM($A$62:A67)</f>
        <v>13</v>
      </c>
      <c r="B68">
        <f>SUM($A$62:B67)</f>
        <v>19</v>
      </c>
      <c r="C68">
        <f>SUM($A$62:C67)</f>
        <v>23</v>
      </c>
      <c r="D68">
        <f>SUM($A$62:D67)</f>
        <v>24</v>
      </c>
      <c r="E68">
        <f>SUM($A$62:E67)</f>
        <v>29</v>
      </c>
      <c r="F68">
        <f>SUM($A$62:F67)</f>
        <v>31</v>
      </c>
      <c r="G68">
        <f>SUM($A$62:G67)</f>
        <v>40</v>
      </c>
      <c r="H68">
        <f>SUM($A$62:H67)</f>
        <v>43</v>
      </c>
      <c r="I68">
        <f>SUM($A$62:I67)</f>
        <v>47</v>
      </c>
      <c r="J68">
        <f>SUM($A$62:J67)</f>
        <v>56</v>
      </c>
      <c r="K68">
        <f>SUM($A$62:K67)</f>
        <v>61</v>
      </c>
      <c r="L68">
        <f>SUM($A$62:L67)</f>
        <v>70</v>
      </c>
      <c r="M68">
        <f>SUM($A$62:M67)</f>
        <v>71</v>
      </c>
      <c r="N68">
        <f>SUM($A$62:N67)</f>
        <v>74</v>
      </c>
      <c r="O68">
        <f>SUM($A$62:O67)</f>
        <v>79</v>
      </c>
      <c r="P68">
        <f>SUM($A$62:P67)</f>
        <v>88</v>
      </c>
      <c r="Q68">
        <f>SUM($A$62:Q67)</f>
        <v>89</v>
      </c>
      <c r="R68">
        <f>SUM($A$62:R67)</f>
        <v>93</v>
      </c>
    </row>
    <row r="69" spans="1:55" ht="15.6" x14ac:dyDescent="0.25">
      <c r="A69" s="854" t="s">
        <v>2301</v>
      </c>
      <c r="S69" s="62"/>
      <c r="T69" s="62"/>
    </row>
    <row r="70" spans="1:55" x14ac:dyDescent="0.25">
      <c r="A70" s="846" t="s">
        <v>76</v>
      </c>
      <c r="B70" s="846" t="s">
        <v>23</v>
      </c>
      <c r="C70" s="846" t="s">
        <v>34</v>
      </c>
      <c r="D70" s="846" t="s">
        <v>76</v>
      </c>
      <c r="E70" s="846" t="s">
        <v>23</v>
      </c>
      <c r="F70" s="846" t="s">
        <v>34</v>
      </c>
      <c r="G70" s="846" t="s">
        <v>76</v>
      </c>
      <c r="H70" s="846" t="s">
        <v>23</v>
      </c>
      <c r="I70" s="846" t="s">
        <v>34</v>
      </c>
      <c r="J70" s="846" t="s">
        <v>76</v>
      </c>
      <c r="K70" s="846" t="s">
        <v>23</v>
      </c>
      <c r="L70" s="846" t="s">
        <v>34</v>
      </c>
      <c r="M70" s="846" t="s">
        <v>76</v>
      </c>
      <c r="N70" s="846" t="s">
        <v>23</v>
      </c>
      <c r="O70" s="846" t="s">
        <v>34</v>
      </c>
      <c r="P70" s="846" t="s">
        <v>76</v>
      </c>
      <c r="Q70" s="846" t="s">
        <v>23</v>
      </c>
      <c r="R70" s="846" t="s">
        <v>34</v>
      </c>
      <c r="S70" s="846" t="s">
        <v>76</v>
      </c>
      <c r="T70" s="846"/>
      <c r="U70" s="846" t="s">
        <v>34</v>
      </c>
      <c r="V70" s="846" t="s">
        <v>76</v>
      </c>
      <c r="W70" s="846" t="s">
        <v>23</v>
      </c>
      <c r="X70" s="846" t="s">
        <v>34</v>
      </c>
      <c r="Y70" s="846" t="s">
        <v>76</v>
      </c>
      <c r="Z70" s="846"/>
      <c r="AA70" s="846" t="s">
        <v>34</v>
      </c>
      <c r="AB70" s="846" t="s">
        <v>76</v>
      </c>
      <c r="AC70" s="846" t="s">
        <v>34</v>
      </c>
      <c r="AD70" s="846" t="s">
        <v>76</v>
      </c>
      <c r="AE70" s="846" t="s">
        <v>34</v>
      </c>
      <c r="AF70" s="846" t="s">
        <v>76</v>
      </c>
      <c r="AG70" s="846" t="s">
        <v>23</v>
      </c>
      <c r="AH70" s="846" t="s">
        <v>76</v>
      </c>
      <c r="AI70" s="846" t="s">
        <v>23</v>
      </c>
      <c r="AJ70" s="846" t="s">
        <v>34</v>
      </c>
      <c r="AK70" s="846" t="s">
        <v>76</v>
      </c>
      <c r="AL70" s="846" t="s">
        <v>23</v>
      </c>
      <c r="AM70" s="846" t="s">
        <v>34</v>
      </c>
      <c r="AN70" s="846" t="s">
        <v>76</v>
      </c>
      <c r="AO70" s="846" t="s">
        <v>23</v>
      </c>
      <c r="AP70" s="846" t="s">
        <v>34</v>
      </c>
      <c r="AQ70" s="846" t="s">
        <v>76</v>
      </c>
      <c r="AR70" s="846" t="s">
        <v>23</v>
      </c>
      <c r="AS70" s="846" t="s">
        <v>34</v>
      </c>
      <c r="AT70" s="846" t="s">
        <v>76</v>
      </c>
      <c r="AU70" s="846" t="s">
        <v>23</v>
      </c>
      <c r="AV70" s="846" t="s">
        <v>76</v>
      </c>
      <c r="AW70" s="846" t="s">
        <v>23</v>
      </c>
      <c r="AX70" s="846" t="s">
        <v>76</v>
      </c>
      <c r="AY70" s="846" t="s">
        <v>23</v>
      </c>
      <c r="AZ70" s="846" t="s">
        <v>76</v>
      </c>
      <c r="BA70" s="846" t="s">
        <v>23</v>
      </c>
      <c r="BB70" s="846" t="s">
        <v>41</v>
      </c>
      <c r="BC70" s="846" t="s">
        <v>41</v>
      </c>
    </row>
    <row r="71" spans="1:55" x14ac:dyDescent="0.25">
      <c r="A71" s="529">
        <v>3</v>
      </c>
      <c r="B71" s="530">
        <v>3</v>
      </c>
      <c r="C71" s="530">
        <v>4</v>
      </c>
      <c r="D71" s="529">
        <v>1</v>
      </c>
      <c r="E71" s="529">
        <v>4</v>
      </c>
      <c r="F71" s="531">
        <v>1</v>
      </c>
      <c r="G71" s="529">
        <v>1</v>
      </c>
      <c r="H71" s="529">
        <v>3</v>
      </c>
      <c r="I71" s="531">
        <v>3</v>
      </c>
      <c r="J71" s="529">
        <v>4</v>
      </c>
      <c r="K71" s="530">
        <v>4</v>
      </c>
      <c r="L71" s="530">
        <v>6</v>
      </c>
      <c r="M71" s="529">
        <v>1</v>
      </c>
      <c r="N71" s="529">
        <v>3</v>
      </c>
      <c r="O71" s="531">
        <v>1</v>
      </c>
      <c r="P71" s="529">
        <v>1</v>
      </c>
      <c r="Q71" s="529">
        <v>1</v>
      </c>
      <c r="R71" s="531">
        <v>4</v>
      </c>
      <c r="S71" s="531">
        <v>4</v>
      </c>
      <c r="T71" s="531">
        <v>1</v>
      </c>
      <c r="U71" s="531">
        <v>5</v>
      </c>
      <c r="V71" s="532">
        <v>1</v>
      </c>
      <c r="W71" s="530">
        <v>1</v>
      </c>
      <c r="X71" s="530">
        <v>1</v>
      </c>
      <c r="Y71" s="532">
        <v>3</v>
      </c>
      <c r="Z71" s="532">
        <v>1</v>
      </c>
      <c r="AA71" s="530">
        <v>1</v>
      </c>
      <c r="AB71" s="529">
        <v>1</v>
      </c>
      <c r="AC71" s="530">
        <v>3</v>
      </c>
      <c r="AD71" s="529">
        <v>1</v>
      </c>
      <c r="AE71" s="531">
        <v>1</v>
      </c>
      <c r="AF71" s="529">
        <v>1</v>
      </c>
      <c r="AG71" s="530">
        <v>3</v>
      </c>
      <c r="AH71" s="529">
        <v>1</v>
      </c>
      <c r="AI71" s="530">
        <v>1</v>
      </c>
      <c r="AJ71" s="530">
        <v>1</v>
      </c>
      <c r="AK71" s="529">
        <v>1</v>
      </c>
      <c r="AL71" s="530">
        <v>1</v>
      </c>
      <c r="AM71" s="530">
        <v>1</v>
      </c>
      <c r="AN71" s="529">
        <v>3</v>
      </c>
      <c r="AO71" s="530">
        <v>4</v>
      </c>
      <c r="AP71" s="530">
        <v>4</v>
      </c>
      <c r="AQ71" s="529">
        <v>1</v>
      </c>
      <c r="AR71" s="529">
        <v>3</v>
      </c>
      <c r="AS71" s="529">
        <v>4</v>
      </c>
      <c r="AT71" s="529">
        <v>3</v>
      </c>
      <c r="AU71" s="530">
        <v>3</v>
      </c>
      <c r="AV71" s="529">
        <v>1</v>
      </c>
      <c r="AW71" s="530">
        <v>5</v>
      </c>
      <c r="AX71" s="529">
        <v>1</v>
      </c>
      <c r="AY71" s="530">
        <v>1</v>
      </c>
      <c r="AZ71" s="530">
        <v>1</v>
      </c>
      <c r="BA71" s="529">
        <v>4</v>
      </c>
      <c r="BB71" s="533">
        <v>1</v>
      </c>
      <c r="BC71" s="533">
        <v>1</v>
      </c>
    </row>
    <row r="72" spans="1:55" x14ac:dyDescent="0.25">
      <c r="A72" s="529">
        <v>1</v>
      </c>
      <c r="B72" s="530">
        <v>3</v>
      </c>
      <c r="C72" s="534"/>
      <c r="D72" s="529"/>
      <c r="E72" s="534"/>
      <c r="F72" s="534"/>
      <c r="G72" s="529">
        <v>1</v>
      </c>
      <c r="H72" s="534"/>
      <c r="I72" s="534"/>
      <c r="J72" s="529">
        <v>1</v>
      </c>
      <c r="K72" s="530"/>
      <c r="L72" s="534"/>
      <c r="M72" s="529"/>
      <c r="N72" s="534"/>
      <c r="O72" s="534"/>
      <c r="P72" s="529">
        <v>1</v>
      </c>
      <c r="Q72" s="534"/>
      <c r="R72" s="534"/>
      <c r="S72" s="529">
        <v>1</v>
      </c>
      <c r="T72" s="529"/>
      <c r="U72" s="534"/>
      <c r="V72" s="529">
        <v>1</v>
      </c>
      <c r="W72" s="529">
        <v>1</v>
      </c>
      <c r="X72" s="532"/>
      <c r="Y72" s="532"/>
      <c r="Z72" s="532"/>
      <c r="AA72" s="534"/>
      <c r="AB72" s="529">
        <v>1</v>
      </c>
      <c r="AC72" s="534"/>
      <c r="AD72" s="529">
        <v>1</v>
      </c>
      <c r="AE72" s="534"/>
      <c r="AF72" s="529"/>
      <c r="AG72" s="530"/>
      <c r="AH72" s="529"/>
      <c r="AI72" s="529"/>
      <c r="AJ72" s="530"/>
      <c r="AK72" s="529"/>
      <c r="AL72" s="529"/>
      <c r="AM72" s="530"/>
      <c r="AN72" s="529">
        <v>1</v>
      </c>
      <c r="AO72" s="534"/>
      <c r="AP72" s="534"/>
      <c r="AQ72" s="529">
        <v>1</v>
      </c>
      <c r="AR72" s="534"/>
      <c r="AS72" s="534"/>
      <c r="AT72" s="529">
        <v>1</v>
      </c>
      <c r="AU72" s="534"/>
      <c r="AV72" s="529">
        <v>1</v>
      </c>
      <c r="AW72" s="534"/>
      <c r="AX72" s="529">
        <v>1</v>
      </c>
      <c r="AY72" s="534"/>
      <c r="AZ72" s="529"/>
      <c r="BA72" s="530"/>
      <c r="BB72" s="534"/>
      <c r="BC72" s="534"/>
    </row>
    <row r="73" spans="1:55" x14ac:dyDescent="0.25">
      <c r="A73" s="529">
        <v>3</v>
      </c>
      <c r="B73" s="534"/>
      <c r="C73" s="534"/>
      <c r="D73" s="531"/>
      <c r="E73" s="534"/>
      <c r="F73" s="534"/>
      <c r="G73" s="531">
        <v>1</v>
      </c>
      <c r="H73" s="534"/>
      <c r="I73" s="534"/>
      <c r="J73" s="529">
        <v>1</v>
      </c>
      <c r="K73" s="534"/>
      <c r="L73" s="534"/>
      <c r="M73" s="531"/>
      <c r="N73" s="534"/>
      <c r="O73" s="534"/>
      <c r="P73" s="531">
        <v>1</v>
      </c>
      <c r="Q73" s="534"/>
      <c r="R73" s="534"/>
      <c r="S73" s="534"/>
      <c r="T73" s="534"/>
      <c r="U73" s="534"/>
      <c r="V73" s="534"/>
      <c r="W73" s="534"/>
      <c r="X73" s="534"/>
      <c r="Y73" s="534"/>
      <c r="Z73" s="534"/>
      <c r="AA73" s="534"/>
      <c r="AB73" s="529"/>
      <c r="AC73" s="534"/>
      <c r="AD73" s="531">
        <v>1</v>
      </c>
      <c r="AE73" s="534"/>
      <c r="AF73" s="529"/>
      <c r="AG73" s="534"/>
      <c r="AH73" s="529"/>
      <c r="AI73" s="529"/>
      <c r="AJ73" s="534"/>
      <c r="AK73" s="529"/>
      <c r="AL73" s="529"/>
      <c r="AM73" s="534"/>
      <c r="AN73" s="530">
        <v>1</v>
      </c>
      <c r="AO73" s="534"/>
      <c r="AP73" s="534"/>
      <c r="AQ73" s="531">
        <v>1</v>
      </c>
      <c r="AR73" s="534"/>
      <c r="AS73" s="534"/>
      <c r="AT73" s="530">
        <v>1</v>
      </c>
      <c r="AU73" s="534"/>
      <c r="AV73" s="530"/>
      <c r="AW73" s="534"/>
      <c r="AX73" s="530"/>
      <c r="AY73" s="534"/>
      <c r="AZ73" s="534"/>
      <c r="BA73" s="530"/>
      <c r="BB73" s="534"/>
      <c r="BC73" s="534"/>
    </row>
    <row r="74" spans="1:55" x14ac:dyDescent="0.25">
      <c r="A74" s="529"/>
      <c r="B74" s="534"/>
      <c r="C74" s="534"/>
      <c r="D74" s="529"/>
      <c r="E74" s="534"/>
      <c r="F74" s="534"/>
      <c r="G74" s="529">
        <v>1</v>
      </c>
      <c r="H74" s="534"/>
      <c r="I74" s="534"/>
      <c r="J74" s="529"/>
      <c r="K74" s="534"/>
      <c r="L74" s="534"/>
      <c r="M74" s="529"/>
      <c r="N74" s="534"/>
      <c r="O74" s="534"/>
      <c r="P74" s="529">
        <v>1</v>
      </c>
      <c r="Q74" s="534"/>
      <c r="R74" s="534"/>
      <c r="S74" s="531"/>
      <c r="T74" s="531"/>
      <c r="U74" s="534"/>
      <c r="V74" s="534"/>
      <c r="W74" s="534"/>
      <c r="X74" s="534"/>
      <c r="Y74" s="534"/>
      <c r="Z74" s="534"/>
      <c r="AA74" s="534"/>
      <c r="AB74" s="529"/>
      <c r="AC74" s="534"/>
      <c r="AD74" s="529">
        <v>1</v>
      </c>
      <c r="AE74" s="534"/>
      <c r="AF74" s="529"/>
      <c r="AG74" s="534"/>
      <c r="AH74" s="529"/>
      <c r="AI74" s="529"/>
      <c r="AJ74" s="534"/>
      <c r="AK74" s="529"/>
      <c r="AL74" s="529"/>
      <c r="AM74" s="534"/>
      <c r="AN74" s="530">
        <v>1</v>
      </c>
      <c r="AO74" s="534"/>
      <c r="AP74" s="534"/>
      <c r="AQ74" s="530">
        <v>1</v>
      </c>
      <c r="AR74" s="534"/>
      <c r="AS74" s="534"/>
      <c r="AT74" s="531">
        <v>1</v>
      </c>
      <c r="AU74" s="531"/>
      <c r="AV74" s="534"/>
      <c r="AW74" s="531"/>
      <c r="AX74" s="530"/>
      <c r="AY74" s="534"/>
      <c r="AZ74" s="530"/>
      <c r="BA74" s="531"/>
      <c r="BB74" s="534"/>
      <c r="BC74" s="534"/>
    </row>
    <row r="75" spans="1:55" x14ac:dyDescent="0.25">
      <c r="A75" s="529"/>
      <c r="B75" s="534"/>
      <c r="C75" s="534"/>
      <c r="D75" s="530"/>
      <c r="E75" s="534"/>
      <c r="F75" s="534"/>
      <c r="G75" s="530">
        <v>1</v>
      </c>
      <c r="H75" s="534"/>
      <c r="I75" s="534"/>
      <c r="J75" s="529"/>
      <c r="K75" s="534"/>
      <c r="L75" s="534"/>
      <c r="M75" s="530"/>
      <c r="N75" s="534"/>
      <c r="O75" s="534"/>
      <c r="P75" s="530">
        <v>1</v>
      </c>
      <c r="Q75" s="534"/>
      <c r="R75" s="534"/>
      <c r="S75" s="531"/>
      <c r="T75" s="531"/>
      <c r="U75" s="534"/>
      <c r="V75" s="534"/>
      <c r="W75" s="534"/>
      <c r="X75" s="534"/>
      <c r="Y75" s="534"/>
      <c r="Z75" s="534"/>
      <c r="AA75" s="534"/>
      <c r="AB75" s="529"/>
      <c r="AC75" s="534"/>
      <c r="AD75" s="530">
        <v>1</v>
      </c>
      <c r="AE75" s="534"/>
      <c r="AF75" s="529"/>
      <c r="AG75" s="534"/>
      <c r="AH75" s="529"/>
      <c r="AI75" s="529"/>
      <c r="AJ75" s="534"/>
      <c r="AK75" s="529"/>
      <c r="AL75" s="529"/>
      <c r="AM75" s="534"/>
      <c r="AN75" s="534"/>
      <c r="AO75" s="534"/>
      <c r="AP75" s="534"/>
      <c r="AQ75" s="530">
        <v>1</v>
      </c>
      <c r="AR75" s="534"/>
      <c r="AS75" s="534"/>
      <c r="AT75" s="531"/>
      <c r="AU75" s="531"/>
      <c r="AV75" s="531"/>
      <c r="AW75" s="531"/>
      <c r="AX75" s="534"/>
      <c r="AY75" s="534"/>
      <c r="AZ75" s="534"/>
      <c r="BA75" s="531"/>
      <c r="BB75" s="534"/>
      <c r="BC75" s="534"/>
    </row>
    <row r="76" spans="1:55" x14ac:dyDescent="0.25">
      <c r="A76" s="534"/>
      <c r="B76" s="534"/>
      <c r="C76" s="534"/>
      <c r="D76" s="531"/>
      <c r="E76" s="534"/>
      <c r="F76" s="534"/>
      <c r="G76" s="531"/>
      <c r="H76" s="534"/>
      <c r="I76" s="534"/>
      <c r="J76" s="534"/>
      <c r="K76" s="534"/>
      <c r="L76" s="534"/>
      <c r="M76" s="535"/>
      <c r="N76" s="534"/>
      <c r="O76" s="534"/>
      <c r="P76" s="535"/>
      <c r="Q76" s="534"/>
      <c r="R76" s="534"/>
      <c r="S76" s="531"/>
      <c r="T76" s="531"/>
      <c r="U76" s="534"/>
      <c r="V76" s="534"/>
      <c r="W76" s="534"/>
      <c r="X76" s="534"/>
      <c r="Y76" s="534"/>
      <c r="Z76" s="534"/>
      <c r="AA76" s="534"/>
      <c r="AB76" s="534"/>
      <c r="AC76" s="534"/>
      <c r="AD76" s="531"/>
      <c r="AE76" s="534"/>
      <c r="AF76" s="534"/>
      <c r="AG76" s="534"/>
      <c r="AH76" s="534"/>
      <c r="AI76" s="534"/>
      <c r="AJ76" s="534"/>
      <c r="AK76" s="534"/>
      <c r="AL76" s="534"/>
      <c r="AM76" s="534"/>
      <c r="AN76" s="530"/>
      <c r="AO76" s="534"/>
      <c r="AP76" s="534"/>
      <c r="AQ76" s="531"/>
      <c r="AR76" s="534"/>
      <c r="AS76" s="534"/>
      <c r="AT76" s="534"/>
      <c r="AU76" s="534"/>
      <c r="AV76" s="534"/>
      <c r="AW76" s="534"/>
      <c r="AX76" s="530"/>
      <c r="AY76" s="534"/>
      <c r="AZ76" s="530"/>
      <c r="BA76" s="534"/>
      <c r="BB76" s="534"/>
      <c r="BC76" s="534"/>
    </row>
    <row r="77" spans="1:55" ht="15.6" x14ac:dyDescent="0.25">
      <c r="A77" s="854" t="s">
        <v>2302</v>
      </c>
      <c r="S77" s="62"/>
      <c r="T77" s="62"/>
    </row>
    <row r="78" spans="1:55" x14ac:dyDescent="0.25">
      <c r="A78" s="846" t="s">
        <v>76</v>
      </c>
      <c r="B78" s="846" t="s">
        <v>23</v>
      </c>
      <c r="C78" s="846" t="s">
        <v>34</v>
      </c>
      <c r="D78" s="846" t="s">
        <v>76</v>
      </c>
      <c r="E78" s="846" t="s">
        <v>23</v>
      </c>
      <c r="F78" s="846" t="s">
        <v>34</v>
      </c>
      <c r="G78" s="846" t="s">
        <v>76</v>
      </c>
      <c r="H78" s="846" t="s">
        <v>23</v>
      </c>
      <c r="I78" s="846" t="s">
        <v>34</v>
      </c>
      <c r="J78" s="846" t="s">
        <v>76</v>
      </c>
      <c r="K78" s="846" t="s">
        <v>23</v>
      </c>
      <c r="L78" s="846" t="s">
        <v>34</v>
      </c>
      <c r="M78" s="846" t="s">
        <v>76</v>
      </c>
      <c r="N78" s="846" t="s">
        <v>23</v>
      </c>
      <c r="O78" s="846" t="s">
        <v>34</v>
      </c>
      <c r="P78" s="846" t="s">
        <v>76</v>
      </c>
      <c r="Q78" s="846" t="s">
        <v>23</v>
      </c>
      <c r="R78" s="846" t="s">
        <v>34</v>
      </c>
      <c r="S78" s="846" t="s">
        <v>76</v>
      </c>
      <c r="T78" s="846"/>
      <c r="U78" s="846" t="s">
        <v>34</v>
      </c>
      <c r="V78" s="846" t="s">
        <v>76</v>
      </c>
      <c r="W78" s="846" t="s">
        <v>23</v>
      </c>
      <c r="X78" s="846" t="s">
        <v>34</v>
      </c>
      <c r="Y78" s="846" t="s">
        <v>76</v>
      </c>
      <c r="Z78" s="846"/>
      <c r="AA78" s="846" t="s">
        <v>34</v>
      </c>
      <c r="AB78" s="846" t="s">
        <v>76</v>
      </c>
      <c r="AC78" s="846" t="s">
        <v>34</v>
      </c>
      <c r="AD78" s="846" t="s">
        <v>76</v>
      </c>
      <c r="AE78" s="846" t="s">
        <v>34</v>
      </c>
      <c r="AF78" s="846" t="s">
        <v>76</v>
      </c>
      <c r="AG78" s="846" t="s">
        <v>23</v>
      </c>
      <c r="AH78" s="846" t="s">
        <v>76</v>
      </c>
      <c r="AI78" s="846" t="s">
        <v>23</v>
      </c>
      <c r="AJ78" s="846" t="s">
        <v>34</v>
      </c>
      <c r="AK78" s="846" t="s">
        <v>76</v>
      </c>
      <c r="AL78" s="846" t="s">
        <v>23</v>
      </c>
      <c r="AM78" s="846" t="s">
        <v>34</v>
      </c>
      <c r="AN78" s="846" t="s">
        <v>76</v>
      </c>
      <c r="AO78" s="846" t="s">
        <v>23</v>
      </c>
      <c r="AP78" s="846" t="s">
        <v>34</v>
      </c>
      <c r="AQ78" s="846" t="s">
        <v>76</v>
      </c>
      <c r="AR78" s="846" t="s">
        <v>23</v>
      </c>
      <c r="AS78" s="846" t="s">
        <v>34</v>
      </c>
      <c r="AT78" s="846" t="s">
        <v>76</v>
      </c>
      <c r="AU78" s="846" t="s">
        <v>23</v>
      </c>
      <c r="AV78" s="846" t="s">
        <v>76</v>
      </c>
      <c r="AW78" s="846" t="s">
        <v>23</v>
      </c>
      <c r="AX78" s="846" t="s">
        <v>76</v>
      </c>
      <c r="AY78" s="846" t="s">
        <v>23</v>
      </c>
      <c r="AZ78" s="846" t="s">
        <v>76</v>
      </c>
      <c r="BA78" s="846" t="s">
        <v>23</v>
      </c>
      <c r="BB78" s="846" t="s">
        <v>41</v>
      </c>
      <c r="BC78" s="846" t="s">
        <v>41</v>
      </c>
    </row>
    <row r="79" spans="1:55" x14ac:dyDescent="0.25">
      <c r="A79" s="529">
        <v>1</v>
      </c>
      <c r="B79" s="530">
        <v>0</v>
      </c>
      <c r="C79" s="530">
        <v>0</v>
      </c>
      <c r="D79" s="529">
        <v>0</v>
      </c>
      <c r="E79" s="529">
        <v>1</v>
      </c>
      <c r="F79" s="531">
        <v>1</v>
      </c>
      <c r="G79" s="529">
        <v>0</v>
      </c>
      <c r="H79" s="529">
        <v>0</v>
      </c>
      <c r="I79" s="531">
        <v>1</v>
      </c>
      <c r="J79" s="529">
        <v>1</v>
      </c>
      <c r="K79" s="530">
        <v>1</v>
      </c>
      <c r="L79" s="530">
        <v>1</v>
      </c>
      <c r="M79" s="529">
        <v>0</v>
      </c>
      <c r="N79" s="529">
        <v>0</v>
      </c>
      <c r="O79" s="531">
        <v>1</v>
      </c>
      <c r="P79" s="529">
        <v>0</v>
      </c>
      <c r="Q79" s="529">
        <v>0</v>
      </c>
      <c r="R79" s="531">
        <v>0</v>
      </c>
      <c r="S79" s="531">
        <v>0</v>
      </c>
      <c r="T79" s="531">
        <v>0</v>
      </c>
      <c r="U79" s="531">
        <v>1</v>
      </c>
      <c r="V79" s="532">
        <v>0</v>
      </c>
      <c r="W79" s="530">
        <v>0</v>
      </c>
      <c r="X79" s="530">
        <v>1</v>
      </c>
      <c r="Y79" s="532">
        <v>1</v>
      </c>
      <c r="Z79" s="532">
        <v>0</v>
      </c>
      <c r="AA79" s="530">
        <v>0</v>
      </c>
      <c r="AB79" s="529">
        <v>0</v>
      </c>
      <c r="AC79" s="530">
        <v>0</v>
      </c>
      <c r="AD79" s="529">
        <v>0</v>
      </c>
      <c r="AE79" s="531">
        <v>0</v>
      </c>
      <c r="AF79" s="529">
        <v>0</v>
      </c>
      <c r="AG79" s="530">
        <v>0</v>
      </c>
      <c r="AH79" s="529">
        <v>3</v>
      </c>
      <c r="AI79" s="530">
        <v>0</v>
      </c>
      <c r="AJ79" s="530">
        <v>0</v>
      </c>
      <c r="AK79" s="529">
        <v>0</v>
      </c>
      <c r="AL79" s="530">
        <v>1</v>
      </c>
      <c r="AM79" s="530">
        <v>1</v>
      </c>
      <c r="AN79" s="529">
        <v>0</v>
      </c>
      <c r="AO79" s="530">
        <v>1</v>
      </c>
      <c r="AP79" s="530">
        <v>0</v>
      </c>
      <c r="AQ79" s="529">
        <v>0</v>
      </c>
      <c r="AR79" s="529">
        <v>0</v>
      </c>
      <c r="AS79" s="529">
        <v>0</v>
      </c>
      <c r="AT79" s="529">
        <v>0</v>
      </c>
      <c r="AU79" s="530">
        <v>0</v>
      </c>
      <c r="AV79" s="529">
        <v>1</v>
      </c>
      <c r="AW79" s="530">
        <v>0</v>
      </c>
      <c r="AX79" s="529">
        <v>0</v>
      </c>
      <c r="AY79" s="530">
        <v>0</v>
      </c>
      <c r="AZ79" s="530">
        <v>0</v>
      </c>
      <c r="BA79" s="529">
        <v>0</v>
      </c>
      <c r="BB79" s="533">
        <v>1</v>
      </c>
      <c r="BC79" s="533">
        <v>1</v>
      </c>
    </row>
    <row r="80" spans="1:55" x14ac:dyDescent="0.25">
      <c r="A80" s="529">
        <v>0</v>
      </c>
      <c r="B80" s="530">
        <v>0</v>
      </c>
      <c r="C80" s="534"/>
      <c r="D80" s="529"/>
      <c r="E80" s="534"/>
      <c r="F80" s="534"/>
      <c r="G80" s="529">
        <v>3</v>
      </c>
      <c r="H80" s="534"/>
      <c r="I80" s="534"/>
      <c r="J80" s="529">
        <v>0</v>
      </c>
      <c r="K80" s="530"/>
      <c r="L80" s="534"/>
      <c r="M80" s="529"/>
      <c r="N80" s="534"/>
      <c r="O80" s="534"/>
      <c r="P80" s="529">
        <v>3</v>
      </c>
      <c r="Q80" s="534"/>
      <c r="R80" s="534"/>
      <c r="S80" s="529">
        <v>1</v>
      </c>
      <c r="T80" s="529"/>
      <c r="U80" s="534"/>
      <c r="V80" s="529">
        <v>0</v>
      </c>
      <c r="W80" s="529">
        <v>0</v>
      </c>
      <c r="X80" s="532"/>
      <c r="Y80" s="532"/>
      <c r="Z80" s="532"/>
      <c r="AA80" s="534"/>
      <c r="AB80" s="529">
        <v>0</v>
      </c>
      <c r="AC80" s="534"/>
      <c r="AD80" s="529">
        <v>0</v>
      </c>
      <c r="AE80" s="534"/>
      <c r="AF80" s="529"/>
      <c r="AG80" s="530"/>
      <c r="AH80" s="529"/>
      <c r="AI80" s="529"/>
      <c r="AJ80" s="530"/>
      <c r="AK80" s="529"/>
      <c r="AL80" s="529"/>
      <c r="AM80" s="530"/>
      <c r="AN80" s="529">
        <v>1</v>
      </c>
      <c r="AO80" s="534"/>
      <c r="AP80" s="534"/>
      <c r="AQ80" s="529">
        <v>3</v>
      </c>
      <c r="AR80" s="534"/>
      <c r="AS80" s="534"/>
      <c r="AT80" s="529">
        <v>1</v>
      </c>
      <c r="AU80" s="534"/>
      <c r="AV80" s="529">
        <v>1</v>
      </c>
      <c r="AW80" s="534"/>
      <c r="AX80" s="529">
        <v>0</v>
      </c>
      <c r="AY80" s="534"/>
      <c r="AZ80" s="529"/>
      <c r="BA80" s="530"/>
      <c r="BB80" s="534"/>
      <c r="BC80" s="534"/>
    </row>
    <row r="81" spans="1:55" x14ac:dyDescent="0.25">
      <c r="A81" s="529">
        <v>4</v>
      </c>
      <c r="B81" s="534"/>
      <c r="C81" s="534"/>
      <c r="D81" s="531"/>
      <c r="E81" s="534"/>
      <c r="F81" s="534"/>
      <c r="G81" s="531">
        <v>0</v>
      </c>
      <c r="H81" s="534"/>
      <c r="I81" s="534"/>
      <c r="J81" s="529">
        <v>0</v>
      </c>
      <c r="K81" s="534"/>
      <c r="L81" s="534"/>
      <c r="M81" s="531"/>
      <c r="N81" s="534"/>
      <c r="O81" s="534"/>
      <c r="P81" s="531">
        <v>1</v>
      </c>
      <c r="Q81" s="534"/>
      <c r="R81" s="534"/>
      <c r="S81" s="534"/>
      <c r="T81" s="534"/>
      <c r="U81" s="534"/>
      <c r="V81" s="534"/>
      <c r="W81" s="534"/>
      <c r="X81" s="534"/>
      <c r="Y81" s="534"/>
      <c r="Z81" s="534"/>
      <c r="AA81" s="534"/>
      <c r="AB81" s="529"/>
      <c r="AC81" s="534"/>
      <c r="AD81" s="531">
        <v>0</v>
      </c>
      <c r="AE81" s="534"/>
      <c r="AF81" s="529"/>
      <c r="AG81" s="534"/>
      <c r="AH81" s="529"/>
      <c r="AI81" s="529"/>
      <c r="AJ81" s="534"/>
      <c r="AK81" s="529"/>
      <c r="AL81" s="529"/>
      <c r="AM81" s="534"/>
      <c r="AN81" s="530">
        <v>1</v>
      </c>
      <c r="AO81" s="534"/>
      <c r="AP81" s="534"/>
      <c r="AQ81" s="531">
        <v>0</v>
      </c>
      <c r="AR81" s="534"/>
      <c r="AS81" s="534"/>
      <c r="AT81" s="530">
        <v>1</v>
      </c>
      <c r="AU81" s="534"/>
      <c r="AV81" s="530"/>
      <c r="AW81" s="534"/>
      <c r="AX81" s="530"/>
      <c r="AY81" s="534"/>
      <c r="AZ81" s="534"/>
      <c r="BA81" s="530"/>
      <c r="BB81" s="534"/>
      <c r="BC81" s="534"/>
    </row>
    <row r="82" spans="1:55" x14ac:dyDescent="0.25">
      <c r="A82" s="529"/>
      <c r="B82" s="534"/>
      <c r="C82" s="534"/>
      <c r="D82" s="529"/>
      <c r="E82" s="534"/>
      <c r="F82" s="534"/>
      <c r="G82" s="529">
        <v>1</v>
      </c>
      <c r="H82" s="534"/>
      <c r="I82" s="534"/>
      <c r="J82" s="529"/>
      <c r="K82" s="534"/>
      <c r="L82" s="534"/>
      <c r="M82" s="529"/>
      <c r="N82" s="534"/>
      <c r="O82" s="534"/>
      <c r="P82" s="529">
        <v>0</v>
      </c>
      <c r="Q82" s="534"/>
      <c r="R82" s="534"/>
      <c r="S82" s="531"/>
      <c r="T82" s="531"/>
      <c r="U82" s="534"/>
      <c r="V82" s="534"/>
      <c r="W82" s="534"/>
      <c r="X82" s="534"/>
      <c r="Y82" s="534"/>
      <c r="Z82" s="534"/>
      <c r="AA82" s="534"/>
      <c r="AB82" s="529"/>
      <c r="AC82" s="534"/>
      <c r="AD82" s="529">
        <v>1</v>
      </c>
      <c r="AE82" s="534"/>
      <c r="AF82" s="529"/>
      <c r="AG82" s="534"/>
      <c r="AH82" s="529"/>
      <c r="AI82" s="529"/>
      <c r="AJ82" s="534"/>
      <c r="AK82" s="529"/>
      <c r="AL82" s="529"/>
      <c r="AM82" s="534"/>
      <c r="AN82" s="530">
        <v>1</v>
      </c>
      <c r="AO82" s="534"/>
      <c r="AP82" s="534"/>
      <c r="AQ82" s="530">
        <v>1</v>
      </c>
      <c r="AR82" s="534"/>
      <c r="AS82" s="534"/>
      <c r="AT82" s="531">
        <v>1</v>
      </c>
      <c r="AU82" s="531"/>
      <c r="AV82" s="534"/>
      <c r="AW82" s="531"/>
      <c r="AX82" s="530"/>
      <c r="AY82" s="534"/>
      <c r="AZ82" s="530"/>
      <c r="BA82" s="531"/>
      <c r="BB82" s="534"/>
      <c r="BC82" s="534"/>
    </row>
    <row r="83" spans="1:55" x14ac:dyDescent="0.25">
      <c r="A83" s="529"/>
      <c r="B83" s="534"/>
      <c r="C83" s="534"/>
      <c r="D83" s="530"/>
      <c r="E83" s="534"/>
      <c r="F83" s="534"/>
      <c r="G83" s="530">
        <v>0</v>
      </c>
      <c r="H83" s="534"/>
      <c r="I83" s="534"/>
      <c r="J83" s="529"/>
      <c r="K83" s="534"/>
      <c r="L83" s="534"/>
      <c r="M83" s="530"/>
      <c r="N83" s="534"/>
      <c r="O83" s="534"/>
      <c r="P83" s="530">
        <v>0</v>
      </c>
      <c r="Q83" s="534"/>
      <c r="R83" s="534"/>
      <c r="S83" s="531"/>
      <c r="T83" s="531"/>
      <c r="U83" s="534"/>
      <c r="V83" s="534"/>
      <c r="W83" s="534"/>
      <c r="X83" s="534"/>
      <c r="Y83" s="534"/>
      <c r="Z83" s="534"/>
      <c r="AA83" s="534"/>
      <c r="AB83" s="529"/>
      <c r="AC83" s="534"/>
      <c r="AD83" s="530">
        <v>0</v>
      </c>
      <c r="AE83" s="534"/>
      <c r="AF83" s="529"/>
      <c r="AG83" s="534"/>
      <c r="AH83" s="529"/>
      <c r="AI83" s="529"/>
      <c r="AJ83" s="534"/>
      <c r="AK83" s="529"/>
      <c r="AL83" s="529"/>
      <c r="AM83" s="534"/>
      <c r="AN83" s="534"/>
      <c r="AO83" s="534"/>
      <c r="AP83" s="534"/>
      <c r="AQ83" s="530">
        <v>0</v>
      </c>
      <c r="AR83" s="534"/>
      <c r="AS83" s="534"/>
      <c r="AT83" s="531"/>
      <c r="AU83" s="531"/>
      <c r="AV83" s="531"/>
      <c r="AW83" s="531"/>
      <c r="AX83" s="534"/>
      <c r="AY83" s="534"/>
      <c r="AZ83" s="534"/>
      <c r="BA83" s="531"/>
      <c r="BB83" s="534"/>
      <c r="BC83" s="534"/>
    </row>
    <row r="84" spans="1:55" x14ac:dyDescent="0.25">
      <c r="A84" s="534"/>
      <c r="B84" s="534"/>
      <c r="C84" s="534"/>
      <c r="D84" s="531"/>
      <c r="E84" s="534"/>
      <c r="F84" s="534"/>
      <c r="G84" s="531"/>
      <c r="H84" s="534"/>
      <c r="I84" s="534"/>
      <c r="J84" s="534"/>
      <c r="K84" s="534"/>
      <c r="L84" s="534"/>
      <c r="M84" s="535"/>
      <c r="N84" s="534"/>
      <c r="O84" s="534"/>
      <c r="P84" s="535"/>
      <c r="Q84" s="534"/>
      <c r="R84" s="534"/>
      <c r="S84" s="531"/>
      <c r="T84" s="531"/>
      <c r="U84" s="534"/>
      <c r="V84" s="534"/>
      <c r="W84" s="534"/>
      <c r="X84" s="534"/>
      <c r="Y84" s="534"/>
      <c r="Z84" s="534"/>
      <c r="AA84" s="534"/>
      <c r="AB84" s="534"/>
      <c r="AC84" s="534"/>
      <c r="AD84" s="531"/>
      <c r="AE84" s="534"/>
      <c r="AF84" s="534"/>
      <c r="AG84" s="534"/>
      <c r="AH84" s="534"/>
      <c r="AI84" s="534"/>
      <c r="AJ84" s="534"/>
      <c r="AK84" s="534"/>
      <c r="AL84" s="534"/>
      <c r="AM84" s="534"/>
      <c r="AN84" s="530"/>
      <c r="AO84" s="534"/>
      <c r="AP84" s="534"/>
      <c r="AQ84" s="531"/>
      <c r="AR84" s="534"/>
      <c r="AS84" s="534"/>
      <c r="AT84" s="534"/>
      <c r="AU84" s="534"/>
      <c r="AV84" s="534"/>
      <c r="AW84" s="534"/>
      <c r="AX84" s="530"/>
      <c r="AY84" s="534"/>
      <c r="AZ84" s="530"/>
      <c r="BA84" s="534"/>
      <c r="BB84" s="534"/>
      <c r="BC84" s="534"/>
    </row>
    <row r="85" spans="1:55" ht="15.6" x14ac:dyDescent="0.25">
      <c r="A85" s="854" t="s">
        <v>2303</v>
      </c>
      <c r="S85" s="62"/>
      <c r="T85" s="62"/>
    </row>
    <row r="86" spans="1:55" x14ac:dyDescent="0.25">
      <c r="A86" s="846" t="s">
        <v>76</v>
      </c>
      <c r="B86" s="846" t="s">
        <v>23</v>
      </c>
      <c r="C86" s="846" t="s">
        <v>34</v>
      </c>
      <c r="D86" s="846" t="s">
        <v>76</v>
      </c>
      <c r="E86" s="846" t="s">
        <v>23</v>
      </c>
      <c r="F86" s="846" t="s">
        <v>34</v>
      </c>
      <c r="G86" s="846" t="s">
        <v>76</v>
      </c>
      <c r="H86" s="846" t="s">
        <v>23</v>
      </c>
      <c r="I86" s="846" t="s">
        <v>34</v>
      </c>
      <c r="J86" s="846" t="s">
        <v>76</v>
      </c>
      <c r="K86" s="846" t="s">
        <v>23</v>
      </c>
      <c r="L86" s="846" t="s">
        <v>34</v>
      </c>
      <c r="M86" s="846" t="s">
        <v>76</v>
      </c>
      <c r="N86" s="846" t="s">
        <v>23</v>
      </c>
      <c r="O86" s="846" t="s">
        <v>34</v>
      </c>
      <c r="P86" s="846" t="s">
        <v>76</v>
      </c>
      <c r="Q86" s="846" t="s">
        <v>23</v>
      </c>
      <c r="R86" s="846" t="s">
        <v>34</v>
      </c>
      <c r="S86" s="846" t="s">
        <v>76</v>
      </c>
      <c r="T86" s="846"/>
      <c r="U86" s="846" t="s">
        <v>34</v>
      </c>
      <c r="V86" s="846" t="s">
        <v>76</v>
      </c>
      <c r="W86" s="846" t="s">
        <v>23</v>
      </c>
      <c r="X86" s="846" t="s">
        <v>34</v>
      </c>
      <c r="Y86" s="846" t="s">
        <v>76</v>
      </c>
      <c r="Z86" s="846"/>
      <c r="AA86" s="846" t="s">
        <v>34</v>
      </c>
      <c r="AB86" s="846" t="s">
        <v>76</v>
      </c>
      <c r="AC86" s="846" t="s">
        <v>34</v>
      </c>
      <c r="AD86" s="846" t="s">
        <v>76</v>
      </c>
      <c r="AE86" s="846" t="s">
        <v>34</v>
      </c>
      <c r="AF86" s="846" t="s">
        <v>76</v>
      </c>
      <c r="AG86" s="846" t="s">
        <v>23</v>
      </c>
      <c r="AH86" s="846" t="s">
        <v>76</v>
      </c>
      <c r="AI86" s="846" t="s">
        <v>23</v>
      </c>
      <c r="AJ86" s="846" t="s">
        <v>34</v>
      </c>
      <c r="AK86" s="846" t="s">
        <v>76</v>
      </c>
      <c r="AL86" s="846" t="s">
        <v>23</v>
      </c>
      <c r="AM86" s="846" t="s">
        <v>34</v>
      </c>
      <c r="AN86" s="846" t="s">
        <v>76</v>
      </c>
      <c r="AO86" s="846" t="s">
        <v>23</v>
      </c>
      <c r="AP86" s="846" t="s">
        <v>34</v>
      </c>
      <c r="AQ86" s="846" t="s">
        <v>76</v>
      </c>
      <c r="AR86" s="846" t="s">
        <v>23</v>
      </c>
      <c r="AS86" s="846" t="s">
        <v>34</v>
      </c>
      <c r="AT86" s="846" t="s">
        <v>76</v>
      </c>
      <c r="AU86" s="846" t="s">
        <v>23</v>
      </c>
      <c r="AV86" s="846" t="s">
        <v>76</v>
      </c>
      <c r="AW86" s="846" t="s">
        <v>23</v>
      </c>
      <c r="AX86" s="846" t="s">
        <v>76</v>
      </c>
      <c r="AY86" s="846" t="s">
        <v>23</v>
      </c>
      <c r="AZ86" s="846" t="s">
        <v>76</v>
      </c>
      <c r="BA86" s="846" t="s">
        <v>23</v>
      </c>
      <c r="BB86" s="846" t="s">
        <v>41</v>
      </c>
      <c r="BC86" s="846" t="s">
        <v>41</v>
      </c>
    </row>
    <row r="87" spans="1:55" x14ac:dyDescent="0.25">
      <c r="A87" s="529">
        <v>1</v>
      </c>
      <c r="B87" s="530">
        <v>0</v>
      </c>
      <c r="C87" s="530">
        <v>0</v>
      </c>
      <c r="D87" s="529">
        <v>0</v>
      </c>
      <c r="E87" s="529">
        <v>0</v>
      </c>
      <c r="F87" s="531">
        <v>0</v>
      </c>
      <c r="G87" s="529">
        <v>0</v>
      </c>
      <c r="H87" s="529">
        <v>0</v>
      </c>
      <c r="I87" s="531">
        <v>0</v>
      </c>
      <c r="J87" s="529">
        <v>1</v>
      </c>
      <c r="K87" s="530">
        <v>0</v>
      </c>
      <c r="L87" s="530">
        <v>1</v>
      </c>
      <c r="M87" s="529">
        <v>0</v>
      </c>
      <c r="N87" s="529">
        <v>0</v>
      </c>
      <c r="O87" s="531">
        <v>1</v>
      </c>
      <c r="P87" s="529">
        <v>0</v>
      </c>
      <c r="Q87" s="529">
        <v>0</v>
      </c>
      <c r="R87" s="531">
        <v>0</v>
      </c>
      <c r="S87" s="531">
        <v>0</v>
      </c>
      <c r="T87" s="531">
        <v>0</v>
      </c>
      <c r="U87" s="531">
        <v>0</v>
      </c>
      <c r="V87" s="532">
        <v>0</v>
      </c>
      <c r="W87" s="530">
        <v>0</v>
      </c>
      <c r="X87" s="530">
        <v>0</v>
      </c>
      <c r="Y87" s="532">
        <v>0</v>
      </c>
      <c r="Z87" s="532">
        <v>0</v>
      </c>
      <c r="AA87" s="530">
        <v>0</v>
      </c>
      <c r="AB87" s="529">
        <v>0</v>
      </c>
      <c r="AC87" s="530">
        <v>0</v>
      </c>
      <c r="AD87" s="529">
        <v>0</v>
      </c>
      <c r="AE87" s="531">
        <v>0</v>
      </c>
      <c r="AF87" s="529">
        <v>0</v>
      </c>
      <c r="AG87" s="530">
        <v>0</v>
      </c>
      <c r="AH87" s="529">
        <v>0</v>
      </c>
      <c r="AI87" s="530">
        <v>0</v>
      </c>
      <c r="AJ87" s="530">
        <v>0</v>
      </c>
      <c r="AK87" s="529">
        <v>0</v>
      </c>
      <c r="AL87" s="530">
        <v>0</v>
      </c>
      <c r="AM87" s="530">
        <v>0</v>
      </c>
      <c r="AN87" s="529">
        <v>0</v>
      </c>
      <c r="AO87" s="530">
        <v>0</v>
      </c>
      <c r="AP87" s="530">
        <v>0</v>
      </c>
      <c r="AQ87" s="529">
        <v>0</v>
      </c>
      <c r="AR87" s="529">
        <v>0</v>
      </c>
      <c r="AS87" s="529">
        <v>0</v>
      </c>
      <c r="AT87" s="529">
        <v>0</v>
      </c>
      <c r="AU87" s="530">
        <v>0</v>
      </c>
      <c r="AV87" s="529">
        <v>0</v>
      </c>
      <c r="AW87" s="530">
        <v>0</v>
      </c>
      <c r="AX87" s="529">
        <v>0</v>
      </c>
      <c r="AY87" s="530">
        <v>0</v>
      </c>
      <c r="AZ87" s="530">
        <v>0</v>
      </c>
      <c r="BA87" s="529">
        <v>0</v>
      </c>
      <c r="BB87" s="533">
        <v>1</v>
      </c>
      <c r="BC87" s="533">
        <v>1</v>
      </c>
    </row>
    <row r="88" spans="1:55" x14ac:dyDescent="0.25">
      <c r="A88" s="529">
        <v>0</v>
      </c>
      <c r="B88" s="530">
        <v>0</v>
      </c>
      <c r="C88" s="534"/>
      <c r="D88" s="529"/>
      <c r="E88" s="534"/>
      <c r="F88" s="534"/>
      <c r="G88" s="529">
        <v>0</v>
      </c>
      <c r="H88" s="534"/>
      <c r="I88" s="534"/>
      <c r="J88" s="529">
        <v>0</v>
      </c>
      <c r="K88" s="530"/>
      <c r="L88" s="534"/>
      <c r="M88" s="529"/>
      <c r="N88" s="534"/>
      <c r="O88" s="534"/>
      <c r="P88" s="529">
        <v>0</v>
      </c>
      <c r="Q88" s="534"/>
      <c r="R88" s="534"/>
      <c r="S88" s="529">
        <v>0</v>
      </c>
      <c r="T88" s="529"/>
      <c r="U88" s="534"/>
      <c r="V88" s="529">
        <v>0</v>
      </c>
      <c r="W88" s="529">
        <v>0</v>
      </c>
      <c r="X88" s="532"/>
      <c r="Y88" s="532"/>
      <c r="Z88" s="532"/>
      <c r="AA88" s="534"/>
      <c r="AB88" s="529">
        <v>0</v>
      </c>
      <c r="AC88" s="534"/>
      <c r="AD88" s="529">
        <v>0</v>
      </c>
      <c r="AE88" s="534"/>
      <c r="AF88" s="529"/>
      <c r="AG88" s="530"/>
      <c r="AH88" s="529"/>
      <c r="AI88" s="529"/>
      <c r="AJ88" s="530"/>
      <c r="AK88" s="529"/>
      <c r="AL88" s="529"/>
      <c r="AM88" s="530"/>
      <c r="AN88" s="529">
        <v>0</v>
      </c>
      <c r="AO88" s="534"/>
      <c r="AP88" s="534"/>
      <c r="AQ88" s="529">
        <v>0</v>
      </c>
      <c r="AR88" s="534"/>
      <c r="AS88" s="534"/>
      <c r="AT88" s="529">
        <v>0</v>
      </c>
      <c r="AU88" s="534"/>
      <c r="AV88" s="529">
        <v>0</v>
      </c>
      <c r="AW88" s="534"/>
      <c r="AX88" s="529">
        <v>0</v>
      </c>
      <c r="AY88" s="534"/>
      <c r="AZ88" s="529"/>
      <c r="BA88" s="530"/>
      <c r="BB88" s="534"/>
      <c r="BC88" s="534"/>
    </row>
    <row r="89" spans="1:55" x14ac:dyDescent="0.25">
      <c r="A89" s="529">
        <v>0</v>
      </c>
      <c r="B89" s="534"/>
      <c r="C89" s="534"/>
      <c r="D89" s="531"/>
      <c r="E89" s="534"/>
      <c r="F89" s="534"/>
      <c r="G89" s="531">
        <v>0</v>
      </c>
      <c r="H89" s="534"/>
      <c r="I89" s="534"/>
      <c r="J89" s="529">
        <v>0</v>
      </c>
      <c r="K89" s="534"/>
      <c r="L89" s="534"/>
      <c r="M89" s="531"/>
      <c r="N89" s="534"/>
      <c r="O89" s="534"/>
      <c r="P89" s="531">
        <v>0</v>
      </c>
      <c r="Q89" s="534"/>
      <c r="R89" s="534"/>
      <c r="S89" s="534"/>
      <c r="T89" s="534"/>
      <c r="U89" s="534"/>
      <c r="V89" s="534"/>
      <c r="W89" s="534"/>
      <c r="X89" s="534"/>
      <c r="Y89" s="534"/>
      <c r="Z89" s="534"/>
      <c r="AA89" s="534"/>
      <c r="AB89" s="529"/>
      <c r="AC89" s="534"/>
      <c r="AD89" s="531">
        <v>0</v>
      </c>
      <c r="AE89" s="534"/>
      <c r="AF89" s="529"/>
      <c r="AG89" s="534"/>
      <c r="AH89" s="529"/>
      <c r="AI89" s="529"/>
      <c r="AJ89" s="534"/>
      <c r="AK89" s="529"/>
      <c r="AL89" s="529"/>
      <c r="AM89" s="534"/>
      <c r="AN89" s="530">
        <v>1</v>
      </c>
      <c r="AO89" s="534"/>
      <c r="AP89" s="534"/>
      <c r="AQ89" s="531">
        <v>0</v>
      </c>
      <c r="AR89" s="534"/>
      <c r="AS89" s="534"/>
      <c r="AT89" s="530">
        <v>0</v>
      </c>
      <c r="AU89" s="534"/>
      <c r="AV89" s="530"/>
      <c r="AW89" s="534"/>
      <c r="AX89" s="530"/>
      <c r="AY89" s="534"/>
      <c r="AZ89" s="534"/>
      <c r="BA89" s="530"/>
      <c r="BB89" s="534"/>
      <c r="BC89" s="534"/>
    </row>
    <row r="90" spans="1:55" x14ac:dyDescent="0.25">
      <c r="A90" s="529"/>
      <c r="B90" s="534"/>
      <c r="C90" s="534"/>
      <c r="D90" s="529"/>
      <c r="E90" s="534"/>
      <c r="F90" s="534"/>
      <c r="G90" s="529">
        <v>0</v>
      </c>
      <c r="H90" s="534"/>
      <c r="I90" s="534"/>
      <c r="J90" s="529"/>
      <c r="K90" s="534"/>
      <c r="L90" s="534"/>
      <c r="M90" s="529"/>
      <c r="N90" s="534"/>
      <c r="O90" s="534"/>
      <c r="P90" s="529">
        <v>0</v>
      </c>
      <c r="Q90" s="534"/>
      <c r="R90" s="534"/>
      <c r="S90" s="531"/>
      <c r="T90" s="531"/>
      <c r="U90" s="534"/>
      <c r="V90" s="534"/>
      <c r="W90" s="534"/>
      <c r="X90" s="534"/>
      <c r="Y90" s="534"/>
      <c r="Z90" s="534"/>
      <c r="AA90" s="534"/>
      <c r="AB90" s="529"/>
      <c r="AC90" s="534"/>
      <c r="AD90" s="529">
        <v>0</v>
      </c>
      <c r="AE90" s="534"/>
      <c r="AF90" s="529"/>
      <c r="AG90" s="534"/>
      <c r="AH90" s="529"/>
      <c r="AI90" s="529"/>
      <c r="AJ90" s="534"/>
      <c r="AK90" s="529"/>
      <c r="AL90" s="529"/>
      <c r="AM90" s="534"/>
      <c r="AN90" s="530">
        <v>0</v>
      </c>
      <c r="AO90" s="534"/>
      <c r="AP90" s="534"/>
      <c r="AQ90" s="530">
        <v>0</v>
      </c>
      <c r="AR90" s="534"/>
      <c r="AS90" s="534"/>
      <c r="AT90" s="531">
        <v>0</v>
      </c>
      <c r="AU90" s="531"/>
      <c r="AV90" s="534"/>
      <c r="AW90" s="531"/>
      <c r="AX90" s="530"/>
      <c r="AY90" s="534"/>
      <c r="AZ90" s="530"/>
      <c r="BA90" s="531"/>
      <c r="BB90" s="534"/>
      <c r="BC90" s="534"/>
    </row>
    <row r="91" spans="1:55" x14ac:dyDescent="0.25">
      <c r="A91" s="529"/>
      <c r="B91" s="534"/>
      <c r="C91" s="534"/>
      <c r="D91" s="530"/>
      <c r="E91" s="534"/>
      <c r="F91" s="534"/>
      <c r="G91" s="530">
        <v>0</v>
      </c>
      <c r="H91" s="534"/>
      <c r="I91" s="534"/>
      <c r="J91" s="529"/>
      <c r="K91" s="534"/>
      <c r="L91" s="534"/>
      <c r="M91" s="530"/>
      <c r="N91" s="534"/>
      <c r="O91" s="534"/>
      <c r="P91" s="530">
        <v>0</v>
      </c>
      <c r="Q91" s="534"/>
      <c r="R91" s="534"/>
      <c r="S91" s="531"/>
      <c r="T91" s="531"/>
      <c r="U91" s="534"/>
      <c r="V91" s="534"/>
      <c r="W91" s="534"/>
      <c r="X91" s="534"/>
      <c r="Y91" s="534"/>
      <c r="Z91" s="534"/>
      <c r="AA91" s="534"/>
      <c r="AB91" s="529"/>
      <c r="AC91" s="534"/>
      <c r="AD91" s="530">
        <v>0</v>
      </c>
      <c r="AE91" s="534"/>
      <c r="AF91" s="529"/>
      <c r="AG91" s="534"/>
      <c r="AH91" s="529"/>
      <c r="AI91" s="529"/>
      <c r="AJ91" s="534"/>
      <c r="AK91" s="529"/>
      <c r="AL91" s="529"/>
      <c r="AM91" s="534"/>
      <c r="AN91" s="534"/>
      <c r="AO91" s="534"/>
      <c r="AP91" s="534"/>
      <c r="AQ91" s="530">
        <v>0</v>
      </c>
      <c r="AR91" s="534"/>
      <c r="AS91" s="534"/>
      <c r="AT91" s="531"/>
      <c r="AU91" s="531"/>
      <c r="AV91" s="531"/>
      <c r="AW91" s="531"/>
      <c r="AX91" s="534"/>
      <c r="AY91" s="534"/>
      <c r="AZ91" s="534"/>
      <c r="BA91" s="531"/>
      <c r="BB91" s="534"/>
      <c r="BC91" s="534"/>
    </row>
    <row r="92" spans="1:55" x14ac:dyDescent="0.25">
      <c r="A92" s="534"/>
      <c r="B92" s="534"/>
      <c r="C92" s="534"/>
      <c r="D92" s="531"/>
      <c r="E92" s="534"/>
      <c r="F92" s="534"/>
      <c r="G92" s="531"/>
      <c r="H92" s="534"/>
      <c r="I92" s="534"/>
      <c r="J92" s="534"/>
      <c r="K92" s="534"/>
      <c r="L92" s="534"/>
      <c r="M92" s="535"/>
      <c r="N92" s="534"/>
      <c r="O92" s="534"/>
      <c r="P92" s="535"/>
      <c r="Q92" s="534"/>
      <c r="R92" s="534"/>
      <c r="S92" s="531"/>
      <c r="T92" s="531"/>
      <c r="U92" s="534"/>
      <c r="V92" s="534"/>
      <c r="W92" s="534"/>
      <c r="X92" s="534"/>
      <c r="Y92" s="534"/>
      <c r="Z92" s="534"/>
      <c r="AA92" s="534"/>
      <c r="AB92" s="534"/>
      <c r="AC92" s="534"/>
      <c r="AD92" s="531"/>
      <c r="AE92" s="534"/>
      <c r="AF92" s="534"/>
      <c r="AG92" s="534"/>
      <c r="AH92" s="534"/>
      <c r="AI92" s="534"/>
      <c r="AJ92" s="534"/>
      <c r="AK92" s="534"/>
      <c r="AL92" s="534"/>
      <c r="AM92" s="534"/>
      <c r="AN92" s="530"/>
      <c r="AO92" s="534"/>
      <c r="AP92" s="534"/>
      <c r="AQ92" s="531"/>
      <c r="AR92" s="534"/>
      <c r="AS92" s="534"/>
      <c r="AT92" s="534"/>
      <c r="AU92" s="534"/>
      <c r="AV92" s="534"/>
      <c r="AW92" s="534"/>
      <c r="AX92" s="530"/>
      <c r="AY92" s="534"/>
      <c r="AZ92" s="530"/>
      <c r="BA92" s="534"/>
      <c r="BB92" s="534"/>
      <c r="BC92" s="534"/>
    </row>
    <row r="93" spans="1:55" ht="15.6" x14ac:dyDescent="0.25">
      <c r="A93" s="854" t="s">
        <v>2304</v>
      </c>
      <c r="S93" s="62"/>
      <c r="T93" s="62"/>
    </row>
    <row r="94" spans="1:55" x14ac:dyDescent="0.25">
      <c r="A94" s="846" t="s">
        <v>76</v>
      </c>
      <c r="B94" s="846" t="s">
        <v>23</v>
      </c>
      <c r="C94" s="846" t="s">
        <v>34</v>
      </c>
      <c r="D94" s="846" t="s">
        <v>76</v>
      </c>
      <c r="E94" s="846" t="s">
        <v>23</v>
      </c>
      <c r="F94" s="846" t="s">
        <v>34</v>
      </c>
      <c r="G94" s="846" t="s">
        <v>76</v>
      </c>
      <c r="H94" s="846" t="s">
        <v>23</v>
      </c>
      <c r="I94" s="846" t="s">
        <v>34</v>
      </c>
      <c r="J94" s="846" t="s">
        <v>76</v>
      </c>
      <c r="K94" s="846" t="s">
        <v>23</v>
      </c>
      <c r="L94" s="846" t="s">
        <v>34</v>
      </c>
      <c r="M94" s="846" t="s">
        <v>76</v>
      </c>
      <c r="N94" s="846" t="s">
        <v>23</v>
      </c>
      <c r="O94" s="846" t="s">
        <v>34</v>
      </c>
      <c r="P94" s="846" t="s">
        <v>76</v>
      </c>
      <c r="Q94" s="846" t="s">
        <v>23</v>
      </c>
      <c r="R94" s="846" t="s">
        <v>34</v>
      </c>
      <c r="S94" s="846" t="s">
        <v>76</v>
      </c>
      <c r="T94" s="846"/>
      <c r="U94" s="846" t="s">
        <v>34</v>
      </c>
      <c r="V94" s="846" t="s">
        <v>76</v>
      </c>
      <c r="W94" s="846" t="s">
        <v>23</v>
      </c>
      <c r="X94" s="846" t="s">
        <v>34</v>
      </c>
      <c r="Y94" s="846" t="s">
        <v>76</v>
      </c>
      <c r="Z94" s="846"/>
      <c r="AA94" s="846" t="s">
        <v>34</v>
      </c>
      <c r="AB94" s="846" t="s">
        <v>76</v>
      </c>
      <c r="AC94" s="846" t="s">
        <v>34</v>
      </c>
      <c r="AD94" s="846" t="s">
        <v>76</v>
      </c>
      <c r="AE94" s="846" t="s">
        <v>34</v>
      </c>
      <c r="AF94" s="846" t="s">
        <v>76</v>
      </c>
      <c r="AG94" s="846" t="s">
        <v>23</v>
      </c>
      <c r="AH94" s="846" t="s">
        <v>76</v>
      </c>
      <c r="AI94" s="846" t="s">
        <v>23</v>
      </c>
      <c r="AJ94" s="846" t="s">
        <v>34</v>
      </c>
      <c r="AK94" s="846" t="s">
        <v>76</v>
      </c>
      <c r="AL94" s="846" t="s">
        <v>23</v>
      </c>
      <c r="AM94" s="846" t="s">
        <v>34</v>
      </c>
      <c r="AN94" s="846" t="s">
        <v>76</v>
      </c>
      <c r="AO94" s="846" t="s">
        <v>23</v>
      </c>
      <c r="AP94" s="846" t="s">
        <v>34</v>
      </c>
      <c r="AQ94" s="846" t="s">
        <v>76</v>
      </c>
      <c r="AR94" s="846" t="s">
        <v>23</v>
      </c>
      <c r="AS94" s="846" t="s">
        <v>34</v>
      </c>
      <c r="AT94" s="846" t="s">
        <v>76</v>
      </c>
      <c r="AU94" s="846" t="s">
        <v>23</v>
      </c>
      <c r="AV94" s="846" t="s">
        <v>76</v>
      </c>
      <c r="AW94" s="846" t="s">
        <v>23</v>
      </c>
      <c r="AX94" s="846" t="s">
        <v>76</v>
      </c>
      <c r="AY94" s="846" t="s">
        <v>23</v>
      </c>
      <c r="AZ94" s="846" t="s">
        <v>76</v>
      </c>
      <c r="BA94" s="846" t="s">
        <v>23</v>
      </c>
      <c r="BB94" s="846" t="s">
        <v>41</v>
      </c>
      <c r="BC94" s="846" t="s">
        <v>41</v>
      </c>
    </row>
    <row r="95" spans="1:55" x14ac:dyDescent="0.25">
      <c r="A95" s="529">
        <v>0</v>
      </c>
      <c r="B95" s="530">
        <v>0</v>
      </c>
      <c r="C95" s="530">
        <v>0</v>
      </c>
      <c r="D95" s="529">
        <v>0</v>
      </c>
      <c r="E95" s="529">
        <v>0</v>
      </c>
      <c r="F95" s="531">
        <v>0</v>
      </c>
      <c r="G95" s="529">
        <v>0</v>
      </c>
      <c r="H95" s="529">
        <v>0</v>
      </c>
      <c r="I95" s="531">
        <v>0</v>
      </c>
      <c r="J95" s="529">
        <v>1</v>
      </c>
      <c r="K95" s="530">
        <v>0</v>
      </c>
      <c r="L95" s="530">
        <v>1</v>
      </c>
      <c r="M95" s="529">
        <v>0</v>
      </c>
      <c r="N95" s="529">
        <v>0</v>
      </c>
      <c r="O95" s="531">
        <v>1</v>
      </c>
      <c r="P95" s="529">
        <v>0</v>
      </c>
      <c r="Q95" s="529">
        <v>0</v>
      </c>
      <c r="R95" s="531">
        <v>0</v>
      </c>
      <c r="S95" s="531">
        <v>0</v>
      </c>
      <c r="T95" s="531">
        <v>0</v>
      </c>
      <c r="U95" s="531">
        <v>0</v>
      </c>
      <c r="V95" s="532">
        <v>0</v>
      </c>
      <c r="W95" s="530">
        <v>0</v>
      </c>
      <c r="X95" s="530">
        <v>0</v>
      </c>
      <c r="Y95" s="532">
        <v>0</v>
      </c>
      <c r="Z95" s="532">
        <v>0</v>
      </c>
      <c r="AA95" s="530">
        <v>0</v>
      </c>
      <c r="AB95" s="529">
        <v>0</v>
      </c>
      <c r="AC95" s="530">
        <v>0</v>
      </c>
      <c r="AD95" s="529">
        <v>0</v>
      </c>
      <c r="AE95" s="531">
        <v>0</v>
      </c>
      <c r="AF95" s="529">
        <v>0</v>
      </c>
      <c r="AG95" s="530">
        <v>0</v>
      </c>
      <c r="AH95" s="529">
        <v>0</v>
      </c>
      <c r="AI95" s="530">
        <v>0</v>
      </c>
      <c r="AJ95" s="530">
        <v>0</v>
      </c>
      <c r="AK95" s="529">
        <v>0</v>
      </c>
      <c r="AL95" s="530">
        <v>0</v>
      </c>
      <c r="AM95" s="530">
        <v>0</v>
      </c>
      <c r="AN95" s="529">
        <v>0</v>
      </c>
      <c r="AO95" s="530">
        <v>0</v>
      </c>
      <c r="AP95" s="530">
        <v>0</v>
      </c>
      <c r="AQ95" s="529">
        <v>0</v>
      </c>
      <c r="AR95" s="529">
        <v>0</v>
      </c>
      <c r="AS95" s="529">
        <v>0</v>
      </c>
      <c r="AT95" s="529">
        <v>0</v>
      </c>
      <c r="AU95" s="530">
        <v>0</v>
      </c>
      <c r="AV95" s="529">
        <v>0</v>
      </c>
      <c r="AW95" s="530">
        <v>0</v>
      </c>
      <c r="AX95" s="529">
        <v>0</v>
      </c>
      <c r="AY95" s="530">
        <v>0</v>
      </c>
      <c r="AZ95" s="530">
        <v>0</v>
      </c>
      <c r="BA95" s="529">
        <v>0</v>
      </c>
      <c r="BB95" s="533">
        <v>0</v>
      </c>
      <c r="BC95" s="533">
        <v>0</v>
      </c>
    </row>
    <row r="96" spans="1:55" x14ac:dyDescent="0.25">
      <c r="A96" s="529">
        <v>0</v>
      </c>
      <c r="B96" s="530">
        <v>0</v>
      </c>
      <c r="C96" s="534"/>
      <c r="D96" s="529"/>
      <c r="E96" s="534"/>
      <c r="F96" s="534"/>
      <c r="G96" s="529">
        <v>0</v>
      </c>
      <c r="H96" s="534"/>
      <c r="I96" s="534"/>
      <c r="J96" s="529">
        <v>0</v>
      </c>
      <c r="K96" s="530"/>
      <c r="L96" s="534"/>
      <c r="M96" s="529"/>
      <c r="N96" s="534"/>
      <c r="O96" s="534"/>
      <c r="P96" s="529">
        <v>0</v>
      </c>
      <c r="Q96" s="534"/>
      <c r="R96" s="534"/>
      <c r="S96" s="529">
        <v>0</v>
      </c>
      <c r="T96" s="529"/>
      <c r="U96" s="534"/>
      <c r="V96" s="529">
        <v>0</v>
      </c>
      <c r="W96" s="529">
        <v>0</v>
      </c>
      <c r="X96" s="532"/>
      <c r="Y96" s="532"/>
      <c r="Z96" s="532"/>
      <c r="AA96" s="534"/>
      <c r="AB96" s="529">
        <v>0</v>
      </c>
      <c r="AC96" s="534"/>
      <c r="AD96" s="529">
        <v>0</v>
      </c>
      <c r="AE96" s="534"/>
      <c r="AF96" s="529"/>
      <c r="AG96" s="530"/>
      <c r="AH96" s="529"/>
      <c r="AI96" s="529"/>
      <c r="AJ96" s="530"/>
      <c r="AK96" s="529"/>
      <c r="AL96" s="529"/>
      <c r="AM96" s="530"/>
      <c r="AN96" s="529">
        <v>0</v>
      </c>
      <c r="AO96" s="534"/>
      <c r="AP96" s="534"/>
      <c r="AQ96" s="529">
        <v>0</v>
      </c>
      <c r="AR96" s="534"/>
      <c r="AS96" s="534"/>
      <c r="AT96" s="529">
        <v>0</v>
      </c>
      <c r="AU96" s="534"/>
      <c r="AV96" s="529">
        <v>0</v>
      </c>
      <c r="AW96" s="534"/>
      <c r="AX96" s="529">
        <v>0</v>
      </c>
      <c r="AY96" s="534"/>
      <c r="AZ96" s="529"/>
      <c r="BA96" s="530"/>
      <c r="BB96" s="534"/>
      <c r="BC96" s="534"/>
    </row>
    <row r="97" spans="1:55" x14ac:dyDescent="0.25">
      <c r="A97" s="529">
        <v>0</v>
      </c>
      <c r="B97" s="534"/>
      <c r="C97" s="534"/>
      <c r="D97" s="531"/>
      <c r="E97" s="534"/>
      <c r="F97" s="534"/>
      <c r="G97" s="531">
        <v>0</v>
      </c>
      <c r="H97" s="534"/>
      <c r="I97" s="534"/>
      <c r="J97" s="529">
        <v>0</v>
      </c>
      <c r="K97" s="534"/>
      <c r="L97" s="534"/>
      <c r="M97" s="531"/>
      <c r="N97" s="534"/>
      <c r="O97" s="534"/>
      <c r="P97" s="531">
        <v>0</v>
      </c>
      <c r="Q97" s="534"/>
      <c r="R97" s="534"/>
      <c r="S97" s="534"/>
      <c r="T97" s="534"/>
      <c r="U97" s="534"/>
      <c r="V97" s="534"/>
      <c r="W97" s="534"/>
      <c r="X97" s="534"/>
      <c r="Y97" s="534"/>
      <c r="Z97" s="534"/>
      <c r="AA97" s="534"/>
      <c r="AB97" s="529"/>
      <c r="AC97" s="534"/>
      <c r="AD97" s="531">
        <v>0</v>
      </c>
      <c r="AE97" s="534"/>
      <c r="AF97" s="529"/>
      <c r="AG97" s="534"/>
      <c r="AH97" s="529"/>
      <c r="AI97" s="529"/>
      <c r="AJ97" s="534"/>
      <c r="AK97" s="529"/>
      <c r="AL97" s="529"/>
      <c r="AM97" s="534"/>
      <c r="AN97" s="530">
        <v>0</v>
      </c>
      <c r="AO97" s="534"/>
      <c r="AP97" s="534"/>
      <c r="AQ97" s="531">
        <v>0</v>
      </c>
      <c r="AR97" s="534"/>
      <c r="AS97" s="534"/>
      <c r="AT97" s="530">
        <v>0</v>
      </c>
      <c r="AU97" s="534"/>
      <c r="AV97" s="530"/>
      <c r="AW97" s="534"/>
      <c r="AX97" s="530"/>
      <c r="AY97" s="534"/>
      <c r="AZ97" s="534"/>
      <c r="BA97" s="530"/>
      <c r="BB97" s="534"/>
      <c r="BC97" s="534"/>
    </row>
    <row r="98" spans="1:55" x14ac:dyDescent="0.25">
      <c r="A98" s="529"/>
      <c r="B98" s="534"/>
      <c r="C98" s="534"/>
      <c r="D98" s="529"/>
      <c r="E98" s="534"/>
      <c r="F98" s="534"/>
      <c r="G98" s="529">
        <v>0</v>
      </c>
      <c r="H98" s="534"/>
      <c r="I98" s="534"/>
      <c r="J98" s="529"/>
      <c r="K98" s="534"/>
      <c r="L98" s="534"/>
      <c r="M98" s="529"/>
      <c r="N98" s="534"/>
      <c r="O98" s="534"/>
      <c r="P98" s="529">
        <v>0</v>
      </c>
      <c r="Q98" s="534"/>
      <c r="R98" s="534"/>
      <c r="S98" s="531"/>
      <c r="T98" s="531"/>
      <c r="U98" s="534"/>
      <c r="V98" s="534"/>
      <c r="W98" s="534"/>
      <c r="X98" s="534"/>
      <c r="Y98" s="534"/>
      <c r="Z98" s="534"/>
      <c r="AA98" s="534"/>
      <c r="AB98" s="529"/>
      <c r="AC98" s="534"/>
      <c r="AD98" s="529">
        <v>0</v>
      </c>
      <c r="AE98" s="534"/>
      <c r="AF98" s="529"/>
      <c r="AG98" s="534"/>
      <c r="AH98" s="529"/>
      <c r="AI98" s="529"/>
      <c r="AJ98" s="534"/>
      <c r="AK98" s="529"/>
      <c r="AL98" s="529"/>
      <c r="AM98" s="534"/>
      <c r="AN98" s="530">
        <v>0</v>
      </c>
      <c r="AO98" s="534"/>
      <c r="AP98" s="534"/>
      <c r="AQ98" s="530">
        <v>0</v>
      </c>
      <c r="AR98" s="534"/>
      <c r="AS98" s="534"/>
      <c r="AT98" s="531">
        <v>0</v>
      </c>
      <c r="AU98" s="531"/>
      <c r="AV98" s="534"/>
      <c r="AW98" s="531"/>
      <c r="AX98" s="530"/>
      <c r="AY98" s="534"/>
      <c r="AZ98" s="530"/>
      <c r="BA98" s="531"/>
      <c r="BB98" s="534"/>
      <c r="BC98" s="534"/>
    </row>
    <row r="99" spans="1:55" x14ac:dyDescent="0.25">
      <c r="A99" s="529"/>
      <c r="B99" s="534"/>
      <c r="C99" s="534"/>
      <c r="D99" s="530"/>
      <c r="E99" s="534"/>
      <c r="F99" s="534"/>
      <c r="G99" s="530">
        <v>0</v>
      </c>
      <c r="H99" s="534"/>
      <c r="I99" s="534"/>
      <c r="J99" s="529"/>
      <c r="K99" s="534"/>
      <c r="L99" s="534"/>
      <c r="M99" s="530"/>
      <c r="N99" s="534"/>
      <c r="O99" s="534"/>
      <c r="P99" s="530">
        <v>0</v>
      </c>
      <c r="Q99" s="534"/>
      <c r="R99" s="534"/>
      <c r="S99" s="531"/>
      <c r="T99" s="531"/>
      <c r="U99" s="534"/>
      <c r="V99" s="534"/>
      <c r="W99" s="534"/>
      <c r="X99" s="534"/>
      <c r="Y99" s="534"/>
      <c r="Z99" s="534"/>
      <c r="AA99" s="534"/>
      <c r="AB99" s="529"/>
      <c r="AC99" s="534"/>
      <c r="AD99" s="530">
        <v>0</v>
      </c>
      <c r="AE99" s="534"/>
      <c r="AF99" s="529"/>
      <c r="AG99" s="534"/>
      <c r="AH99" s="529"/>
      <c r="AI99" s="529"/>
      <c r="AJ99" s="534"/>
      <c r="AK99" s="529"/>
      <c r="AL99" s="529"/>
      <c r="AM99" s="534"/>
      <c r="AN99" s="534"/>
      <c r="AO99" s="534"/>
      <c r="AP99" s="534"/>
      <c r="AQ99" s="530">
        <v>0</v>
      </c>
      <c r="AR99" s="534"/>
      <c r="AS99" s="534"/>
      <c r="AT99" s="531"/>
      <c r="AU99" s="531"/>
      <c r="AV99" s="531"/>
      <c r="AW99" s="531"/>
      <c r="AX99" s="534"/>
      <c r="AY99" s="534"/>
      <c r="AZ99" s="534"/>
      <c r="BA99" s="531"/>
      <c r="BB99" s="534"/>
      <c r="BC99" s="534"/>
    </row>
    <row r="100" spans="1:55" x14ac:dyDescent="0.25">
      <c r="A100" s="534"/>
      <c r="B100" s="534"/>
      <c r="C100" s="534"/>
      <c r="D100" s="531"/>
      <c r="E100" s="534"/>
      <c r="F100" s="534"/>
      <c r="G100" s="531"/>
      <c r="H100" s="534"/>
      <c r="I100" s="534"/>
      <c r="J100" s="534"/>
      <c r="K100" s="534"/>
      <c r="L100" s="534"/>
      <c r="M100" s="535"/>
      <c r="N100" s="534"/>
      <c r="O100" s="534"/>
      <c r="P100" s="535"/>
      <c r="Q100" s="534"/>
      <c r="R100" s="534"/>
      <c r="S100" s="531"/>
      <c r="T100" s="531"/>
      <c r="U100" s="534"/>
      <c r="V100" s="534"/>
      <c r="W100" s="534"/>
      <c r="X100" s="534"/>
      <c r="Y100" s="534"/>
      <c r="Z100" s="534"/>
      <c r="AA100" s="534"/>
      <c r="AB100" s="534"/>
      <c r="AC100" s="534"/>
      <c r="AD100" s="531"/>
      <c r="AE100" s="534"/>
      <c r="AF100" s="534"/>
      <c r="AG100" s="534"/>
      <c r="AH100" s="534"/>
      <c r="AI100" s="534"/>
      <c r="AJ100" s="534"/>
      <c r="AK100" s="534"/>
      <c r="AL100" s="534"/>
      <c r="AM100" s="534"/>
      <c r="AN100" s="530"/>
      <c r="AO100" s="534"/>
      <c r="AP100" s="534"/>
      <c r="AQ100" s="531"/>
      <c r="AR100" s="534"/>
      <c r="AS100" s="534"/>
      <c r="AT100" s="534"/>
      <c r="AU100" s="534"/>
      <c r="AV100" s="534"/>
      <c r="AW100" s="534"/>
      <c r="AX100" s="530"/>
      <c r="AY100" s="534"/>
      <c r="AZ100" s="530"/>
      <c r="BA100" s="534"/>
      <c r="BB100" s="534"/>
      <c r="BC100" s="534"/>
    </row>
    <row r="101" spans="1:55" ht="17.25" customHeight="1" x14ac:dyDescent="0.25"/>
    <row r="102" spans="1:55" ht="23.25" customHeight="1" x14ac:dyDescent="0.25">
      <c r="A102" s="1114" t="s">
        <v>1769</v>
      </c>
      <c r="B102" s="1114"/>
      <c r="C102" s="1114"/>
      <c r="D102" s="1114"/>
      <c r="E102" s="1114"/>
      <c r="F102" s="1114"/>
      <c r="G102" s="1114"/>
      <c r="H102" s="1114"/>
      <c r="I102" s="1114"/>
      <c r="J102" s="1114"/>
      <c r="K102" s="1114"/>
      <c r="L102" s="1114"/>
      <c r="M102" s="1114"/>
      <c r="N102" s="1114"/>
    </row>
    <row r="103" spans="1:55" ht="23.4" thickBot="1" x14ac:dyDescent="0.3">
      <c r="A103" s="222" t="s">
        <v>1768</v>
      </c>
      <c r="B103" s="370"/>
      <c r="C103" s="370"/>
      <c r="D103" s="370"/>
      <c r="E103" s="370"/>
      <c r="F103" s="370"/>
      <c r="G103" s="370"/>
      <c r="H103" s="370"/>
      <c r="I103" s="370"/>
      <c r="J103" s="370"/>
      <c r="K103" s="370"/>
      <c r="L103" s="371"/>
      <c r="M103" s="371"/>
      <c r="N103" s="371"/>
    </row>
    <row r="104" spans="1:55" ht="78" customHeight="1" x14ac:dyDescent="0.25">
      <c r="A104" s="536" t="str">
        <f>Dap</f>
        <v>Données applicatives</v>
      </c>
      <c r="B104" s="537" t="str">
        <f>Dbu</f>
        <v>Données bureautiques</v>
      </c>
      <c r="C104" s="537" t="str">
        <f>Iei</f>
        <v>Informations écrites ou imprimées</v>
      </c>
      <c r="D104" s="538" t="str">
        <f>Cep</f>
        <v>Courrier électronique ou postal</v>
      </c>
      <c r="E104" s="538" t="str">
        <f>Arc</f>
        <v xml:space="preserve">Archives </v>
      </c>
      <c r="F104" s="538" t="str">
        <f>Dpu</f>
        <v xml:space="preserve">Données et informations publiées </v>
      </c>
      <c r="G104" s="538" t="str">
        <f>Dex</f>
        <v>Données externalisées</v>
      </c>
      <c r="H104" s="539" t="str">
        <f>Sap</f>
        <v>Services applicatifs</v>
      </c>
      <c r="I104" s="540" t="str">
        <f>Sex</f>
        <v>Services externalisés</v>
      </c>
      <c r="J104" s="540" t="str">
        <f>Spu</f>
        <v xml:space="preserve">Services de publication d'informations </v>
      </c>
      <c r="K104" s="393" t="str">
        <f>Pgc</f>
        <v xml:space="preserve">Processus de gestion de la conformité </v>
      </c>
      <c r="L104" s="491" t="str">
        <f>Pgd</f>
        <v xml:space="preserve">Processus de gouvernance et de prise de décision </v>
      </c>
      <c r="M104" s="307"/>
    </row>
    <row r="105" spans="1:55" ht="13.8" thickBot="1" x14ac:dyDescent="0.3">
      <c r="A105" s="541" t="s">
        <v>75</v>
      </c>
      <c r="B105" s="542" t="s">
        <v>38</v>
      </c>
      <c r="C105" s="542" t="s">
        <v>39</v>
      </c>
      <c r="D105" s="542" t="s">
        <v>70</v>
      </c>
      <c r="E105" s="542" t="s">
        <v>35</v>
      </c>
      <c r="F105" s="542" t="s">
        <v>1133</v>
      </c>
      <c r="G105" s="542" t="s">
        <v>71</v>
      </c>
      <c r="H105" s="542" t="s">
        <v>53</v>
      </c>
      <c r="I105" s="542" t="s">
        <v>69</v>
      </c>
      <c r="J105" s="542" t="s">
        <v>36</v>
      </c>
      <c r="K105" s="542" t="s">
        <v>1214</v>
      </c>
      <c r="L105" s="543" t="s">
        <v>1215</v>
      </c>
    </row>
  </sheetData>
  <sheetProtection sheet="1" objects="1" scenarios="1"/>
  <mergeCells count="93">
    <mergeCell ref="A102:N102"/>
    <mergeCell ref="A47:C47"/>
    <mergeCell ref="D47:F47"/>
    <mergeCell ref="G47:I47"/>
    <mergeCell ref="J47:L47"/>
    <mergeCell ref="M47:O47"/>
    <mergeCell ref="A60:C60"/>
    <mergeCell ref="D60:F60"/>
    <mergeCell ref="G60:I60"/>
    <mergeCell ref="J60:L60"/>
    <mergeCell ref="M60:O60"/>
    <mergeCell ref="S16:U16"/>
    <mergeCell ref="Y16:AA16"/>
    <mergeCell ref="V46:AA46"/>
    <mergeCell ref="AH47:AJ47"/>
    <mergeCell ref="AK47:AM47"/>
    <mergeCell ref="AB16:AC16"/>
    <mergeCell ref="AH16:AJ16"/>
    <mergeCell ref="AK16:AM16"/>
    <mergeCell ref="AB47:AC47"/>
    <mergeCell ref="AD47:AE47"/>
    <mergeCell ref="AH46:AM46"/>
    <mergeCell ref="AB46:AE46"/>
    <mergeCell ref="AF46:AG46"/>
    <mergeCell ref="AF47:AG47"/>
    <mergeCell ref="P16:R16"/>
    <mergeCell ref="S15:U15"/>
    <mergeCell ref="A59:I59"/>
    <mergeCell ref="J59:R59"/>
    <mergeCell ref="A15:I15"/>
    <mergeCell ref="J15:R15"/>
    <mergeCell ref="P47:R47"/>
    <mergeCell ref="B27:G27"/>
    <mergeCell ref="A16:C16"/>
    <mergeCell ref="D16:F16"/>
    <mergeCell ref="G16:I16"/>
    <mergeCell ref="J16:L16"/>
    <mergeCell ref="M16:O16"/>
    <mergeCell ref="A25:N25"/>
    <mergeCell ref="A46:I46"/>
    <mergeCell ref="J46:R46"/>
    <mergeCell ref="S59:U59"/>
    <mergeCell ref="V59:AA59"/>
    <mergeCell ref="S46:U46"/>
    <mergeCell ref="AB59:AE59"/>
    <mergeCell ref="AF59:AG59"/>
    <mergeCell ref="S47:U47"/>
    <mergeCell ref="V47:X47"/>
    <mergeCell ref="Y47:AA47"/>
    <mergeCell ref="AH59:AM59"/>
    <mergeCell ref="AH60:AJ60"/>
    <mergeCell ref="AK60:AM60"/>
    <mergeCell ref="AD60:AE60"/>
    <mergeCell ref="AF60:AG60"/>
    <mergeCell ref="P60:R60"/>
    <mergeCell ref="S60:U60"/>
    <mergeCell ref="V60:X60"/>
    <mergeCell ref="Y60:AA60"/>
    <mergeCell ref="AB60:AC60"/>
    <mergeCell ref="V15:AA15"/>
    <mergeCell ref="AZ15:BA15"/>
    <mergeCell ref="AN16:AP16"/>
    <mergeCell ref="AQ16:AS16"/>
    <mergeCell ref="AT16:AU16"/>
    <mergeCell ref="AV16:AW16"/>
    <mergeCell ref="AZ16:BA16"/>
    <mergeCell ref="AX16:AY16"/>
    <mergeCell ref="AH15:AM15"/>
    <mergeCell ref="AN15:AW15"/>
    <mergeCell ref="AX15:AY15"/>
    <mergeCell ref="AB15:AE15"/>
    <mergeCell ref="AF15:AG15"/>
    <mergeCell ref="V16:X16"/>
    <mergeCell ref="AF16:AG16"/>
    <mergeCell ref="AD16:AE16"/>
    <mergeCell ref="AZ46:BA46"/>
    <mergeCell ref="AN47:AP47"/>
    <mergeCell ref="AQ47:AS47"/>
    <mergeCell ref="AT47:AU47"/>
    <mergeCell ref="AV47:AW47"/>
    <mergeCell ref="AX47:AY47"/>
    <mergeCell ref="AZ47:BA47"/>
    <mergeCell ref="AX46:AY46"/>
    <mergeCell ref="AN46:AW46"/>
    <mergeCell ref="AN59:AW59"/>
    <mergeCell ref="AX59:AY59"/>
    <mergeCell ref="AZ59:BA59"/>
    <mergeCell ref="AN60:AP60"/>
    <mergeCell ref="AQ60:AS60"/>
    <mergeCell ref="AT60:AU60"/>
    <mergeCell ref="AV60:AW60"/>
    <mergeCell ref="AX60:AY60"/>
    <mergeCell ref="AZ60:BA60"/>
  </mergeCells>
  <phoneticPr fontId="5"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16EE9-C3BD-4365-A668-6F98BEF945EE}">
  <sheetPr codeName="Feuil14"/>
  <dimension ref="A1:AA35"/>
  <sheetViews>
    <sheetView workbookViewId="0">
      <selection activeCell="E16" sqref="E16"/>
    </sheetView>
  </sheetViews>
  <sheetFormatPr baseColWidth="10" defaultRowHeight="13.2" x14ac:dyDescent="0.25"/>
  <cols>
    <col min="1" max="1" width="7.33203125" customWidth="1"/>
    <col min="2" max="13" width="8.44140625" customWidth="1"/>
    <col min="16" max="16" width="13.44140625" customWidth="1"/>
    <col min="17" max="17" width="11" customWidth="1"/>
    <col min="20" max="20" width="10.5546875" customWidth="1"/>
    <col min="21" max="21" width="9.5546875" customWidth="1"/>
    <col min="24" max="24" width="11.44140625" style="599"/>
    <col min="25" max="25" width="11" customWidth="1"/>
  </cols>
  <sheetData>
    <row r="1" spans="1:27" ht="24" customHeight="1" x14ac:dyDescent="0.25">
      <c r="A1" s="219" t="s">
        <v>2175</v>
      </c>
    </row>
    <row r="2" spans="1:27" ht="18.75" customHeight="1" x14ac:dyDescent="0.25">
      <c r="A2" s="219"/>
      <c r="B2" s="1116" t="s">
        <v>2193</v>
      </c>
      <c r="C2" s="1116"/>
      <c r="D2" s="1116"/>
      <c r="E2" s="1116"/>
      <c r="F2" s="1116" t="s">
        <v>2194</v>
      </c>
      <c r="G2" s="1116"/>
      <c r="H2" s="1116"/>
      <c r="I2" s="1116"/>
      <c r="J2" s="1116" t="s">
        <v>2253</v>
      </c>
      <c r="K2" s="1116"/>
      <c r="L2" s="1116"/>
      <c r="M2" s="1116"/>
    </row>
    <row r="3" spans="1:27" ht="26.4" x14ac:dyDescent="0.25">
      <c r="A3" s="592" t="s">
        <v>2176</v>
      </c>
      <c r="B3" s="593" t="s">
        <v>76</v>
      </c>
      <c r="C3" s="593" t="s">
        <v>23</v>
      </c>
      <c r="D3" s="593" t="s">
        <v>34</v>
      </c>
      <c r="E3" s="593" t="s">
        <v>41</v>
      </c>
      <c r="F3" s="593" t="s">
        <v>76</v>
      </c>
      <c r="G3" s="593" t="s">
        <v>23</v>
      </c>
      <c r="H3" s="593" t="s">
        <v>34</v>
      </c>
      <c r="I3" s="593" t="s">
        <v>41</v>
      </c>
      <c r="J3" s="593" t="s">
        <v>76</v>
      </c>
      <c r="K3" s="593" t="s">
        <v>23</v>
      </c>
      <c r="L3" s="593" t="s">
        <v>34</v>
      </c>
      <c r="M3" s="593" t="s">
        <v>41</v>
      </c>
      <c r="O3" s="544" t="s">
        <v>2177</v>
      </c>
      <c r="P3" s="594" t="s">
        <v>2194</v>
      </c>
      <c r="Q3" s="594" t="s">
        <v>2254</v>
      </c>
      <c r="S3" s="544" t="s">
        <v>2178</v>
      </c>
      <c r="T3" s="594" t="s">
        <v>2194</v>
      </c>
      <c r="U3" s="594" t="s">
        <v>2254</v>
      </c>
      <c r="W3" s="544" t="s">
        <v>2183</v>
      </c>
      <c r="X3" s="594" t="s">
        <v>2252</v>
      </c>
      <c r="Y3" s="594" t="s">
        <v>2194</v>
      </c>
      <c r="Z3" s="594" t="s">
        <v>2254</v>
      </c>
    </row>
    <row r="4" spans="1:27" ht="18.75" customHeight="1" x14ac:dyDescent="0.25">
      <c r="A4" s="595" t="s">
        <v>75</v>
      </c>
      <c r="B4" s="596" t="s">
        <v>1861</v>
      </c>
      <c r="C4" s="596" t="s">
        <v>1861</v>
      </c>
      <c r="D4" s="596" t="s">
        <v>1861</v>
      </c>
      <c r="E4" s="596" t="s">
        <v>1861</v>
      </c>
      <c r="F4" s="596"/>
      <c r="G4" s="596"/>
      <c r="H4" s="596"/>
      <c r="I4" s="596"/>
      <c r="J4" s="596"/>
      <c r="K4" s="596"/>
      <c r="L4" s="596"/>
      <c r="M4" s="596"/>
      <c r="O4" s="594" t="s">
        <v>1784</v>
      </c>
      <c r="P4" s="594"/>
      <c r="Q4" s="594"/>
      <c r="S4" s="597" t="s">
        <v>1796</v>
      </c>
      <c r="T4" s="594"/>
      <c r="U4" s="597"/>
      <c r="W4" s="250" t="s">
        <v>1158</v>
      </c>
      <c r="X4" s="600"/>
      <c r="Y4" s="600"/>
      <c r="Z4" s="600"/>
    </row>
    <row r="5" spans="1:27" ht="18.75" customHeight="1" x14ac:dyDescent="0.25">
      <c r="A5" s="595" t="s">
        <v>38</v>
      </c>
      <c r="B5" s="596" t="s">
        <v>1861</v>
      </c>
      <c r="C5" s="596" t="s">
        <v>1861</v>
      </c>
      <c r="D5" s="596" t="s">
        <v>1861</v>
      </c>
      <c r="E5" s="596" t="s">
        <v>1861</v>
      </c>
      <c r="F5" s="596"/>
      <c r="G5" s="596"/>
      <c r="H5" s="596"/>
      <c r="I5" s="596"/>
      <c r="J5" s="596"/>
      <c r="K5" s="596"/>
      <c r="L5" s="596"/>
      <c r="M5" s="596"/>
      <c r="O5" s="594" t="s">
        <v>1938</v>
      </c>
      <c r="P5" s="594"/>
      <c r="Q5" s="594"/>
      <c r="S5" s="597" t="s">
        <v>1797</v>
      </c>
      <c r="T5" s="594"/>
      <c r="U5" s="597"/>
      <c r="W5" s="224" t="s">
        <v>1218</v>
      </c>
      <c r="X5" s="601"/>
      <c r="Y5" s="600"/>
      <c r="Z5" s="600"/>
    </row>
    <row r="6" spans="1:27" ht="18.75" customHeight="1" x14ac:dyDescent="0.25">
      <c r="A6" s="595" t="s">
        <v>39</v>
      </c>
      <c r="B6" s="596" t="s">
        <v>1861</v>
      </c>
      <c r="C6" s="596" t="s">
        <v>1861</v>
      </c>
      <c r="D6" s="596" t="s">
        <v>1861</v>
      </c>
      <c r="E6" s="596" t="s">
        <v>1861</v>
      </c>
      <c r="F6" s="596"/>
      <c r="G6" s="596"/>
      <c r="H6" s="596"/>
      <c r="I6" s="596"/>
      <c r="J6" s="596"/>
      <c r="K6" s="596"/>
      <c r="L6" s="596"/>
      <c r="M6" s="596"/>
      <c r="O6" s="594" t="s">
        <v>1792</v>
      </c>
      <c r="P6" s="594"/>
      <c r="Q6" s="594"/>
      <c r="S6" s="597" t="s">
        <v>1798</v>
      </c>
      <c r="T6" s="594"/>
      <c r="U6" s="597"/>
      <c r="W6" s="224" t="s">
        <v>1161</v>
      </c>
      <c r="X6" s="601"/>
      <c r="Y6" s="600"/>
      <c r="Z6" s="600"/>
    </row>
    <row r="7" spans="1:27" ht="18.75" customHeight="1" x14ac:dyDescent="0.25">
      <c r="A7" s="595" t="s">
        <v>70</v>
      </c>
      <c r="B7" s="596" t="s">
        <v>1861</v>
      </c>
      <c r="C7" s="596" t="s">
        <v>1861</v>
      </c>
      <c r="D7" s="596" t="s">
        <v>1861</v>
      </c>
      <c r="E7" s="596" t="s">
        <v>1861</v>
      </c>
      <c r="F7" s="596"/>
      <c r="G7" s="596"/>
      <c r="H7" s="596"/>
      <c r="I7" s="596"/>
      <c r="J7" s="596"/>
      <c r="K7" s="596"/>
      <c r="L7" s="596"/>
      <c r="M7" s="596"/>
      <c r="O7" s="594" t="s">
        <v>1785</v>
      </c>
      <c r="P7" s="594"/>
      <c r="Q7" s="594"/>
      <c r="S7" s="597" t="s">
        <v>1799</v>
      </c>
      <c r="T7" s="594"/>
      <c r="U7" s="597"/>
      <c r="W7" s="250" t="s">
        <v>1207</v>
      </c>
      <c r="X7" s="601"/>
      <c r="Y7" s="600"/>
      <c r="Z7" s="600"/>
    </row>
    <row r="8" spans="1:27" ht="18.75" customHeight="1" x14ac:dyDescent="0.25">
      <c r="A8" s="595" t="s">
        <v>35</v>
      </c>
      <c r="B8" s="596" t="s">
        <v>1861</v>
      </c>
      <c r="C8" s="596" t="s">
        <v>1861</v>
      </c>
      <c r="D8" s="596" t="s">
        <v>1861</v>
      </c>
      <c r="E8" s="596" t="s">
        <v>1861</v>
      </c>
      <c r="F8" s="596"/>
      <c r="G8" s="596"/>
      <c r="H8" s="596"/>
      <c r="I8" s="596"/>
      <c r="J8" s="596"/>
      <c r="K8" s="596"/>
      <c r="L8" s="596"/>
      <c r="M8" s="596"/>
      <c r="O8" s="594" t="s">
        <v>1786</v>
      </c>
      <c r="P8" s="594"/>
      <c r="Q8" s="594"/>
      <c r="S8" s="597" t="s">
        <v>1800</v>
      </c>
      <c r="T8" s="594"/>
      <c r="U8" s="597"/>
      <c r="W8" s="476" t="s">
        <v>1943</v>
      </c>
      <c r="X8" s="601"/>
      <c r="Y8" s="600"/>
      <c r="Z8" s="600"/>
    </row>
    <row r="9" spans="1:27" ht="18.75" customHeight="1" x14ac:dyDescent="0.25">
      <c r="A9" s="595" t="s">
        <v>1133</v>
      </c>
      <c r="B9" s="596" t="s">
        <v>1861</v>
      </c>
      <c r="C9" s="596" t="s">
        <v>1861</v>
      </c>
      <c r="D9" s="596" t="s">
        <v>1861</v>
      </c>
      <c r="E9" s="596" t="s">
        <v>1861</v>
      </c>
      <c r="F9" s="596"/>
      <c r="G9" s="596"/>
      <c r="H9" s="596"/>
      <c r="I9" s="596"/>
      <c r="J9" s="596"/>
      <c r="K9" s="596"/>
      <c r="L9" s="596"/>
      <c r="M9" s="596"/>
      <c r="O9" s="594" t="s">
        <v>1793</v>
      </c>
      <c r="P9" s="594"/>
      <c r="Q9" s="594"/>
      <c r="S9" s="597" t="s">
        <v>1801</v>
      </c>
      <c r="T9" s="594"/>
      <c r="U9" s="597"/>
      <c r="W9" s="250" t="s">
        <v>1813</v>
      </c>
      <c r="X9" s="601"/>
      <c r="Y9" s="600"/>
      <c r="Z9" s="600"/>
    </row>
    <row r="10" spans="1:27" ht="18.75" customHeight="1" x14ac:dyDescent="0.25">
      <c r="A10" s="595" t="s">
        <v>71</v>
      </c>
      <c r="B10" s="596" t="s">
        <v>1861</v>
      </c>
      <c r="C10" s="596" t="s">
        <v>1861</v>
      </c>
      <c r="D10" s="596" t="s">
        <v>1861</v>
      </c>
      <c r="E10" s="596" t="s">
        <v>1861</v>
      </c>
      <c r="F10" s="596"/>
      <c r="G10" s="596"/>
      <c r="H10" s="596"/>
      <c r="I10" s="596"/>
      <c r="J10" s="596"/>
      <c r="K10" s="596"/>
      <c r="L10" s="596"/>
      <c r="M10" s="596"/>
      <c r="O10" s="594" t="s">
        <v>2186</v>
      </c>
      <c r="P10" s="594"/>
      <c r="Q10" s="594"/>
      <c r="S10" s="597" t="s">
        <v>1802</v>
      </c>
      <c r="T10" s="594"/>
      <c r="U10" s="597"/>
      <c r="W10" s="224" t="s">
        <v>1166</v>
      </c>
      <c r="X10" s="601"/>
      <c r="Y10" s="600"/>
      <c r="Z10" s="600"/>
      <c r="AA10" s="599"/>
    </row>
    <row r="11" spans="1:27" ht="18.75" customHeight="1" x14ac:dyDescent="0.25">
      <c r="A11" s="595" t="s">
        <v>53</v>
      </c>
      <c r="B11" s="596" t="s">
        <v>1861</v>
      </c>
      <c r="C11" s="596" t="s">
        <v>1861</v>
      </c>
      <c r="D11" s="596" t="s">
        <v>1861</v>
      </c>
      <c r="E11" s="596" t="s">
        <v>1861</v>
      </c>
      <c r="F11" s="596"/>
      <c r="G11" s="596"/>
      <c r="H11" s="596"/>
      <c r="I11" s="596"/>
      <c r="J11" s="596"/>
      <c r="K11" s="596"/>
      <c r="L11" s="596"/>
      <c r="M11" s="596"/>
      <c r="O11" s="594" t="s">
        <v>1787</v>
      </c>
      <c r="P11" s="594"/>
      <c r="Q11" s="594"/>
      <c r="S11" s="597" t="s">
        <v>1803</v>
      </c>
      <c r="T11" s="594"/>
      <c r="U11" s="597"/>
      <c r="W11" s="224" t="s">
        <v>1195</v>
      </c>
      <c r="X11" s="601"/>
      <c r="Y11" s="600"/>
      <c r="Z11" s="600"/>
    </row>
    <row r="12" spans="1:27" ht="18.75" customHeight="1" x14ac:dyDescent="0.25">
      <c r="A12" s="595" t="s">
        <v>69</v>
      </c>
      <c r="B12" s="596" t="s">
        <v>1861</v>
      </c>
      <c r="C12" s="596" t="s">
        <v>1861</v>
      </c>
      <c r="D12" s="596" t="s">
        <v>1861</v>
      </c>
      <c r="E12" s="596" t="s">
        <v>1861</v>
      </c>
      <c r="F12" s="596"/>
      <c r="G12" s="596"/>
      <c r="H12" s="596"/>
      <c r="I12" s="596"/>
      <c r="J12" s="596"/>
      <c r="K12" s="596"/>
      <c r="L12" s="596"/>
      <c r="M12" s="596"/>
      <c r="O12" s="594" t="s">
        <v>1789</v>
      </c>
      <c r="P12" s="594"/>
      <c r="Q12" s="594"/>
      <c r="S12" s="597" t="s">
        <v>1804</v>
      </c>
      <c r="T12" s="594"/>
      <c r="U12" s="597"/>
      <c r="W12" s="224" t="s">
        <v>1211</v>
      </c>
      <c r="X12" s="601"/>
      <c r="Y12" s="600"/>
      <c r="Z12" s="600"/>
    </row>
    <row r="13" spans="1:27" ht="18.75" customHeight="1" x14ac:dyDescent="0.25">
      <c r="A13" s="595" t="s">
        <v>36</v>
      </c>
      <c r="B13" s="596" t="s">
        <v>1861</v>
      </c>
      <c r="C13" s="596" t="s">
        <v>1861</v>
      </c>
      <c r="D13" s="596" t="s">
        <v>1861</v>
      </c>
      <c r="E13" s="596" t="s">
        <v>1861</v>
      </c>
      <c r="F13" s="596"/>
      <c r="G13" s="596"/>
      <c r="H13" s="596"/>
      <c r="I13" s="596"/>
      <c r="J13" s="596"/>
      <c r="K13" s="596"/>
      <c r="L13" s="596"/>
      <c r="M13" s="596"/>
      <c r="O13" s="594" t="s">
        <v>1790</v>
      </c>
      <c r="P13" s="594"/>
      <c r="Q13" s="594"/>
      <c r="S13" s="597" t="s">
        <v>2179</v>
      </c>
      <c r="T13" s="594"/>
      <c r="U13" s="597"/>
      <c r="W13" s="476" t="s">
        <v>1944</v>
      </c>
      <c r="X13" s="601"/>
      <c r="Y13" s="600"/>
      <c r="Z13" s="600"/>
    </row>
    <row r="14" spans="1:27" ht="18.75" customHeight="1" x14ac:dyDescent="0.25">
      <c r="A14" s="595" t="s">
        <v>1214</v>
      </c>
      <c r="B14" s="596" t="s">
        <v>1861</v>
      </c>
      <c r="C14" s="596" t="s">
        <v>1861</v>
      </c>
      <c r="D14" s="596" t="s">
        <v>1861</v>
      </c>
      <c r="E14" s="596" t="s">
        <v>1861</v>
      </c>
      <c r="F14" s="596"/>
      <c r="G14" s="596"/>
      <c r="H14" s="596"/>
      <c r="I14" s="596"/>
      <c r="J14" s="596"/>
      <c r="K14" s="596"/>
      <c r="L14" s="596"/>
      <c r="M14" s="596"/>
      <c r="O14" s="594" t="s">
        <v>1788</v>
      </c>
      <c r="P14" s="594"/>
      <c r="Q14" s="594"/>
      <c r="S14" s="597" t="s">
        <v>1805</v>
      </c>
      <c r="T14" s="594"/>
      <c r="U14" s="597"/>
      <c r="W14" s="224" t="s">
        <v>1196</v>
      </c>
      <c r="X14" s="601"/>
      <c r="Y14" s="600"/>
      <c r="Z14" s="600"/>
    </row>
    <row r="15" spans="1:27" ht="18.75" customHeight="1" x14ac:dyDescent="0.25">
      <c r="A15" s="595" t="s">
        <v>1215</v>
      </c>
      <c r="B15" s="596" t="s">
        <v>1861</v>
      </c>
      <c r="C15" s="596" t="s">
        <v>1861</v>
      </c>
      <c r="D15" s="596" t="s">
        <v>1861</v>
      </c>
      <c r="E15" s="596" t="s">
        <v>1861</v>
      </c>
      <c r="F15" s="596"/>
      <c r="G15" s="596"/>
      <c r="H15" s="596"/>
      <c r="I15" s="596"/>
      <c r="J15" s="596"/>
      <c r="K15" s="596"/>
      <c r="L15" s="596"/>
      <c r="M15" s="596"/>
      <c r="O15" s="594" t="s">
        <v>1941</v>
      </c>
      <c r="P15" s="594"/>
      <c r="Q15" s="594"/>
      <c r="S15" s="598" t="s">
        <v>1806</v>
      </c>
      <c r="T15" s="594"/>
      <c r="U15" s="598"/>
      <c r="W15" s="224" t="s">
        <v>1197</v>
      </c>
      <c r="X15" s="601">
        <v>3</v>
      </c>
      <c r="Y15" s="600">
        <v>0</v>
      </c>
      <c r="Z15" s="600">
        <v>0</v>
      </c>
    </row>
    <row r="16" spans="1:27" ht="18.75" customHeight="1" x14ac:dyDescent="0.25">
      <c r="O16" s="594" t="s">
        <v>1791</v>
      </c>
      <c r="P16" s="594"/>
      <c r="Q16" s="594"/>
      <c r="W16" s="224" t="s">
        <v>1198</v>
      </c>
      <c r="X16" s="601"/>
      <c r="Y16" s="600"/>
      <c r="Z16" s="600"/>
    </row>
    <row r="17" spans="1:26" ht="18.75" customHeight="1" x14ac:dyDescent="0.25">
      <c r="T17" t="s">
        <v>2264</v>
      </c>
      <c r="U17" t="s">
        <v>1373</v>
      </c>
      <c r="W17" s="224" t="s">
        <v>1199</v>
      </c>
      <c r="X17" s="601"/>
      <c r="Y17" s="600"/>
      <c r="Z17" s="600"/>
    </row>
    <row r="18" spans="1:26" ht="18.75" customHeight="1" x14ac:dyDescent="0.25">
      <c r="S18" s="765" t="s">
        <v>2176</v>
      </c>
      <c r="T18" s="758">
        <f>SUM(F4:I15)</f>
        <v>0</v>
      </c>
      <c r="U18" s="758">
        <f>SUM(J4:M15)</f>
        <v>0</v>
      </c>
      <c r="W18" s="260" t="s">
        <v>1770</v>
      </c>
      <c r="X18" s="601"/>
      <c r="Y18" s="600"/>
      <c r="Z18" s="600"/>
    </row>
    <row r="19" spans="1:26" ht="18.75" customHeight="1" x14ac:dyDescent="0.25">
      <c r="A19" s="1115" t="s">
        <v>2180</v>
      </c>
      <c r="B19" s="1115"/>
      <c r="C19" s="1115"/>
      <c r="D19" s="1115"/>
      <c r="E19" s="1115"/>
      <c r="F19" s="1115"/>
      <c r="G19" s="1115"/>
      <c r="H19" s="1115"/>
      <c r="I19" s="1115"/>
      <c r="J19" s="1115"/>
      <c r="K19" s="1115"/>
      <c r="L19" s="1115"/>
      <c r="M19" s="1115"/>
      <c r="N19" s="1115"/>
      <c r="O19" s="1115"/>
      <c r="P19" s="1115"/>
      <c r="Q19" s="1115"/>
      <c r="R19" s="441"/>
      <c r="S19" s="758" t="s">
        <v>2177</v>
      </c>
      <c r="T19" s="758">
        <f>SUM(P4:P16)</f>
        <v>0</v>
      </c>
      <c r="U19" s="758">
        <f>SUM(Q4:Q16)</f>
        <v>0</v>
      </c>
      <c r="W19" s="260" t="s">
        <v>1746</v>
      </c>
      <c r="X19" s="601"/>
      <c r="Y19" s="600"/>
      <c r="Z19" s="600"/>
    </row>
    <row r="20" spans="1:26" ht="18.75" customHeight="1" x14ac:dyDescent="0.25">
      <c r="A20" s="1115" t="s">
        <v>2182</v>
      </c>
      <c r="B20" s="1115"/>
      <c r="C20" s="1115"/>
      <c r="D20" s="1115"/>
      <c r="E20" s="1115"/>
      <c r="F20" s="1115"/>
      <c r="G20" s="1115"/>
      <c r="H20" s="1115"/>
      <c r="I20" s="1115"/>
      <c r="J20" s="1115"/>
      <c r="K20" s="1115"/>
      <c r="L20" s="1115"/>
      <c r="M20" s="1115"/>
      <c r="N20" s="1115"/>
      <c r="O20" s="1115"/>
      <c r="P20" s="1115"/>
      <c r="Q20" s="1115"/>
      <c r="R20" s="441"/>
      <c r="S20" s="758" t="s">
        <v>2178</v>
      </c>
      <c r="T20" s="758">
        <f>SUM(T4:T15)</f>
        <v>0</v>
      </c>
      <c r="U20" s="758">
        <f>SUM(U4:U15)</f>
        <v>0</v>
      </c>
      <c r="W20" s="224" t="s">
        <v>1200</v>
      </c>
      <c r="X20" s="601"/>
      <c r="Y20" s="600"/>
      <c r="Z20" s="600"/>
    </row>
    <row r="21" spans="1:26" ht="18.75" customHeight="1" x14ac:dyDescent="0.25">
      <c r="A21" s="1115" t="s">
        <v>2181</v>
      </c>
      <c r="B21" s="1115"/>
      <c r="C21" s="1115"/>
      <c r="D21" s="1115"/>
      <c r="E21" s="1115"/>
      <c r="F21" s="1115"/>
      <c r="G21" s="1115"/>
      <c r="H21" s="1115"/>
      <c r="I21" s="1115"/>
      <c r="J21" s="1115"/>
      <c r="K21" s="1115"/>
      <c r="L21" s="1115"/>
      <c r="M21" s="1115"/>
      <c r="N21" s="1115"/>
      <c r="O21" s="1115"/>
      <c r="P21" s="1115"/>
      <c r="Q21" s="1115"/>
      <c r="R21" s="441"/>
      <c r="S21" s="758" t="s">
        <v>2265</v>
      </c>
      <c r="T21" s="758">
        <f>SUM(Y4:Y35)</f>
        <v>0</v>
      </c>
      <c r="U21" s="758">
        <f>SUM(Z4:Z35)</f>
        <v>0</v>
      </c>
      <c r="W21" s="224" t="s">
        <v>1201</v>
      </c>
      <c r="X21" s="601"/>
      <c r="Y21" s="600"/>
      <c r="Z21" s="600"/>
    </row>
    <row r="22" spans="1:26" ht="18.75" customHeight="1" x14ac:dyDescent="0.25">
      <c r="W22" s="224" t="s">
        <v>1202</v>
      </c>
      <c r="X22" s="601"/>
      <c r="Y22" s="600"/>
      <c r="Z22" s="600"/>
    </row>
    <row r="23" spans="1:26" ht="18.75" customHeight="1" x14ac:dyDescent="0.25">
      <c r="W23" s="224" t="s">
        <v>1203</v>
      </c>
      <c r="X23" s="601"/>
      <c r="Y23" s="600"/>
      <c r="Z23" s="600"/>
    </row>
    <row r="24" spans="1:26" ht="18.75" customHeight="1" x14ac:dyDescent="0.25">
      <c r="W24" s="260" t="s">
        <v>1810</v>
      </c>
      <c r="X24" s="601"/>
      <c r="Y24" s="600"/>
      <c r="Z24" s="600"/>
    </row>
    <row r="25" spans="1:26" ht="18.75" customHeight="1" x14ac:dyDescent="0.25">
      <c r="W25" s="260" t="s">
        <v>1479</v>
      </c>
      <c r="X25" s="601"/>
      <c r="Y25" s="600"/>
      <c r="Z25" s="600"/>
    </row>
    <row r="26" spans="1:26" ht="18.75" customHeight="1" x14ac:dyDescent="0.25">
      <c r="W26" s="224" t="s">
        <v>1204</v>
      </c>
      <c r="X26" s="601"/>
      <c r="Y26" s="600"/>
      <c r="Z26" s="600"/>
    </row>
    <row r="27" spans="1:26" ht="18.75" customHeight="1" x14ac:dyDescent="0.25">
      <c r="W27" s="224" t="s">
        <v>1169</v>
      </c>
      <c r="X27" s="601"/>
      <c r="Y27" s="600"/>
      <c r="Z27" s="600"/>
    </row>
    <row r="28" spans="1:26" ht="18.75" customHeight="1" x14ac:dyDescent="0.25">
      <c r="W28" s="224" t="s">
        <v>1171</v>
      </c>
      <c r="X28" s="601">
        <v>3</v>
      </c>
      <c r="Y28" s="600">
        <v>0</v>
      </c>
      <c r="Z28" s="600">
        <v>0</v>
      </c>
    </row>
    <row r="29" spans="1:26" ht="18.75" customHeight="1" x14ac:dyDescent="0.25">
      <c r="W29" s="224" t="s">
        <v>1173</v>
      </c>
      <c r="X29" s="601"/>
      <c r="Y29" s="600"/>
      <c r="Z29" s="600"/>
    </row>
    <row r="30" spans="1:26" ht="18.75" customHeight="1" x14ac:dyDescent="0.25">
      <c r="W30" s="250" t="s">
        <v>1206</v>
      </c>
      <c r="X30" s="601"/>
      <c r="Y30" s="600"/>
      <c r="Z30" s="600"/>
    </row>
    <row r="31" spans="1:26" ht="18.75" customHeight="1" x14ac:dyDescent="0.25">
      <c r="W31" s="224" t="s">
        <v>1178</v>
      </c>
      <c r="X31" s="601"/>
      <c r="Y31" s="600"/>
      <c r="Z31" s="600"/>
    </row>
    <row r="32" spans="1:26" ht="18.75" customHeight="1" x14ac:dyDescent="0.25">
      <c r="W32" s="224" t="s">
        <v>1180</v>
      </c>
      <c r="X32" s="601"/>
      <c r="Y32" s="600"/>
      <c r="Z32" s="600"/>
    </row>
    <row r="33" spans="23:26" ht="18.75" customHeight="1" x14ac:dyDescent="0.25">
      <c r="W33" s="224" t="s">
        <v>1524</v>
      </c>
      <c r="X33" s="601"/>
      <c r="Y33" s="600"/>
      <c r="Z33" s="600"/>
    </row>
    <row r="34" spans="23:26" ht="18.75" customHeight="1" x14ac:dyDescent="0.25">
      <c r="W34" s="262" t="s">
        <v>1528</v>
      </c>
      <c r="X34" s="601"/>
      <c r="Y34" s="600"/>
      <c r="Z34" s="600"/>
    </row>
    <row r="35" spans="23:26" ht="18.75" customHeight="1" thickBot="1" x14ac:dyDescent="0.3">
      <c r="W35" s="225" t="s">
        <v>1188</v>
      </c>
      <c r="X35" s="601"/>
      <c r="Y35" s="600"/>
      <c r="Z35" s="600"/>
    </row>
  </sheetData>
  <sheetProtection sheet="1" objects="1" scenarios="1"/>
  <mergeCells count="6">
    <mergeCell ref="A21:Q21"/>
    <mergeCell ref="B2:E2"/>
    <mergeCell ref="F2:I2"/>
    <mergeCell ref="J2:M2"/>
    <mergeCell ref="A19:Q19"/>
    <mergeCell ref="A20:Q20"/>
  </mergeCells>
  <dataValidations count="1">
    <dataValidation showDropDown="1" showInputMessage="1" showErrorMessage="1" sqref="B4:M15" xr:uid="{F4814726-7835-48D6-BC53-B49BE1E66F8C}"/>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AA6DD-CAF7-41E4-ABA8-9718205EA925}">
  <sheetPr codeName="Feuil17">
    <tabColor indexed="16"/>
  </sheetPr>
  <dimension ref="A1:U12"/>
  <sheetViews>
    <sheetView showGridLines="0" showRowColHeaders="0" zoomScaleNormal="100" workbookViewId="0"/>
  </sheetViews>
  <sheetFormatPr baseColWidth="10" defaultColWidth="11.44140625" defaultRowHeight="16.2" x14ac:dyDescent="0.4"/>
  <cols>
    <col min="1" max="1" width="9" style="227" customWidth="1"/>
    <col min="2" max="2" width="5.44140625" style="227" customWidth="1"/>
    <col min="3" max="3" width="7.88671875" style="227" customWidth="1"/>
    <col min="4" max="7" width="4.6640625" style="227" customWidth="1"/>
    <col min="8" max="9" width="11.44140625" style="227"/>
    <col min="10" max="11" width="11.44140625" style="226"/>
    <col min="12" max="12" width="21.88671875" style="226" customWidth="1"/>
    <col min="13" max="13" width="58.44140625" style="226" bestFit="1" customWidth="1"/>
    <col min="14" max="15" width="11.44140625" style="226"/>
    <col min="16" max="21" width="4.109375" style="226" hidden="1" customWidth="1"/>
    <col min="22" max="16384" width="11.44140625" style="226"/>
  </cols>
  <sheetData>
    <row r="1" spans="1:20" ht="80.25" customHeight="1" x14ac:dyDescent="0.4">
      <c r="A1" s="656" t="s">
        <v>2781</v>
      </c>
      <c r="B1" s="656"/>
      <c r="C1" s="656"/>
      <c r="D1" s="656"/>
      <c r="E1" s="656"/>
      <c r="F1" s="656"/>
      <c r="G1" s="656"/>
      <c r="H1" s="656"/>
      <c r="I1" s="656"/>
      <c r="J1" s="645"/>
      <c r="K1" s="645"/>
      <c r="L1" s="645"/>
      <c r="M1" s="645"/>
      <c r="Q1" s="754" t="s">
        <v>2250</v>
      </c>
    </row>
    <row r="2" spans="1:20" ht="13.2" x14ac:dyDescent="0.25">
      <c r="A2" s="226"/>
      <c r="B2" s="226"/>
      <c r="C2" s="226"/>
      <c r="D2" s="226"/>
      <c r="E2" s="226"/>
      <c r="F2" s="226"/>
      <c r="G2" s="226"/>
      <c r="H2" s="226"/>
      <c r="I2" s="226"/>
    </row>
    <row r="3" spans="1:20" ht="13.2" x14ac:dyDescent="0.25">
      <c r="A3" s="226"/>
      <c r="B3" s="226"/>
      <c r="C3" s="226"/>
      <c r="D3" s="226"/>
      <c r="E3" s="226"/>
      <c r="F3" s="226"/>
      <c r="G3" s="226"/>
      <c r="H3" s="226"/>
      <c r="I3" s="226"/>
    </row>
    <row r="4" spans="1:20" ht="16.8" x14ac:dyDescent="0.4">
      <c r="A4" s="226"/>
      <c r="B4" s="226"/>
      <c r="C4" s="650" t="s">
        <v>1219</v>
      </c>
      <c r="D4" s="226"/>
      <c r="E4" s="226"/>
      <c r="F4" s="226"/>
      <c r="G4" s="226"/>
      <c r="H4" s="226"/>
      <c r="I4" s="226"/>
      <c r="J4" s="227" t="s">
        <v>1851</v>
      </c>
      <c r="K4" s="227"/>
      <c r="L4" s="227"/>
      <c r="Q4" s="226" t="s">
        <v>2208</v>
      </c>
    </row>
    <row r="5" spans="1:20" ht="6.75" customHeight="1" x14ac:dyDescent="0.3">
      <c r="A5" s="226"/>
      <c r="B5" s="226"/>
      <c r="C5" s="651"/>
      <c r="D5" s="226"/>
      <c r="E5" s="226"/>
      <c r="F5" s="226"/>
      <c r="G5" s="226"/>
      <c r="H5" s="226"/>
      <c r="I5" s="226"/>
    </row>
    <row r="6" spans="1:20" ht="18" customHeight="1" x14ac:dyDescent="0.4">
      <c r="A6" s="226"/>
      <c r="B6" s="226"/>
      <c r="C6" s="649">
        <v>4</v>
      </c>
      <c r="D6" s="652">
        <v>2</v>
      </c>
      <c r="E6" s="652">
        <v>3</v>
      </c>
      <c r="F6" s="653">
        <v>4</v>
      </c>
      <c r="G6" s="653">
        <v>4</v>
      </c>
      <c r="H6" s="226"/>
      <c r="I6" s="226"/>
      <c r="J6" s="654">
        <v>4</v>
      </c>
      <c r="K6" s="655" t="s">
        <v>1855</v>
      </c>
      <c r="L6" s="655" t="s">
        <v>1854</v>
      </c>
      <c r="M6" s="655" t="s">
        <v>2199</v>
      </c>
      <c r="Q6" s="611">
        <v>2</v>
      </c>
      <c r="R6" s="612">
        <v>3</v>
      </c>
      <c r="S6" s="613">
        <v>4</v>
      </c>
      <c r="T6" s="613">
        <v>4</v>
      </c>
    </row>
    <row r="7" spans="1:20" ht="18" customHeight="1" x14ac:dyDescent="0.4">
      <c r="A7" s="226"/>
      <c r="B7" s="226"/>
      <c r="C7" s="649">
        <v>3</v>
      </c>
      <c r="D7" s="652">
        <v>2</v>
      </c>
      <c r="E7" s="652">
        <v>3</v>
      </c>
      <c r="F7" s="652">
        <v>3</v>
      </c>
      <c r="G7" s="653">
        <v>4</v>
      </c>
      <c r="H7" s="226"/>
      <c r="I7" s="226"/>
      <c r="J7" s="654">
        <v>3</v>
      </c>
      <c r="K7" s="655" t="s">
        <v>1856</v>
      </c>
      <c r="L7" s="655" t="s">
        <v>1853</v>
      </c>
      <c r="M7" s="655" t="s">
        <v>2201</v>
      </c>
      <c r="Q7" s="611">
        <v>2</v>
      </c>
      <c r="R7" s="612">
        <v>3</v>
      </c>
      <c r="S7" s="612">
        <v>3</v>
      </c>
      <c r="T7" s="613">
        <v>4</v>
      </c>
    </row>
    <row r="8" spans="1:20" ht="18" customHeight="1" x14ac:dyDescent="0.4">
      <c r="A8" s="226"/>
      <c r="B8" s="226"/>
      <c r="C8" s="649">
        <v>2</v>
      </c>
      <c r="D8" s="652">
        <v>1</v>
      </c>
      <c r="E8" s="652">
        <v>2</v>
      </c>
      <c r="F8" s="652">
        <v>2</v>
      </c>
      <c r="G8" s="652">
        <v>3</v>
      </c>
      <c r="H8" s="226"/>
      <c r="I8" s="226"/>
      <c r="J8" s="654">
        <v>2</v>
      </c>
      <c r="K8" s="655" t="s">
        <v>1857</v>
      </c>
      <c r="L8" s="655" t="s">
        <v>1852</v>
      </c>
      <c r="M8" s="655" t="s">
        <v>2200</v>
      </c>
      <c r="Q8" s="614">
        <v>1</v>
      </c>
      <c r="R8" s="611">
        <v>2</v>
      </c>
      <c r="S8" s="611">
        <v>2</v>
      </c>
      <c r="T8" s="612">
        <v>3</v>
      </c>
    </row>
    <row r="9" spans="1:20" ht="18" customHeight="1" x14ac:dyDescent="0.4">
      <c r="A9" s="226"/>
      <c r="B9" s="226"/>
      <c r="C9" s="649">
        <v>1</v>
      </c>
      <c r="D9" s="652">
        <v>1</v>
      </c>
      <c r="E9" s="652">
        <v>1</v>
      </c>
      <c r="F9" s="652">
        <v>1</v>
      </c>
      <c r="G9" s="652">
        <v>2</v>
      </c>
      <c r="H9" s="226"/>
      <c r="I9" s="226"/>
      <c r="J9" s="654">
        <v>1</v>
      </c>
      <c r="K9" s="655" t="s">
        <v>1858</v>
      </c>
      <c r="L9" s="655" t="s">
        <v>1870</v>
      </c>
      <c r="M9" s="655" t="s">
        <v>1861</v>
      </c>
      <c r="Q9" s="614">
        <v>1</v>
      </c>
      <c r="R9" s="614">
        <v>1</v>
      </c>
      <c r="S9" s="614">
        <v>1</v>
      </c>
      <c r="T9" s="611">
        <v>2</v>
      </c>
    </row>
    <row r="10" spans="1:20" ht="20.25" customHeight="1" x14ac:dyDescent="0.3">
      <c r="A10" s="226"/>
      <c r="B10" s="226"/>
      <c r="C10" s="226"/>
      <c r="D10" s="649">
        <v>1</v>
      </c>
      <c r="E10" s="649">
        <v>2</v>
      </c>
      <c r="F10" s="649">
        <v>3</v>
      </c>
      <c r="G10" s="649">
        <v>4</v>
      </c>
      <c r="H10" s="226"/>
      <c r="I10" s="226"/>
    </row>
    <row r="11" spans="1:20" ht="15.6" x14ac:dyDescent="0.3">
      <c r="A11" s="226"/>
      <c r="B11" s="226"/>
      <c r="C11" s="226"/>
      <c r="D11" s="1117" t="s">
        <v>1220</v>
      </c>
      <c r="E11" s="1117"/>
      <c r="F11" s="1117"/>
      <c r="G11" s="1117"/>
      <c r="H11" s="226"/>
      <c r="I11" s="226"/>
      <c r="Q11" s="226" t="s">
        <v>2209</v>
      </c>
      <c r="R11" s="663" t="b">
        <v>1</v>
      </c>
    </row>
    <row r="12" spans="1:20" x14ac:dyDescent="0.4">
      <c r="L12" s="436"/>
    </row>
  </sheetData>
  <sheetProtection sheet="1" objects="1" scenarios="1"/>
  <mergeCells count="1">
    <mergeCell ref="D11:G11"/>
  </mergeCells>
  <conditionalFormatting sqref="D6:G9 J6:J9">
    <cfRule type="cellIs" dxfId="3" priority="1" operator="equal">
      <formula>1</formula>
    </cfRule>
    <cfRule type="cellIs" dxfId="2" priority="2" operator="equal">
      <formula>2</formula>
    </cfRule>
    <cfRule type="cellIs" dxfId="1" priority="3" operator="equal">
      <formula>3</formula>
    </cfRule>
    <cfRule type="cellIs" dxfId="0" priority="4" operator="equal">
      <formula>4</formula>
    </cfRule>
  </conditionalFormatting>
  <dataValidations count="1">
    <dataValidation type="list" showInputMessage="1" showErrorMessage="1" sqref="D6:G9" xr:uid="{6BE8A9F5-2A0C-4327-A40B-803C820A64BC}">
      <formula1>"1,2,3,4"</formula1>
    </dataValidation>
  </dataValidations>
  <pageMargins left="0.78740157499999996" right="0.78740157499999996" top="0.984251969" bottom="0.984251969" header="0.4921259845" footer="0.4921259845"/>
  <pageSetup paperSize="9" orientation="portrait" horizontalDpi="4294967293" r:id="rId1"/>
  <headerFooter alignWithMargins="0">
    <oddFooter>&amp;L&amp;9&amp;F ! &amp;A&amp;C&amp;9&amp;P&amp;R&amp;9Décembre 2006</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EE97B-6D8B-4E8F-91A0-7FB304ED3811}">
  <sheetPr codeName="Feuil27"/>
  <dimension ref="A1:CA82"/>
  <sheetViews>
    <sheetView showGridLines="0" showRowColHeaders="0" zoomScaleNormal="100" workbookViewId="0">
      <selection activeCell="AP6" sqref="AP6"/>
    </sheetView>
  </sheetViews>
  <sheetFormatPr baseColWidth="10" defaultColWidth="11.44140625" defaultRowHeight="16.2" x14ac:dyDescent="0.4"/>
  <cols>
    <col min="1" max="1" width="3.6640625" style="227" customWidth="1"/>
    <col min="2" max="2" width="2.88671875" style="227" customWidth="1"/>
    <col min="3" max="7" width="2.88671875" style="229" customWidth="1"/>
    <col min="8" max="8" width="5.6640625" style="227" customWidth="1"/>
    <col min="9" max="14" width="2.6640625" style="227" customWidth="1"/>
    <col min="15" max="15" width="5.6640625" style="227" customWidth="1"/>
    <col min="16" max="21" width="2.6640625" style="227" customWidth="1"/>
    <col min="22" max="22" width="5.6640625" style="227" customWidth="1"/>
    <col min="23" max="28" width="2.6640625" style="227" customWidth="1"/>
    <col min="29" max="29" width="5.6640625" style="227" customWidth="1"/>
    <col min="30" max="31" width="11.44140625" style="226"/>
    <col min="32" max="37" width="2.88671875" style="226" customWidth="1"/>
    <col min="38" max="38" width="4.88671875" style="226" customWidth="1"/>
    <col min="39" max="44" width="3.44140625" style="226" customWidth="1"/>
    <col min="45" max="45" width="3.33203125" style="226" customWidth="1"/>
    <col min="46" max="47" width="3.109375" style="226" customWidth="1"/>
    <col min="48" max="48" width="2.33203125" style="226" customWidth="1"/>
    <col min="49" max="49" width="3.109375" style="226" customWidth="1"/>
    <col min="50" max="50" width="2.5546875" style="226" customWidth="1"/>
    <col min="51" max="52" width="2.5546875" style="227" hidden="1" customWidth="1"/>
    <col min="53" max="57" width="2.5546875" style="229" hidden="1" customWidth="1"/>
    <col min="58" max="79" width="2.5546875" style="227" hidden="1" customWidth="1"/>
    <col min="80" max="80" width="2.5546875" style="226" customWidth="1"/>
    <col min="81" max="16384" width="11.44140625" style="226"/>
  </cols>
  <sheetData>
    <row r="1" spans="1:79" ht="77.25" customHeight="1" x14ac:dyDescent="0.5">
      <c r="A1" s="646" t="s">
        <v>2236</v>
      </c>
      <c r="B1" s="647"/>
      <c r="C1" s="648"/>
      <c r="D1" s="648"/>
      <c r="E1" s="648"/>
      <c r="F1" s="648"/>
      <c r="G1" s="648"/>
      <c r="H1" s="647"/>
      <c r="I1" s="647"/>
      <c r="J1" s="647"/>
      <c r="K1" s="647"/>
      <c r="L1" s="647"/>
      <c r="M1" s="647"/>
      <c r="N1" s="647"/>
      <c r="O1" s="647"/>
      <c r="P1" s="647"/>
      <c r="Q1" s="647"/>
      <c r="R1" s="647"/>
      <c r="S1" s="647"/>
      <c r="T1" s="647"/>
      <c r="U1" s="647"/>
      <c r="V1" s="647"/>
      <c r="W1" s="647"/>
      <c r="X1" s="647"/>
      <c r="Y1" s="647"/>
      <c r="Z1" s="647"/>
      <c r="AA1" s="647"/>
      <c r="AB1" s="647"/>
      <c r="AC1" s="647"/>
      <c r="AD1" s="647"/>
      <c r="AY1" s="1120" t="s">
        <v>2269</v>
      </c>
      <c r="AZ1" s="1120"/>
      <c r="BA1" s="1120"/>
      <c r="BB1" s="1120"/>
      <c r="BC1" s="1120"/>
      <c r="BD1" s="1120"/>
      <c r="BE1" s="1120"/>
      <c r="BF1" s="1120"/>
      <c r="BG1" s="1120"/>
      <c r="BH1" s="1120"/>
      <c r="BI1" s="1120"/>
      <c r="BJ1" s="1120"/>
      <c r="BK1" s="1120"/>
      <c r="BL1" s="647"/>
      <c r="BM1" s="647"/>
      <c r="BN1" s="647"/>
      <c r="BO1" s="647"/>
      <c r="BP1" s="647"/>
      <c r="BQ1" s="647"/>
      <c r="BR1" s="647"/>
      <c r="BS1" s="647"/>
      <c r="BT1" s="647"/>
      <c r="BU1" s="647"/>
      <c r="BV1" s="647"/>
      <c r="BW1" s="647"/>
      <c r="BX1" s="647"/>
      <c r="BY1" s="647" t="b">
        <v>1</v>
      </c>
      <c r="BZ1" s="647"/>
      <c r="CA1" s="647"/>
    </row>
    <row r="2" spans="1:79" ht="35.25" customHeight="1" x14ac:dyDescent="0.5">
      <c r="A2" s="757" t="s">
        <v>1221</v>
      </c>
      <c r="J2" s="229"/>
      <c r="K2" s="229"/>
      <c r="L2" s="229"/>
      <c r="M2" s="229"/>
      <c r="N2" s="229"/>
      <c r="Q2" s="229"/>
      <c r="R2" s="229"/>
      <c r="S2" s="229"/>
      <c r="T2" s="229"/>
      <c r="U2" s="229"/>
      <c r="X2" s="229"/>
      <c r="Y2" s="229"/>
      <c r="Z2" s="229"/>
      <c r="AA2" s="229"/>
      <c r="AB2" s="229"/>
      <c r="AY2" s="757" t="s">
        <v>1221</v>
      </c>
      <c r="BH2" s="229"/>
      <c r="BI2" s="229"/>
      <c r="BJ2" s="229"/>
      <c r="BK2" s="229"/>
      <c r="BL2" s="229"/>
      <c r="BO2" s="229"/>
      <c r="BP2" s="229"/>
      <c r="BQ2" s="229"/>
      <c r="BR2" s="229"/>
      <c r="BS2" s="229"/>
      <c r="BV2" s="229"/>
      <c r="BW2" s="229"/>
      <c r="BX2" s="229"/>
      <c r="BY2" s="229"/>
      <c r="BZ2" s="229"/>
    </row>
    <row r="3" spans="1:79" ht="24.75" customHeight="1" x14ac:dyDescent="0.5">
      <c r="A3" s="230" t="s">
        <v>1222</v>
      </c>
      <c r="AY3" s="230" t="s">
        <v>1222</v>
      </c>
    </row>
    <row r="4" spans="1:79" ht="3" customHeight="1" x14ac:dyDescent="0.4"/>
    <row r="5" spans="1:79" ht="14.4" x14ac:dyDescent="0.35">
      <c r="A5" s="231"/>
      <c r="B5" s="231"/>
      <c r="C5" s="1118" t="s">
        <v>1223</v>
      </c>
      <c r="D5" s="1118"/>
      <c r="E5" s="1118"/>
      <c r="F5" s="1118"/>
      <c r="G5" s="1118"/>
      <c r="H5" s="231"/>
      <c r="I5" s="231"/>
      <c r="J5" s="1118" t="s">
        <v>1224</v>
      </c>
      <c r="K5" s="1118"/>
      <c r="L5" s="1118"/>
      <c r="M5" s="1118"/>
      <c r="N5" s="1118"/>
      <c r="O5" s="231"/>
      <c r="P5" s="231"/>
      <c r="Q5" s="1118" t="s">
        <v>1225</v>
      </c>
      <c r="R5" s="1118"/>
      <c r="S5" s="1118"/>
      <c r="T5" s="1118"/>
      <c r="U5" s="1118"/>
      <c r="V5" s="231"/>
      <c r="W5" s="231"/>
      <c r="X5" s="1118" t="s">
        <v>1226</v>
      </c>
      <c r="Y5" s="1118"/>
      <c r="Z5" s="1118"/>
      <c r="AA5" s="1118"/>
      <c r="AB5" s="1118"/>
      <c r="AC5" s="231"/>
      <c r="AY5" s="231"/>
      <c r="AZ5" s="231"/>
      <c r="BA5" s="1118" t="s">
        <v>1223</v>
      </c>
      <c r="BB5" s="1118"/>
      <c r="BC5" s="1118"/>
      <c r="BD5" s="1118"/>
      <c r="BE5" s="1118"/>
      <c r="BF5" s="231"/>
      <c r="BG5" s="231"/>
      <c r="BH5" s="1118" t="s">
        <v>1224</v>
      </c>
      <c r="BI5" s="1118"/>
      <c r="BJ5" s="1118"/>
      <c r="BK5" s="1118"/>
      <c r="BL5" s="1118"/>
      <c r="BM5" s="231"/>
      <c r="BN5" s="231"/>
      <c r="BO5" s="1118" t="s">
        <v>1225</v>
      </c>
      <c r="BP5" s="1118"/>
      <c r="BQ5" s="1118"/>
      <c r="BR5" s="1118"/>
      <c r="BS5" s="1118"/>
      <c r="BT5" s="231"/>
      <c r="BU5" s="231"/>
      <c r="BV5" s="1118" t="s">
        <v>1226</v>
      </c>
      <c r="BW5" s="1118"/>
      <c r="BX5" s="1118"/>
      <c r="BY5" s="1118"/>
      <c r="BZ5" s="1118"/>
      <c r="CA5" s="231"/>
    </row>
    <row r="6" spans="1:79" ht="3.75" customHeight="1" x14ac:dyDescent="0.4">
      <c r="J6" s="229"/>
      <c r="K6" s="229"/>
      <c r="L6" s="229"/>
      <c r="M6" s="229"/>
      <c r="N6" s="229"/>
      <c r="Q6" s="229"/>
      <c r="R6" s="229"/>
      <c r="S6" s="229"/>
      <c r="T6" s="229"/>
      <c r="U6" s="229"/>
      <c r="X6" s="229"/>
      <c r="Y6" s="229"/>
      <c r="Z6" s="229"/>
      <c r="AA6" s="229"/>
      <c r="AB6" s="229"/>
      <c r="BH6" s="229"/>
      <c r="BI6" s="229"/>
      <c r="BJ6" s="229"/>
      <c r="BK6" s="229"/>
      <c r="BL6" s="229"/>
      <c r="BO6" s="229"/>
      <c r="BP6" s="229"/>
      <c r="BQ6" s="229"/>
      <c r="BR6" s="229"/>
      <c r="BS6" s="229"/>
      <c r="BV6" s="229"/>
      <c r="BW6" s="229"/>
      <c r="BX6" s="229"/>
      <c r="BY6" s="229"/>
      <c r="BZ6" s="229"/>
    </row>
    <row r="7" spans="1:79" ht="14.4" x14ac:dyDescent="0.35">
      <c r="A7" s="231"/>
      <c r="B7" s="232" t="s">
        <v>34</v>
      </c>
      <c r="C7" s="233">
        <v>4</v>
      </c>
      <c r="D7" s="755">
        <v>1</v>
      </c>
      <c r="E7" s="755">
        <v>1</v>
      </c>
      <c r="F7" s="755">
        <v>1</v>
      </c>
      <c r="G7" s="755">
        <v>1</v>
      </c>
      <c r="H7" s="231"/>
      <c r="I7" s="232" t="s">
        <v>34</v>
      </c>
      <c r="J7" s="233">
        <v>4</v>
      </c>
      <c r="K7" s="755">
        <v>2</v>
      </c>
      <c r="L7" s="755">
        <v>2</v>
      </c>
      <c r="M7" s="755">
        <v>1</v>
      </c>
      <c r="N7" s="755">
        <v>1</v>
      </c>
      <c r="O7" s="231"/>
      <c r="P7" s="232" t="s">
        <v>34</v>
      </c>
      <c r="Q7" s="233">
        <v>4</v>
      </c>
      <c r="R7" s="755">
        <v>2</v>
      </c>
      <c r="S7" s="755">
        <v>2</v>
      </c>
      <c r="T7" s="755">
        <v>1</v>
      </c>
      <c r="U7" s="755">
        <v>1</v>
      </c>
      <c r="V7" s="231"/>
      <c r="W7" s="232" t="s">
        <v>34</v>
      </c>
      <c r="X7" s="233">
        <v>4</v>
      </c>
      <c r="Y7" s="755">
        <v>2</v>
      </c>
      <c r="Z7" s="755">
        <v>2</v>
      </c>
      <c r="AA7" s="755">
        <v>2</v>
      </c>
      <c r="AB7" s="755">
        <v>1</v>
      </c>
      <c r="AC7" s="231"/>
      <c r="AF7" s="930"/>
      <c r="AG7" s="931"/>
      <c r="AH7" s="931"/>
      <c r="AI7" s="931"/>
      <c r="AJ7" s="931"/>
      <c r="AY7" s="231"/>
      <c r="AZ7" s="232" t="s">
        <v>34</v>
      </c>
      <c r="BA7" s="766">
        <v>4</v>
      </c>
      <c r="BB7" s="755">
        <v>1</v>
      </c>
      <c r="BC7" s="755">
        <v>1</v>
      </c>
      <c r="BD7" s="755">
        <v>1</v>
      </c>
      <c r="BE7" s="755">
        <v>1</v>
      </c>
      <c r="BF7" s="231"/>
      <c r="BG7" s="232" t="s">
        <v>34</v>
      </c>
      <c r="BH7" s="766">
        <v>4</v>
      </c>
      <c r="BI7" s="755">
        <v>2</v>
      </c>
      <c r="BJ7" s="755">
        <v>2</v>
      </c>
      <c r="BK7" s="755">
        <v>1</v>
      </c>
      <c r="BL7" s="755">
        <v>1</v>
      </c>
      <c r="BM7" s="231"/>
      <c r="BN7" s="232" t="s">
        <v>34</v>
      </c>
      <c r="BO7" s="766">
        <v>4</v>
      </c>
      <c r="BP7" s="755">
        <v>2</v>
      </c>
      <c r="BQ7" s="755">
        <v>2</v>
      </c>
      <c r="BR7" s="755">
        <v>1</v>
      </c>
      <c r="BS7" s="755">
        <v>1</v>
      </c>
      <c r="BT7" s="231"/>
      <c r="BU7" s="232" t="s">
        <v>34</v>
      </c>
      <c r="BV7" s="766">
        <v>4</v>
      </c>
      <c r="BW7" s="755">
        <v>2</v>
      </c>
      <c r="BX7" s="755">
        <v>2</v>
      </c>
      <c r="BY7" s="755">
        <v>2</v>
      </c>
      <c r="BZ7" s="755">
        <v>1</v>
      </c>
      <c r="CA7" s="231"/>
    </row>
    <row r="8" spans="1:79" ht="14.4" x14ac:dyDescent="0.35">
      <c r="A8" s="231"/>
      <c r="B8" s="232" t="s">
        <v>1227</v>
      </c>
      <c r="C8" s="233">
        <v>3</v>
      </c>
      <c r="D8" s="755">
        <v>1</v>
      </c>
      <c r="E8" s="755">
        <v>1</v>
      </c>
      <c r="F8" s="755">
        <v>1</v>
      </c>
      <c r="G8" s="755">
        <v>1</v>
      </c>
      <c r="H8" s="231"/>
      <c r="I8" s="232" t="s">
        <v>1227</v>
      </c>
      <c r="J8" s="233">
        <v>3</v>
      </c>
      <c r="K8" s="755">
        <v>2</v>
      </c>
      <c r="L8" s="755">
        <v>2</v>
      </c>
      <c r="M8" s="755">
        <v>1</v>
      </c>
      <c r="N8" s="755">
        <v>1</v>
      </c>
      <c r="O8" s="231"/>
      <c r="P8" s="232" t="s">
        <v>1227</v>
      </c>
      <c r="Q8" s="233">
        <v>3</v>
      </c>
      <c r="R8" s="755">
        <v>3</v>
      </c>
      <c r="S8" s="755">
        <v>2</v>
      </c>
      <c r="T8" s="755">
        <v>2</v>
      </c>
      <c r="U8" s="755">
        <v>1</v>
      </c>
      <c r="V8" s="231"/>
      <c r="W8" s="232" t="s">
        <v>1227</v>
      </c>
      <c r="X8" s="233">
        <v>3</v>
      </c>
      <c r="Y8" s="755">
        <v>3</v>
      </c>
      <c r="Z8" s="755">
        <v>3</v>
      </c>
      <c r="AA8" s="755">
        <v>2</v>
      </c>
      <c r="AB8" s="755">
        <v>1</v>
      </c>
      <c r="AC8" s="231"/>
      <c r="AY8" s="231"/>
      <c r="AZ8" s="232" t="s">
        <v>1227</v>
      </c>
      <c r="BA8" s="766">
        <v>3</v>
      </c>
      <c r="BB8" s="755">
        <v>1</v>
      </c>
      <c r="BC8" s="755">
        <v>1</v>
      </c>
      <c r="BD8" s="755">
        <v>1</v>
      </c>
      <c r="BE8" s="755">
        <v>1</v>
      </c>
      <c r="BF8" s="231"/>
      <c r="BG8" s="232" t="s">
        <v>1227</v>
      </c>
      <c r="BH8" s="766">
        <v>3</v>
      </c>
      <c r="BI8" s="755">
        <v>2</v>
      </c>
      <c r="BJ8" s="755">
        <v>2</v>
      </c>
      <c r="BK8" s="755">
        <v>1</v>
      </c>
      <c r="BL8" s="755">
        <v>1</v>
      </c>
      <c r="BM8" s="231"/>
      <c r="BN8" s="232" t="s">
        <v>1227</v>
      </c>
      <c r="BO8" s="766">
        <v>3</v>
      </c>
      <c r="BP8" s="755">
        <v>3</v>
      </c>
      <c r="BQ8" s="755">
        <v>2</v>
      </c>
      <c r="BR8" s="755">
        <v>2</v>
      </c>
      <c r="BS8" s="755">
        <v>1</v>
      </c>
      <c r="BT8" s="231"/>
      <c r="BU8" s="232" t="s">
        <v>1227</v>
      </c>
      <c r="BV8" s="766">
        <v>3</v>
      </c>
      <c r="BW8" s="755">
        <v>3</v>
      </c>
      <c r="BX8" s="755">
        <v>3</v>
      </c>
      <c r="BY8" s="755">
        <v>2</v>
      </c>
      <c r="BZ8" s="755">
        <v>1</v>
      </c>
      <c r="CA8" s="231"/>
    </row>
    <row r="9" spans="1:79" ht="14.4" x14ac:dyDescent="0.35">
      <c r="A9" s="231"/>
      <c r="B9" s="232" t="s">
        <v>1228</v>
      </c>
      <c r="C9" s="233">
        <v>2</v>
      </c>
      <c r="D9" s="755">
        <v>1</v>
      </c>
      <c r="E9" s="755">
        <v>1</v>
      </c>
      <c r="F9" s="755">
        <v>1</v>
      </c>
      <c r="G9" s="755">
        <v>1</v>
      </c>
      <c r="H9" s="231"/>
      <c r="I9" s="232" t="s">
        <v>1228</v>
      </c>
      <c r="J9" s="233">
        <v>2</v>
      </c>
      <c r="K9" s="755">
        <v>2</v>
      </c>
      <c r="L9" s="755">
        <v>2</v>
      </c>
      <c r="M9" s="755">
        <v>2</v>
      </c>
      <c r="N9" s="755">
        <v>1</v>
      </c>
      <c r="O9" s="231"/>
      <c r="P9" s="232" t="s">
        <v>1228</v>
      </c>
      <c r="Q9" s="233">
        <v>2</v>
      </c>
      <c r="R9" s="755">
        <v>3</v>
      </c>
      <c r="S9" s="755">
        <v>3</v>
      </c>
      <c r="T9" s="755">
        <v>2</v>
      </c>
      <c r="U9" s="755">
        <v>1</v>
      </c>
      <c r="V9" s="231"/>
      <c r="W9" s="232" t="s">
        <v>1228</v>
      </c>
      <c r="X9" s="233">
        <v>2</v>
      </c>
      <c r="Y9" s="755">
        <v>4</v>
      </c>
      <c r="Z9" s="755">
        <v>3</v>
      </c>
      <c r="AA9" s="755">
        <v>2</v>
      </c>
      <c r="AB9" s="755">
        <v>1</v>
      </c>
      <c r="AC9" s="231"/>
      <c r="AY9" s="231"/>
      <c r="AZ9" s="232" t="s">
        <v>1228</v>
      </c>
      <c r="BA9" s="766">
        <v>2</v>
      </c>
      <c r="BB9" s="755">
        <v>1</v>
      </c>
      <c r="BC9" s="755">
        <v>1</v>
      </c>
      <c r="BD9" s="755">
        <v>1</v>
      </c>
      <c r="BE9" s="755">
        <v>1</v>
      </c>
      <c r="BF9" s="231"/>
      <c r="BG9" s="232" t="s">
        <v>1228</v>
      </c>
      <c r="BH9" s="766">
        <v>2</v>
      </c>
      <c r="BI9" s="755">
        <v>2</v>
      </c>
      <c r="BJ9" s="755">
        <v>2</v>
      </c>
      <c r="BK9" s="755">
        <v>2</v>
      </c>
      <c r="BL9" s="755">
        <v>1</v>
      </c>
      <c r="BM9" s="231"/>
      <c r="BN9" s="232" t="s">
        <v>1228</v>
      </c>
      <c r="BO9" s="766">
        <v>2</v>
      </c>
      <c r="BP9" s="755">
        <v>3</v>
      </c>
      <c r="BQ9" s="755">
        <v>3</v>
      </c>
      <c r="BR9" s="755">
        <v>2</v>
      </c>
      <c r="BS9" s="755">
        <v>1</v>
      </c>
      <c r="BT9" s="231"/>
      <c r="BU9" s="232" t="s">
        <v>1228</v>
      </c>
      <c r="BV9" s="766">
        <v>2</v>
      </c>
      <c r="BW9" s="755">
        <v>4</v>
      </c>
      <c r="BX9" s="755">
        <v>3</v>
      </c>
      <c r="BY9" s="755">
        <v>2</v>
      </c>
      <c r="BZ9" s="755">
        <v>1</v>
      </c>
      <c r="CA9" s="231"/>
    </row>
    <row r="10" spans="1:79" ht="14.4" x14ac:dyDescent="0.35">
      <c r="A10" s="231"/>
      <c r="B10" s="232" t="s">
        <v>1229</v>
      </c>
      <c r="C10" s="233">
        <v>1</v>
      </c>
      <c r="D10" s="755">
        <v>1</v>
      </c>
      <c r="E10" s="755">
        <v>1</v>
      </c>
      <c r="F10" s="755">
        <v>1</v>
      </c>
      <c r="G10" s="755">
        <v>1</v>
      </c>
      <c r="H10" s="231"/>
      <c r="I10" s="232" t="s">
        <v>1229</v>
      </c>
      <c r="J10" s="233">
        <v>1</v>
      </c>
      <c r="K10" s="755">
        <v>2</v>
      </c>
      <c r="L10" s="755">
        <v>2</v>
      </c>
      <c r="M10" s="755">
        <v>2</v>
      </c>
      <c r="N10" s="755">
        <v>1</v>
      </c>
      <c r="O10" s="231"/>
      <c r="P10" s="232" t="s">
        <v>1229</v>
      </c>
      <c r="Q10" s="233">
        <v>1</v>
      </c>
      <c r="R10" s="755">
        <v>3</v>
      </c>
      <c r="S10" s="755">
        <v>3</v>
      </c>
      <c r="T10" s="755">
        <v>2</v>
      </c>
      <c r="U10" s="755">
        <v>1</v>
      </c>
      <c r="V10" s="231"/>
      <c r="W10" s="232" t="s">
        <v>1229</v>
      </c>
      <c r="X10" s="233">
        <v>1</v>
      </c>
      <c r="Y10" s="755">
        <v>4</v>
      </c>
      <c r="Z10" s="755">
        <v>3</v>
      </c>
      <c r="AA10" s="755">
        <v>2</v>
      </c>
      <c r="AB10" s="755">
        <v>1</v>
      </c>
      <c r="AC10" s="231"/>
      <c r="AY10" s="231"/>
      <c r="AZ10" s="232" t="s">
        <v>1229</v>
      </c>
      <c r="BA10" s="766">
        <v>1</v>
      </c>
      <c r="BB10" s="755">
        <v>1</v>
      </c>
      <c r="BC10" s="755">
        <v>1</v>
      </c>
      <c r="BD10" s="755">
        <v>1</v>
      </c>
      <c r="BE10" s="755">
        <v>1</v>
      </c>
      <c r="BF10" s="231"/>
      <c r="BG10" s="232" t="s">
        <v>1229</v>
      </c>
      <c r="BH10" s="766">
        <v>1</v>
      </c>
      <c r="BI10" s="755">
        <v>2</v>
      </c>
      <c r="BJ10" s="755">
        <v>2</v>
      </c>
      <c r="BK10" s="755">
        <v>2</v>
      </c>
      <c r="BL10" s="755">
        <v>1</v>
      </c>
      <c r="BM10" s="231"/>
      <c r="BN10" s="232" t="s">
        <v>1229</v>
      </c>
      <c r="BO10" s="766">
        <v>1</v>
      </c>
      <c r="BP10" s="755">
        <v>3</v>
      </c>
      <c r="BQ10" s="755">
        <v>3</v>
      </c>
      <c r="BR10" s="755">
        <v>2</v>
      </c>
      <c r="BS10" s="755">
        <v>1</v>
      </c>
      <c r="BT10" s="231"/>
      <c r="BU10" s="232" t="s">
        <v>1229</v>
      </c>
      <c r="BV10" s="766">
        <v>1</v>
      </c>
      <c r="BW10" s="755">
        <v>4</v>
      </c>
      <c r="BX10" s="755">
        <v>3</v>
      </c>
      <c r="BY10" s="755">
        <v>2</v>
      </c>
      <c r="BZ10" s="755">
        <v>1</v>
      </c>
      <c r="CA10" s="231"/>
    </row>
    <row r="11" spans="1:79" ht="14.4" x14ac:dyDescent="0.35">
      <c r="A11" s="231"/>
      <c r="B11" s="232"/>
      <c r="C11" s="234"/>
      <c r="D11" s="233">
        <v>1</v>
      </c>
      <c r="E11" s="233">
        <v>2</v>
      </c>
      <c r="F11" s="233">
        <v>3</v>
      </c>
      <c r="G11" s="233">
        <v>4</v>
      </c>
      <c r="H11" s="231"/>
      <c r="I11" s="232"/>
      <c r="J11" s="234"/>
      <c r="K11" s="233">
        <v>1</v>
      </c>
      <c r="L11" s="233">
        <v>2</v>
      </c>
      <c r="M11" s="233">
        <v>3</v>
      </c>
      <c r="N11" s="233">
        <v>4</v>
      </c>
      <c r="O11" s="231"/>
      <c r="P11" s="232"/>
      <c r="Q11" s="234"/>
      <c r="R11" s="233">
        <v>1</v>
      </c>
      <c r="S11" s="233">
        <v>2</v>
      </c>
      <c r="T11" s="233">
        <v>3</v>
      </c>
      <c r="U11" s="233">
        <v>4</v>
      </c>
      <c r="V11" s="231"/>
      <c r="W11" s="232"/>
      <c r="X11" s="234"/>
      <c r="Y11" s="233">
        <v>1</v>
      </c>
      <c r="Z11" s="233">
        <v>2</v>
      </c>
      <c r="AA11" s="233">
        <v>3</v>
      </c>
      <c r="AB11" s="233">
        <v>4</v>
      </c>
      <c r="AC11" s="231"/>
      <c r="AY11" s="231"/>
      <c r="AZ11" s="232"/>
      <c r="BA11" s="234"/>
      <c r="BB11" s="766">
        <v>1</v>
      </c>
      <c r="BC11" s="766">
        <v>2</v>
      </c>
      <c r="BD11" s="766">
        <v>3</v>
      </c>
      <c r="BE11" s="766">
        <v>4</v>
      </c>
      <c r="BF11" s="231"/>
      <c r="BG11" s="232"/>
      <c r="BH11" s="234"/>
      <c r="BI11" s="766">
        <v>1</v>
      </c>
      <c r="BJ11" s="766">
        <v>2</v>
      </c>
      <c r="BK11" s="766">
        <v>3</v>
      </c>
      <c r="BL11" s="766">
        <v>4</v>
      </c>
      <c r="BM11" s="231"/>
      <c r="BN11" s="232"/>
      <c r="BO11" s="234"/>
      <c r="BP11" s="766">
        <v>1</v>
      </c>
      <c r="BQ11" s="766">
        <v>2</v>
      </c>
      <c r="BR11" s="766">
        <v>3</v>
      </c>
      <c r="BS11" s="766">
        <v>4</v>
      </c>
      <c r="BT11" s="231"/>
      <c r="BU11" s="232"/>
      <c r="BV11" s="234"/>
      <c r="BW11" s="766">
        <v>1</v>
      </c>
      <c r="BX11" s="766">
        <v>2</v>
      </c>
      <c r="BY11" s="766">
        <v>3</v>
      </c>
      <c r="BZ11" s="766">
        <v>4</v>
      </c>
      <c r="CA11" s="231"/>
    </row>
    <row r="12" spans="1:79" ht="14.4" x14ac:dyDescent="0.35">
      <c r="A12" s="231"/>
      <c r="B12" s="231"/>
      <c r="C12" s="234"/>
      <c r="D12" s="233" t="s">
        <v>1230</v>
      </c>
      <c r="E12" s="233" t="s">
        <v>1231</v>
      </c>
      <c r="F12" s="233" t="s">
        <v>1232</v>
      </c>
      <c r="G12" s="233" t="s">
        <v>1232</v>
      </c>
      <c r="H12" s="231"/>
      <c r="I12" s="231"/>
      <c r="J12" s="234"/>
      <c r="K12" s="233" t="s">
        <v>1230</v>
      </c>
      <c r="L12" s="233" t="s">
        <v>1231</v>
      </c>
      <c r="M12" s="233" t="s">
        <v>1232</v>
      </c>
      <c r="N12" s="233" t="s">
        <v>1232</v>
      </c>
      <c r="O12" s="231"/>
      <c r="P12" s="231"/>
      <c r="Q12" s="234"/>
      <c r="R12" s="233" t="s">
        <v>1230</v>
      </c>
      <c r="S12" s="233" t="s">
        <v>1231</v>
      </c>
      <c r="T12" s="233" t="s">
        <v>1232</v>
      </c>
      <c r="U12" s="233" t="s">
        <v>1232</v>
      </c>
      <c r="V12" s="231"/>
      <c r="W12" s="231"/>
      <c r="X12" s="234"/>
      <c r="Y12" s="233" t="s">
        <v>1230</v>
      </c>
      <c r="Z12" s="233" t="s">
        <v>1231</v>
      </c>
      <c r="AA12" s="233" t="s">
        <v>1232</v>
      </c>
      <c r="AB12" s="233" t="s">
        <v>1232</v>
      </c>
      <c r="AC12" s="231"/>
      <c r="AY12" s="231"/>
      <c r="AZ12" s="231"/>
      <c r="BA12" s="234"/>
      <c r="BB12" s="766" t="s">
        <v>1230</v>
      </c>
      <c r="BC12" s="766" t="s">
        <v>1231</v>
      </c>
      <c r="BD12" s="766" t="s">
        <v>1232</v>
      </c>
      <c r="BE12" s="766" t="s">
        <v>1232</v>
      </c>
      <c r="BF12" s="231"/>
      <c r="BG12" s="231"/>
      <c r="BH12" s="234"/>
      <c r="BI12" s="766" t="s">
        <v>1230</v>
      </c>
      <c r="BJ12" s="766" t="s">
        <v>1231</v>
      </c>
      <c r="BK12" s="766" t="s">
        <v>1232</v>
      </c>
      <c r="BL12" s="766" t="s">
        <v>1232</v>
      </c>
      <c r="BM12" s="231"/>
      <c r="BN12" s="231"/>
      <c r="BO12" s="234"/>
      <c r="BP12" s="766" t="s">
        <v>1230</v>
      </c>
      <c r="BQ12" s="766" t="s">
        <v>1231</v>
      </c>
      <c r="BR12" s="766" t="s">
        <v>1232</v>
      </c>
      <c r="BS12" s="766" t="s">
        <v>1232</v>
      </c>
      <c r="BT12" s="231"/>
      <c r="BU12" s="231"/>
      <c r="BV12" s="234"/>
      <c r="BW12" s="766" t="s">
        <v>1230</v>
      </c>
      <c r="BX12" s="766" t="s">
        <v>1231</v>
      </c>
      <c r="BY12" s="766" t="s">
        <v>1232</v>
      </c>
      <c r="BZ12" s="766" t="s">
        <v>1232</v>
      </c>
      <c r="CA12" s="231"/>
    </row>
    <row r="14" spans="1:79" ht="19.8" x14ac:dyDescent="0.5">
      <c r="A14" s="230" t="s">
        <v>1233</v>
      </c>
      <c r="AY14" s="230" t="s">
        <v>1233</v>
      </c>
    </row>
    <row r="15" spans="1:79" ht="3" customHeight="1" x14ac:dyDescent="0.4"/>
    <row r="16" spans="1:79" ht="14.4" x14ac:dyDescent="0.35">
      <c r="A16" s="231"/>
      <c r="B16" s="231"/>
      <c r="C16" s="1118" t="s">
        <v>1223</v>
      </c>
      <c r="D16" s="1118"/>
      <c r="E16" s="1118"/>
      <c r="F16" s="1118"/>
      <c r="G16" s="1118"/>
      <c r="H16" s="231"/>
      <c r="I16" s="231"/>
      <c r="J16" s="1118" t="s">
        <v>1224</v>
      </c>
      <c r="K16" s="1118"/>
      <c r="L16" s="1118"/>
      <c r="M16" s="1118"/>
      <c r="N16" s="1118"/>
      <c r="O16" s="231"/>
      <c r="P16" s="231"/>
      <c r="Q16" s="1118" t="s">
        <v>1225</v>
      </c>
      <c r="R16" s="1118"/>
      <c r="S16" s="1118"/>
      <c r="T16" s="1118"/>
      <c r="U16" s="1118"/>
      <c r="V16" s="231"/>
      <c r="W16" s="231"/>
      <c r="X16" s="1118" t="s">
        <v>1226</v>
      </c>
      <c r="Y16" s="1118"/>
      <c r="Z16" s="1118"/>
      <c r="AA16" s="1118"/>
      <c r="AB16" s="1118"/>
      <c r="AC16" s="231"/>
      <c r="AF16" s="231"/>
      <c r="AG16" s="1118"/>
      <c r="AH16" s="1118"/>
      <c r="AI16" s="1118"/>
      <c r="AJ16" s="1118"/>
      <c r="AK16" s="1118"/>
      <c r="AL16" s="231"/>
      <c r="AM16" s="231"/>
      <c r="AN16" s="1118"/>
      <c r="AO16" s="1118"/>
      <c r="AP16" s="1118"/>
      <c r="AQ16" s="1118"/>
      <c r="AR16" s="1118"/>
      <c r="AS16" s="231"/>
      <c r="AT16" s="231"/>
      <c r="AU16" s="1118"/>
      <c r="AV16" s="1118"/>
      <c r="AW16" s="1118"/>
      <c r="AX16" s="1118"/>
      <c r="AY16" s="1118"/>
      <c r="AZ16" s="231"/>
      <c r="BA16" s="1118" t="s">
        <v>1223</v>
      </c>
      <c r="BB16" s="1118"/>
      <c r="BC16" s="1118"/>
      <c r="BD16" s="1118"/>
      <c r="BE16" s="1118"/>
      <c r="BF16" s="231"/>
      <c r="BG16" s="231"/>
      <c r="BH16" s="1118" t="s">
        <v>1224</v>
      </c>
      <c r="BI16" s="1118"/>
      <c r="BJ16" s="1118"/>
      <c r="BK16" s="1118"/>
      <c r="BL16" s="1118"/>
      <c r="BM16" s="231"/>
      <c r="BN16" s="231"/>
      <c r="BO16" s="1118" t="s">
        <v>1225</v>
      </c>
      <c r="BP16" s="1118"/>
      <c r="BQ16" s="1118"/>
      <c r="BR16" s="1118"/>
      <c r="BS16" s="1118"/>
      <c r="BT16" s="231"/>
      <c r="BU16" s="231"/>
      <c r="BV16" s="1118" t="s">
        <v>1226</v>
      </c>
      <c r="BW16" s="1118"/>
      <c r="BX16" s="1118"/>
      <c r="BY16" s="1118"/>
      <c r="BZ16" s="1118"/>
      <c r="CA16" s="231"/>
    </row>
    <row r="17" spans="1:79" ht="3.75" customHeight="1" x14ac:dyDescent="0.4">
      <c r="J17" s="229"/>
      <c r="K17" s="229"/>
      <c r="L17" s="229"/>
      <c r="M17" s="229"/>
      <c r="N17" s="229"/>
      <c r="Q17" s="229"/>
      <c r="R17" s="229"/>
      <c r="S17" s="229"/>
      <c r="T17" s="229"/>
      <c r="U17" s="229"/>
      <c r="X17" s="229"/>
      <c r="Y17" s="229"/>
      <c r="Z17" s="229"/>
      <c r="AA17" s="229"/>
      <c r="AB17" s="229"/>
      <c r="AF17" s="227"/>
      <c r="AG17" s="229"/>
      <c r="AH17" s="229"/>
      <c r="AI17" s="229"/>
      <c r="AJ17" s="229"/>
      <c r="AK17" s="229"/>
      <c r="AL17" s="227"/>
      <c r="AM17" s="227"/>
      <c r="AN17" s="229"/>
      <c r="AO17" s="229"/>
      <c r="AP17" s="229"/>
      <c r="AQ17" s="229"/>
      <c r="AR17" s="229"/>
      <c r="AS17" s="227"/>
      <c r="AT17" s="227"/>
      <c r="AU17" s="229"/>
      <c r="AV17" s="229"/>
      <c r="AW17" s="229"/>
      <c r="AX17" s="229"/>
      <c r="BH17" s="229"/>
      <c r="BI17" s="229"/>
      <c r="BJ17" s="229"/>
      <c r="BK17" s="229"/>
      <c r="BL17" s="229"/>
      <c r="BO17" s="229"/>
      <c r="BP17" s="229"/>
      <c r="BQ17" s="229"/>
      <c r="BR17" s="229"/>
      <c r="BS17" s="229"/>
      <c r="BV17" s="229"/>
      <c r="BW17" s="229"/>
      <c r="BX17" s="229"/>
      <c r="BY17" s="229"/>
      <c r="BZ17" s="229"/>
    </row>
    <row r="18" spans="1:79" ht="14.4" x14ac:dyDescent="0.35">
      <c r="A18" s="231"/>
      <c r="B18" s="232" t="s">
        <v>34</v>
      </c>
      <c r="C18" s="233">
        <v>4</v>
      </c>
      <c r="D18" s="755">
        <v>1</v>
      </c>
      <c r="E18" s="755">
        <v>1</v>
      </c>
      <c r="F18" s="755">
        <v>1</v>
      </c>
      <c r="G18" s="755">
        <v>1</v>
      </c>
      <c r="H18" s="231"/>
      <c r="I18" s="232" t="s">
        <v>34</v>
      </c>
      <c r="J18" s="233">
        <v>4</v>
      </c>
      <c r="K18" s="755">
        <v>1</v>
      </c>
      <c r="L18" s="755">
        <v>1</v>
      </c>
      <c r="M18" s="755">
        <v>1</v>
      </c>
      <c r="N18" s="755">
        <v>1</v>
      </c>
      <c r="O18" s="231"/>
      <c r="P18" s="232" t="s">
        <v>34</v>
      </c>
      <c r="Q18" s="233">
        <v>4</v>
      </c>
      <c r="R18" s="755">
        <v>1</v>
      </c>
      <c r="S18" s="755">
        <v>1</v>
      </c>
      <c r="T18" s="755">
        <v>1</v>
      </c>
      <c r="U18" s="755">
        <v>1</v>
      </c>
      <c r="V18" s="231"/>
      <c r="W18" s="232" t="s">
        <v>34</v>
      </c>
      <c r="X18" s="233">
        <v>4</v>
      </c>
      <c r="Y18" s="755">
        <v>1</v>
      </c>
      <c r="Z18" s="755">
        <v>1</v>
      </c>
      <c r="AA18" s="755">
        <v>1</v>
      </c>
      <c r="AB18" s="755">
        <v>1</v>
      </c>
      <c r="AC18" s="231"/>
      <c r="AD18" s="235"/>
      <c r="AF18" s="232"/>
      <c r="AG18" s="234"/>
      <c r="AH18" s="233"/>
      <c r="AI18" s="233"/>
      <c r="AJ18" s="233"/>
      <c r="AK18" s="233"/>
      <c r="AL18" s="231"/>
      <c r="AM18" s="232"/>
      <c r="AN18" s="234"/>
      <c r="AO18" s="233"/>
      <c r="AP18" s="233"/>
      <c r="AQ18" s="233"/>
      <c r="AR18" s="233"/>
      <c r="AS18" s="231"/>
      <c r="AT18" s="232"/>
      <c r="AU18" s="234"/>
      <c r="AV18" s="233"/>
      <c r="AW18" s="233"/>
      <c r="AX18" s="233"/>
      <c r="AY18" s="231"/>
      <c r="AZ18" s="232" t="s">
        <v>34</v>
      </c>
      <c r="BA18" s="766">
        <v>4</v>
      </c>
      <c r="BB18" s="755">
        <v>1</v>
      </c>
      <c r="BC18" s="755">
        <v>1</v>
      </c>
      <c r="BD18" s="755">
        <v>1</v>
      </c>
      <c r="BE18" s="755">
        <v>1</v>
      </c>
      <c r="BF18" s="231"/>
      <c r="BG18" s="232" t="s">
        <v>34</v>
      </c>
      <c r="BH18" s="766">
        <v>4</v>
      </c>
      <c r="BI18" s="755">
        <v>1</v>
      </c>
      <c r="BJ18" s="755">
        <v>1</v>
      </c>
      <c r="BK18" s="755">
        <v>1</v>
      </c>
      <c r="BL18" s="755">
        <v>1</v>
      </c>
      <c r="BM18" s="231"/>
      <c r="BN18" s="232" t="s">
        <v>34</v>
      </c>
      <c r="BO18" s="766">
        <v>4</v>
      </c>
      <c r="BP18" s="755">
        <v>1</v>
      </c>
      <c r="BQ18" s="755">
        <v>1</v>
      </c>
      <c r="BR18" s="755">
        <v>1</v>
      </c>
      <c r="BS18" s="755">
        <v>1</v>
      </c>
      <c r="BT18" s="231"/>
      <c r="BU18" s="232" t="s">
        <v>34</v>
      </c>
      <c r="BV18" s="766">
        <v>4</v>
      </c>
      <c r="BW18" s="755">
        <v>1</v>
      </c>
      <c r="BX18" s="755">
        <v>1</v>
      </c>
      <c r="BY18" s="755">
        <v>1</v>
      </c>
      <c r="BZ18" s="755">
        <v>1</v>
      </c>
      <c r="CA18" s="231"/>
    </row>
    <row r="19" spans="1:79" ht="14.4" x14ac:dyDescent="0.35">
      <c r="A19" s="231"/>
      <c r="B19" s="232" t="s">
        <v>1227</v>
      </c>
      <c r="C19" s="233">
        <v>3</v>
      </c>
      <c r="D19" s="755">
        <v>1</v>
      </c>
      <c r="E19" s="755">
        <v>1</v>
      </c>
      <c r="F19" s="755">
        <v>1</v>
      </c>
      <c r="G19" s="755">
        <v>1</v>
      </c>
      <c r="H19" s="231"/>
      <c r="I19" s="232" t="s">
        <v>1227</v>
      </c>
      <c r="J19" s="233">
        <v>3</v>
      </c>
      <c r="K19" s="755">
        <v>2</v>
      </c>
      <c r="L19" s="755">
        <v>2</v>
      </c>
      <c r="M19" s="755">
        <v>1</v>
      </c>
      <c r="N19" s="755">
        <v>1</v>
      </c>
      <c r="O19" s="231"/>
      <c r="P19" s="232" t="s">
        <v>1227</v>
      </c>
      <c r="Q19" s="233">
        <v>3</v>
      </c>
      <c r="R19" s="755">
        <v>2</v>
      </c>
      <c r="S19" s="755">
        <v>2</v>
      </c>
      <c r="T19" s="755">
        <v>1</v>
      </c>
      <c r="U19" s="755">
        <v>1</v>
      </c>
      <c r="V19" s="231"/>
      <c r="W19" s="232" t="s">
        <v>1227</v>
      </c>
      <c r="X19" s="233">
        <v>3</v>
      </c>
      <c r="Y19" s="755">
        <v>2</v>
      </c>
      <c r="Z19" s="755">
        <v>2</v>
      </c>
      <c r="AA19" s="755">
        <v>2</v>
      </c>
      <c r="AB19" s="755">
        <v>1</v>
      </c>
      <c r="AC19" s="231"/>
      <c r="AF19" s="232"/>
      <c r="AG19" s="234"/>
      <c r="AH19" s="233"/>
      <c r="AI19" s="233"/>
      <c r="AJ19" s="233"/>
      <c r="AK19" s="233"/>
      <c r="AL19" s="231"/>
      <c r="AM19" s="232"/>
      <c r="AN19" s="234"/>
      <c r="AO19" s="233"/>
      <c r="AP19" s="233"/>
      <c r="AQ19" s="233"/>
      <c r="AR19" s="233"/>
      <c r="AS19" s="231"/>
      <c r="AT19" s="232"/>
      <c r="AU19" s="234"/>
      <c r="AV19" s="233"/>
      <c r="AW19" s="233"/>
      <c r="AX19" s="233"/>
      <c r="AY19" s="231"/>
      <c r="AZ19" s="232" t="s">
        <v>1227</v>
      </c>
      <c r="BA19" s="766">
        <v>3</v>
      </c>
      <c r="BB19" s="755">
        <v>1</v>
      </c>
      <c r="BC19" s="755">
        <v>1</v>
      </c>
      <c r="BD19" s="755">
        <v>1</v>
      </c>
      <c r="BE19" s="755">
        <v>1</v>
      </c>
      <c r="BF19" s="231"/>
      <c r="BG19" s="232" t="s">
        <v>1227</v>
      </c>
      <c r="BH19" s="766">
        <v>3</v>
      </c>
      <c r="BI19" s="755">
        <v>2</v>
      </c>
      <c r="BJ19" s="755">
        <v>2</v>
      </c>
      <c r="BK19" s="755">
        <v>1</v>
      </c>
      <c r="BL19" s="755">
        <v>1</v>
      </c>
      <c r="BM19" s="231"/>
      <c r="BN19" s="232" t="s">
        <v>1227</v>
      </c>
      <c r="BO19" s="766">
        <v>3</v>
      </c>
      <c r="BP19" s="755">
        <v>2</v>
      </c>
      <c r="BQ19" s="755">
        <v>2</v>
      </c>
      <c r="BR19" s="755">
        <v>1</v>
      </c>
      <c r="BS19" s="755">
        <v>1</v>
      </c>
      <c r="BT19" s="231"/>
      <c r="BU19" s="232" t="s">
        <v>1227</v>
      </c>
      <c r="BV19" s="766">
        <v>3</v>
      </c>
      <c r="BW19" s="755">
        <v>2</v>
      </c>
      <c r="BX19" s="755">
        <v>2</v>
      </c>
      <c r="BY19" s="755">
        <v>2</v>
      </c>
      <c r="BZ19" s="755">
        <v>1</v>
      </c>
      <c r="CA19" s="231"/>
    </row>
    <row r="20" spans="1:79" ht="14.4" x14ac:dyDescent="0.35">
      <c r="A20" s="231"/>
      <c r="B20" s="232" t="s">
        <v>1228</v>
      </c>
      <c r="C20" s="233">
        <v>2</v>
      </c>
      <c r="D20" s="755">
        <v>1</v>
      </c>
      <c r="E20" s="755">
        <v>1</v>
      </c>
      <c r="F20" s="755">
        <v>1</v>
      </c>
      <c r="G20" s="755">
        <v>1</v>
      </c>
      <c r="H20" s="231"/>
      <c r="I20" s="232" t="s">
        <v>1228</v>
      </c>
      <c r="J20" s="233">
        <v>2</v>
      </c>
      <c r="K20" s="755">
        <v>2</v>
      </c>
      <c r="L20" s="755">
        <v>2</v>
      </c>
      <c r="M20" s="755">
        <v>2</v>
      </c>
      <c r="N20" s="755">
        <v>1</v>
      </c>
      <c r="O20" s="231"/>
      <c r="P20" s="232" t="s">
        <v>1228</v>
      </c>
      <c r="Q20" s="233">
        <v>2</v>
      </c>
      <c r="R20" s="755">
        <v>3</v>
      </c>
      <c r="S20" s="755">
        <v>3</v>
      </c>
      <c r="T20" s="755">
        <v>2</v>
      </c>
      <c r="U20" s="755">
        <v>1</v>
      </c>
      <c r="V20" s="231"/>
      <c r="W20" s="232" t="s">
        <v>1228</v>
      </c>
      <c r="X20" s="233">
        <v>2</v>
      </c>
      <c r="Y20" s="755">
        <v>3</v>
      </c>
      <c r="Z20" s="755">
        <v>3</v>
      </c>
      <c r="AA20" s="755">
        <v>2</v>
      </c>
      <c r="AB20" s="755">
        <v>1</v>
      </c>
      <c r="AC20" s="231"/>
      <c r="AF20" s="232"/>
      <c r="AG20" s="234"/>
      <c r="AH20" s="233"/>
      <c r="AI20" s="233"/>
      <c r="AJ20" s="233"/>
      <c r="AK20" s="233"/>
      <c r="AL20" s="231"/>
      <c r="AM20" s="232"/>
      <c r="AN20" s="234"/>
      <c r="AO20" s="233"/>
      <c r="AP20" s="233"/>
      <c r="AQ20" s="233"/>
      <c r="AR20" s="233"/>
      <c r="AS20" s="231"/>
      <c r="AT20" s="232"/>
      <c r="AU20" s="234"/>
      <c r="AV20" s="233"/>
      <c r="AW20" s="233"/>
      <c r="AX20" s="233"/>
      <c r="AY20" s="231"/>
      <c r="AZ20" s="232" t="s">
        <v>1228</v>
      </c>
      <c r="BA20" s="766">
        <v>2</v>
      </c>
      <c r="BB20" s="755">
        <v>1</v>
      </c>
      <c r="BC20" s="755">
        <v>1</v>
      </c>
      <c r="BD20" s="755">
        <v>1</v>
      </c>
      <c r="BE20" s="755">
        <v>1</v>
      </c>
      <c r="BF20" s="231"/>
      <c r="BG20" s="232" t="s">
        <v>1228</v>
      </c>
      <c r="BH20" s="766">
        <v>2</v>
      </c>
      <c r="BI20" s="755">
        <v>2</v>
      </c>
      <c r="BJ20" s="755">
        <v>2</v>
      </c>
      <c r="BK20" s="755">
        <v>2</v>
      </c>
      <c r="BL20" s="755">
        <v>1</v>
      </c>
      <c r="BM20" s="231"/>
      <c r="BN20" s="232" t="s">
        <v>1228</v>
      </c>
      <c r="BO20" s="766">
        <v>2</v>
      </c>
      <c r="BP20" s="755">
        <v>3</v>
      </c>
      <c r="BQ20" s="755">
        <v>3</v>
      </c>
      <c r="BR20" s="755">
        <v>2</v>
      </c>
      <c r="BS20" s="755">
        <v>1</v>
      </c>
      <c r="BT20" s="231"/>
      <c r="BU20" s="232" t="s">
        <v>1228</v>
      </c>
      <c r="BV20" s="766">
        <v>2</v>
      </c>
      <c r="BW20" s="755">
        <v>3</v>
      </c>
      <c r="BX20" s="755">
        <v>3</v>
      </c>
      <c r="BY20" s="755">
        <v>2</v>
      </c>
      <c r="BZ20" s="755">
        <v>1</v>
      </c>
      <c r="CA20" s="231"/>
    </row>
    <row r="21" spans="1:79" ht="14.4" x14ac:dyDescent="0.35">
      <c r="A21" s="231"/>
      <c r="B21" s="232" t="s">
        <v>1229</v>
      </c>
      <c r="C21" s="233">
        <v>1</v>
      </c>
      <c r="D21" s="755">
        <v>1</v>
      </c>
      <c r="E21" s="755">
        <v>1</v>
      </c>
      <c r="F21" s="755">
        <v>1</v>
      </c>
      <c r="G21" s="755">
        <v>1</v>
      </c>
      <c r="H21" s="231"/>
      <c r="I21" s="232" t="s">
        <v>1229</v>
      </c>
      <c r="J21" s="233">
        <v>1</v>
      </c>
      <c r="K21" s="755">
        <v>2</v>
      </c>
      <c r="L21" s="755">
        <v>2</v>
      </c>
      <c r="M21" s="755">
        <v>2</v>
      </c>
      <c r="N21" s="755">
        <v>1</v>
      </c>
      <c r="O21" s="231"/>
      <c r="P21" s="232" t="s">
        <v>1229</v>
      </c>
      <c r="Q21" s="233">
        <v>1</v>
      </c>
      <c r="R21" s="755">
        <v>3</v>
      </c>
      <c r="S21" s="755">
        <v>3</v>
      </c>
      <c r="T21" s="755">
        <v>2</v>
      </c>
      <c r="U21" s="755">
        <v>1</v>
      </c>
      <c r="V21" s="231"/>
      <c r="W21" s="232" t="s">
        <v>1229</v>
      </c>
      <c r="X21" s="233">
        <v>1</v>
      </c>
      <c r="Y21" s="755">
        <v>4</v>
      </c>
      <c r="Z21" s="755">
        <v>3</v>
      </c>
      <c r="AA21" s="755">
        <v>2</v>
      </c>
      <c r="AB21" s="755">
        <v>1</v>
      </c>
      <c r="AC21" s="231"/>
      <c r="AF21" s="232"/>
      <c r="AG21" s="234"/>
      <c r="AH21" s="233"/>
      <c r="AI21" s="233"/>
      <c r="AJ21" s="233"/>
      <c r="AK21" s="233"/>
      <c r="AL21" s="231"/>
      <c r="AM21" s="232"/>
      <c r="AN21" s="234"/>
      <c r="AO21" s="233"/>
      <c r="AP21" s="233"/>
      <c r="AQ21" s="233"/>
      <c r="AR21" s="233"/>
      <c r="AS21" s="231"/>
      <c r="AT21" s="232"/>
      <c r="AU21" s="234"/>
      <c r="AV21" s="233"/>
      <c r="AW21" s="233"/>
      <c r="AX21" s="233"/>
      <c r="AY21" s="231"/>
      <c r="AZ21" s="232" t="s">
        <v>1229</v>
      </c>
      <c r="BA21" s="766">
        <v>1</v>
      </c>
      <c r="BB21" s="755">
        <v>1</v>
      </c>
      <c r="BC21" s="755">
        <v>1</v>
      </c>
      <c r="BD21" s="755">
        <v>1</v>
      </c>
      <c r="BE21" s="755">
        <v>1</v>
      </c>
      <c r="BF21" s="231"/>
      <c r="BG21" s="232" t="s">
        <v>1229</v>
      </c>
      <c r="BH21" s="766">
        <v>1</v>
      </c>
      <c r="BI21" s="755">
        <v>2</v>
      </c>
      <c r="BJ21" s="755">
        <v>2</v>
      </c>
      <c r="BK21" s="755">
        <v>2</v>
      </c>
      <c r="BL21" s="755">
        <v>1</v>
      </c>
      <c r="BM21" s="231"/>
      <c r="BN21" s="232" t="s">
        <v>1229</v>
      </c>
      <c r="BO21" s="766">
        <v>1</v>
      </c>
      <c r="BP21" s="755">
        <v>3</v>
      </c>
      <c r="BQ21" s="755">
        <v>3</v>
      </c>
      <c r="BR21" s="755">
        <v>2</v>
      </c>
      <c r="BS21" s="755">
        <v>1</v>
      </c>
      <c r="BT21" s="231"/>
      <c r="BU21" s="232" t="s">
        <v>1229</v>
      </c>
      <c r="BV21" s="766">
        <v>1</v>
      </c>
      <c r="BW21" s="755">
        <v>4</v>
      </c>
      <c r="BX21" s="755">
        <v>3</v>
      </c>
      <c r="BY21" s="755">
        <v>2</v>
      </c>
      <c r="BZ21" s="755">
        <v>1</v>
      </c>
      <c r="CA21" s="231"/>
    </row>
    <row r="22" spans="1:79" ht="14.4" x14ac:dyDescent="0.35">
      <c r="A22" s="231"/>
      <c r="B22" s="232"/>
      <c r="C22" s="234"/>
      <c r="D22" s="233">
        <v>1</v>
      </c>
      <c r="E22" s="233">
        <v>2</v>
      </c>
      <c r="F22" s="233">
        <v>3</v>
      </c>
      <c r="G22" s="233">
        <v>4</v>
      </c>
      <c r="H22" s="231"/>
      <c r="I22" s="232"/>
      <c r="J22" s="234"/>
      <c r="K22" s="233">
        <v>1</v>
      </c>
      <c r="L22" s="233">
        <v>2</v>
      </c>
      <c r="M22" s="233">
        <v>3</v>
      </c>
      <c r="N22" s="233">
        <v>4</v>
      </c>
      <c r="O22" s="231"/>
      <c r="P22" s="232"/>
      <c r="Q22" s="234"/>
      <c r="R22" s="233">
        <v>1</v>
      </c>
      <c r="S22" s="233">
        <v>2</v>
      </c>
      <c r="T22" s="233">
        <v>3</v>
      </c>
      <c r="U22" s="233">
        <v>4</v>
      </c>
      <c r="V22" s="231"/>
      <c r="W22" s="232"/>
      <c r="X22" s="234"/>
      <c r="Y22" s="233">
        <v>1</v>
      </c>
      <c r="Z22" s="233">
        <v>2</v>
      </c>
      <c r="AA22" s="233">
        <v>3</v>
      </c>
      <c r="AB22" s="233">
        <v>4</v>
      </c>
      <c r="AC22" s="231"/>
      <c r="AF22" s="232"/>
      <c r="AG22" s="234"/>
      <c r="AH22" s="233"/>
      <c r="AI22" s="233"/>
      <c r="AJ22" s="233"/>
      <c r="AK22" s="233"/>
      <c r="AL22" s="231"/>
      <c r="AM22" s="232"/>
      <c r="AN22" s="234"/>
      <c r="AO22" s="233"/>
      <c r="AP22" s="233"/>
      <c r="AQ22" s="233"/>
      <c r="AR22" s="233"/>
      <c r="AS22" s="231"/>
      <c r="AT22" s="232"/>
      <c r="AU22" s="234"/>
      <c r="AV22" s="233"/>
      <c r="AW22" s="233"/>
      <c r="AX22" s="233"/>
      <c r="AY22" s="231"/>
      <c r="AZ22" s="232"/>
      <c r="BA22" s="234"/>
      <c r="BB22" s="766">
        <v>1</v>
      </c>
      <c r="BC22" s="766">
        <v>2</v>
      </c>
      <c r="BD22" s="766">
        <v>3</v>
      </c>
      <c r="BE22" s="766">
        <v>4</v>
      </c>
      <c r="BF22" s="231"/>
      <c r="BG22" s="232"/>
      <c r="BH22" s="234"/>
      <c r="BI22" s="766">
        <v>1</v>
      </c>
      <c r="BJ22" s="766">
        <v>2</v>
      </c>
      <c r="BK22" s="766">
        <v>3</v>
      </c>
      <c r="BL22" s="766">
        <v>4</v>
      </c>
      <c r="BM22" s="231"/>
      <c r="BN22" s="232"/>
      <c r="BO22" s="234"/>
      <c r="BP22" s="766">
        <v>1</v>
      </c>
      <c r="BQ22" s="766">
        <v>2</v>
      </c>
      <c r="BR22" s="766">
        <v>3</v>
      </c>
      <c r="BS22" s="766">
        <v>4</v>
      </c>
      <c r="BT22" s="231"/>
      <c r="BU22" s="232"/>
      <c r="BV22" s="234"/>
      <c r="BW22" s="766">
        <v>1</v>
      </c>
      <c r="BX22" s="766">
        <v>2</v>
      </c>
      <c r="BY22" s="766">
        <v>3</v>
      </c>
      <c r="BZ22" s="766">
        <v>4</v>
      </c>
      <c r="CA22" s="231"/>
    </row>
    <row r="23" spans="1:79" ht="14.4" x14ac:dyDescent="0.35">
      <c r="A23" s="231"/>
      <c r="B23" s="231"/>
      <c r="C23" s="234"/>
      <c r="D23" s="233" t="s">
        <v>1230</v>
      </c>
      <c r="E23" s="233" t="s">
        <v>1231</v>
      </c>
      <c r="F23" s="233" t="s">
        <v>1232</v>
      </c>
      <c r="G23" s="233" t="s">
        <v>1232</v>
      </c>
      <c r="H23" s="231"/>
      <c r="I23" s="231"/>
      <c r="J23" s="234"/>
      <c r="K23" s="233" t="s">
        <v>1230</v>
      </c>
      <c r="L23" s="233" t="s">
        <v>1231</v>
      </c>
      <c r="M23" s="233" t="s">
        <v>1232</v>
      </c>
      <c r="N23" s="233" t="s">
        <v>1232</v>
      </c>
      <c r="O23" s="231"/>
      <c r="P23" s="231"/>
      <c r="Q23" s="234"/>
      <c r="R23" s="233" t="s">
        <v>1230</v>
      </c>
      <c r="S23" s="233" t="s">
        <v>1231</v>
      </c>
      <c r="T23" s="233" t="s">
        <v>1232</v>
      </c>
      <c r="U23" s="233" t="s">
        <v>1232</v>
      </c>
      <c r="V23" s="231"/>
      <c r="W23" s="231"/>
      <c r="X23" s="234"/>
      <c r="Y23" s="233" t="s">
        <v>1230</v>
      </c>
      <c r="Z23" s="233" t="s">
        <v>1231</v>
      </c>
      <c r="AA23" s="233" t="s">
        <v>1232</v>
      </c>
      <c r="AB23" s="233" t="s">
        <v>1232</v>
      </c>
      <c r="AC23" s="231"/>
      <c r="AF23" s="231"/>
      <c r="AG23" s="234"/>
      <c r="AH23" s="233"/>
      <c r="AI23" s="233"/>
      <c r="AJ23" s="233"/>
      <c r="AK23" s="233"/>
      <c r="AL23" s="231"/>
      <c r="AM23" s="231"/>
      <c r="AN23" s="234"/>
      <c r="AO23" s="233"/>
      <c r="AP23" s="233"/>
      <c r="AQ23" s="233"/>
      <c r="AR23" s="233"/>
      <c r="AS23" s="231"/>
      <c r="AT23" s="231"/>
      <c r="AU23" s="234"/>
      <c r="AV23" s="233"/>
      <c r="AW23" s="233"/>
      <c r="AX23" s="233"/>
      <c r="AY23" s="231"/>
      <c r="AZ23" s="231"/>
      <c r="BA23" s="234"/>
      <c r="BB23" s="766" t="s">
        <v>1230</v>
      </c>
      <c r="BC23" s="766" t="s">
        <v>1231</v>
      </c>
      <c r="BD23" s="766" t="s">
        <v>1232</v>
      </c>
      <c r="BE23" s="766" t="s">
        <v>1232</v>
      </c>
      <c r="BF23" s="231"/>
      <c r="BG23" s="231"/>
      <c r="BH23" s="234"/>
      <c r="BI23" s="766" t="s">
        <v>1230</v>
      </c>
      <c r="BJ23" s="766" t="s">
        <v>1231</v>
      </c>
      <c r="BK23" s="766" t="s">
        <v>1232</v>
      </c>
      <c r="BL23" s="766" t="s">
        <v>1232</v>
      </c>
      <c r="BM23" s="231"/>
      <c r="BN23" s="231"/>
      <c r="BO23" s="234"/>
      <c r="BP23" s="766" t="s">
        <v>1230</v>
      </c>
      <c r="BQ23" s="766" t="s">
        <v>1231</v>
      </c>
      <c r="BR23" s="766" t="s">
        <v>1232</v>
      </c>
      <c r="BS23" s="766" t="s">
        <v>1232</v>
      </c>
      <c r="BT23" s="231"/>
      <c r="BU23" s="231"/>
      <c r="BV23" s="234"/>
      <c r="BW23" s="766" t="s">
        <v>1230</v>
      </c>
      <c r="BX23" s="766" t="s">
        <v>1231</v>
      </c>
      <c r="BY23" s="766" t="s">
        <v>1232</v>
      </c>
      <c r="BZ23" s="766" t="s">
        <v>1232</v>
      </c>
      <c r="CA23" s="231"/>
    </row>
    <row r="25" spans="1:79" ht="19.8" x14ac:dyDescent="0.5">
      <c r="A25" s="230" t="s">
        <v>1234</v>
      </c>
      <c r="AY25" s="230" t="s">
        <v>1234</v>
      </c>
    </row>
    <row r="26" spans="1:79" ht="3" customHeight="1" x14ac:dyDescent="0.4"/>
    <row r="27" spans="1:79" ht="14.4" x14ac:dyDescent="0.35">
      <c r="A27" s="231"/>
      <c r="B27" s="231"/>
      <c r="C27" s="1118" t="s">
        <v>1223</v>
      </c>
      <c r="D27" s="1118"/>
      <c r="E27" s="1118"/>
      <c r="F27" s="1118"/>
      <c r="G27" s="1118"/>
      <c r="H27" s="231"/>
      <c r="I27" s="231"/>
      <c r="J27" s="1118" t="s">
        <v>1224</v>
      </c>
      <c r="K27" s="1118"/>
      <c r="L27" s="1118"/>
      <c r="M27" s="1118"/>
      <c r="N27" s="1118"/>
      <c r="O27" s="231"/>
      <c r="P27" s="231"/>
      <c r="Q27" s="1118" t="s">
        <v>1225</v>
      </c>
      <c r="R27" s="1118"/>
      <c r="S27" s="1118"/>
      <c r="T27" s="1118"/>
      <c r="U27" s="1118"/>
      <c r="V27" s="231"/>
      <c r="W27" s="231"/>
      <c r="X27" s="1118" t="s">
        <v>1226</v>
      </c>
      <c r="Y27" s="1118"/>
      <c r="Z27" s="1118"/>
      <c r="AA27" s="1118"/>
      <c r="AB27" s="1118"/>
      <c r="AC27" s="231"/>
      <c r="AY27" s="231"/>
      <c r="AZ27" s="231"/>
      <c r="BA27" s="1118" t="s">
        <v>1223</v>
      </c>
      <c r="BB27" s="1118"/>
      <c r="BC27" s="1118"/>
      <c r="BD27" s="1118"/>
      <c r="BE27" s="1118"/>
      <c r="BF27" s="231"/>
      <c r="BG27" s="231"/>
      <c r="BH27" s="1118" t="s">
        <v>1224</v>
      </c>
      <c r="BI27" s="1118"/>
      <c r="BJ27" s="1118"/>
      <c r="BK27" s="1118"/>
      <c r="BL27" s="1118"/>
      <c r="BM27" s="231"/>
      <c r="BN27" s="231"/>
      <c r="BO27" s="1118" t="s">
        <v>1225</v>
      </c>
      <c r="BP27" s="1118"/>
      <c r="BQ27" s="1118"/>
      <c r="BR27" s="1118"/>
      <c r="BS27" s="1118"/>
      <c r="BT27" s="231"/>
      <c r="BU27" s="231"/>
      <c r="BV27" s="1118" t="s">
        <v>1226</v>
      </c>
      <c r="BW27" s="1118"/>
      <c r="BX27" s="1118"/>
      <c r="BY27" s="1118"/>
      <c r="BZ27" s="1118"/>
      <c r="CA27" s="231"/>
    </row>
    <row r="28" spans="1:79" ht="2.25" customHeight="1" x14ac:dyDescent="0.4">
      <c r="J28" s="229"/>
      <c r="K28" s="229"/>
      <c r="L28" s="229"/>
      <c r="M28" s="229"/>
      <c r="N28" s="229"/>
      <c r="Q28" s="229"/>
      <c r="R28" s="229"/>
      <c r="S28" s="229"/>
      <c r="T28" s="229"/>
      <c r="U28" s="229"/>
      <c r="X28" s="229"/>
      <c r="Y28" s="229"/>
      <c r="Z28" s="229"/>
      <c r="AA28" s="229"/>
      <c r="AB28" s="229"/>
      <c r="BH28" s="229"/>
      <c r="BI28" s="229"/>
      <c r="BJ28" s="229"/>
      <c r="BK28" s="229"/>
      <c r="BL28" s="229"/>
      <c r="BO28" s="229"/>
      <c r="BP28" s="229"/>
      <c r="BQ28" s="229"/>
      <c r="BR28" s="229"/>
      <c r="BS28" s="229"/>
      <c r="BV28" s="229"/>
      <c r="BW28" s="229"/>
      <c r="BX28" s="229"/>
      <c r="BY28" s="229"/>
      <c r="BZ28" s="229"/>
    </row>
    <row r="29" spans="1:79" ht="14.4" x14ac:dyDescent="0.35">
      <c r="A29" s="231"/>
      <c r="B29" s="232" t="s">
        <v>34</v>
      </c>
      <c r="C29" s="233">
        <v>4</v>
      </c>
      <c r="D29" s="755">
        <v>1</v>
      </c>
      <c r="E29" s="755"/>
      <c r="F29" s="755"/>
      <c r="G29" s="755"/>
      <c r="H29" s="231"/>
      <c r="I29" s="232" t="s">
        <v>34</v>
      </c>
      <c r="J29" s="233">
        <v>4</v>
      </c>
      <c r="K29" s="755">
        <v>2</v>
      </c>
      <c r="L29" s="755"/>
      <c r="M29" s="755"/>
      <c r="N29" s="755"/>
      <c r="O29" s="231"/>
      <c r="P29" s="232" t="s">
        <v>34</v>
      </c>
      <c r="Q29" s="233">
        <v>4</v>
      </c>
      <c r="R29" s="755">
        <v>2</v>
      </c>
      <c r="S29" s="755"/>
      <c r="T29" s="755"/>
      <c r="U29" s="755"/>
      <c r="V29" s="231"/>
      <c r="W29" s="232" t="s">
        <v>34</v>
      </c>
      <c r="X29" s="233">
        <v>4</v>
      </c>
      <c r="Y29" s="755">
        <v>2</v>
      </c>
      <c r="Z29" s="755"/>
      <c r="AA29" s="755"/>
      <c r="AB29" s="755"/>
      <c r="AC29" s="231"/>
      <c r="AY29" s="231"/>
      <c r="AZ29" s="232" t="s">
        <v>34</v>
      </c>
      <c r="BA29" s="766">
        <v>4</v>
      </c>
      <c r="BB29" s="755">
        <v>1</v>
      </c>
      <c r="BC29" s="755"/>
      <c r="BD29" s="755"/>
      <c r="BE29" s="755"/>
      <c r="BF29" s="231"/>
      <c r="BG29" s="232" t="s">
        <v>34</v>
      </c>
      <c r="BH29" s="766">
        <v>4</v>
      </c>
      <c r="BI29" s="755">
        <v>2</v>
      </c>
      <c r="BJ29" s="755"/>
      <c r="BK29" s="755"/>
      <c r="BL29" s="755"/>
      <c r="BM29" s="231"/>
      <c r="BN29" s="232" t="s">
        <v>34</v>
      </c>
      <c r="BO29" s="766">
        <v>4</v>
      </c>
      <c r="BP29" s="755">
        <v>2</v>
      </c>
      <c r="BQ29" s="755"/>
      <c r="BR29" s="755"/>
      <c r="BS29" s="755"/>
      <c r="BT29" s="231"/>
      <c r="BU29" s="232" t="s">
        <v>34</v>
      </c>
      <c r="BV29" s="766">
        <v>4</v>
      </c>
      <c r="BW29" s="755">
        <v>2</v>
      </c>
      <c r="BX29" s="755"/>
      <c r="BY29" s="755"/>
      <c r="BZ29" s="755"/>
      <c r="CA29" s="231"/>
    </row>
    <row r="30" spans="1:79" ht="14.4" x14ac:dyDescent="0.35">
      <c r="A30" s="231"/>
      <c r="B30" s="232" t="s">
        <v>1227</v>
      </c>
      <c r="C30" s="233">
        <v>3</v>
      </c>
      <c r="D30" s="755">
        <v>1</v>
      </c>
      <c r="E30" s="755"/>
      <c r="F30" s="755"/>
      <c r="G30" s="755"/>
      <c r="H30" s="231"/>
      <c r="I30" s="232" t="s">
        <v>1227</v>
      </c>
      <c r="J30" s="233">
        <v>3</v>
      </c>
      <c r="K30" s="755">
        <v>2</v>
      </c>
      <c r="L30" s="755"/>
      <c r="M30" s="755"/>
      <c r="N30" s="755"/>
      <c r="O30" s="231"/>
      <c r="P30" s="232" t="s">
        <v>1227</v>
      </c>
      <c r="Q30" s="233">
        <v>3</v>
      </c>
      <c r="R30" s="755">
        <v>2</v>
      </c>
      <c r="S30" s="755"/>
      <c r="T30" s="755"/>
      <c r="U30" s="755"/>
      <c r="V30" s="231"/>
      <c r="W30" s="232" t="s">
        <v>1227</v>
      </c>
      <c r="X30" s="233">
        <v>3</v>
      </c>
      <c r="Y30" s="755">
        <v>2</v>
      </c>
      <c r="Z30" s="755"/>
      <c r="AA30" s="755"/>
      <c r="AB30" s="755"/>
      <c r="AC30" s="231"/>
      <c r="AY30" s="231"/>
      <c r="AZ30" s="232" t="s">
        <v>1227</v>
      </c>
      <c r="BA30" s="766">
        <v>3</v>
      </c>
      <c r="BB30" s="755">
        <v>1</v>
      </c>
      <c r="BC30" s="755"/>
      <c r="BD30" s="755"/>
      <c r="BE30" s="755"/>
      <c r="BF30" s="231"/>
      <c r="BG30" s="232" t="s">
        <v>1227</v>
      </c>
      <c r="BH30" s="766">
        <v>3</v>
      </c>
      <c r="BI30" s="755">
        <v>2</v>
      </c>
      <c r="BJ30" s="755"/>
      <c r="BK30" s="755"/>
      <c r="BL30" s="755"/>
      <c r="BM30" s="231"/>
      <c r="BN30" s="232" t="s">
        <v>1227</v>
      </c>
      <c r="BO30" s="766">
        <v>3</v>
      </c>
      <c r="BP30" s="755">
        <v>2</v>
      </c>
      <c r="BQ30" s="755"/>
      <c r="BR30" s="755"/>
      <c r="BS30" s="755"/>
      <c r="BT30" s="231"/>
      <c r="BU30" s="232" t="s">
        <v>1227</v>
      </c>
      <c r="BV30" s="766">
        <v>3</v>
      </c>
      <c r="BW30" s="755">
        <v>2</v>
      </c>
      <c r="BX30" s="755"/>
      <c r="BY30" s="755"/>
      <c r="BZ30" s="755"/>
      <c r="CA30" s="231"/>
    </row>
    <row r="31" spans="1:79" ht="14.4" x14ac:dyDescent="0.35">
      <c r="A31" s="231"/>
      <c r="B31" s="232" t="s">
        <v>1228</v>
      </c>
      <c r="C31" s="233">
        <v>2</v>
      </c>
      <c r="D31" s="755">
        <v>1</v>
      </c>
      <c r="E31" s="755"/>
      <c r="F31" s="755"/>
      <c r="G31" s="755"/>
      <c r="H31" s="231"/>
      <c r="I31" s="232" t="s">
        <v>1228</v>
      </c>
      <c r="J31" s="233">
        <v>2</v>
      </c>
      <c r="K31" s="755">
        <v>2</v>
      </c>
      <c r="L31" s="755"/>
      <c r="M31" s="755"/>
      <c r="N31" s="755"/>
      <c r="O31" s="231"/>
      <c r="P31" s="232" t="s">
        <v>1228</v>
      </c>
      <c r="Q31" s="233">
        <v>2</v>
      </c>
      <c r="R31" s="755">
        <v>3</v>
      </c>
      <c r="S31" s="755"/>
      <c r="T31" s="755"/>
      <c r="U31" s="755"/>
      <c r="V31" s="231"/>
      <c r="W31" s="232" t="s">
        <v>1228</v>
      </c>
      <c r="X31" s="233">
        <v>2</v>
      </c>
      <c r="Y31" s="755">
        <v>3</v>
      </c>
      <c r="Z31" s="755"/>
      <c r="AA31" s="755"/>
      <c r="AB31" s="755"/>
      <c r="AC31" s="231"/>
      <c r="AY31" s="231"/>
      <c r="AZ31" s="232" t="s">
        <v>1228</v>
      </c>
      <c r="BA31" s="766">
        <v>2</v>
      </c>
      <c r="BB31" s="755">
        <v>1</v>
      </c>
      <c r="BC31" s="755"/>
      <c r="BD31" s="755"/>
      <c r="BE31" s="755"/>
      <c r="BF31" s="231"/>
      <c r="BG31" s="232" t="s">
        <v>1228</v>
      </c>
      <c r="BH31" s="766">
        <v>2</v>
      </c>
      <c r="BI31" s="755">
        <v>2</v>
      </c>
      <c r="BJ31" s="755"/>
      <c r="BK31" s="755"/>
      <c r="BL31" s="755"/>
      <c r="BM31" s="231"/>
      <c r="BN31" s="232" t="s">
        <v>1228</v>
      </c>
      <c r="BO31" s="766">
        <v>2</v>
      </c>
      <c r="BP31" s="755">
        <v>3</v>
      </c>
      <c r="BQ31" s="755"/>
      <c r="BR31" s="755"/>
      <c r="BS31" s="755"/>
      <c r="BT31" s="231"/>
      <c r="BU31" s="232" t="s">
        <v>1228</v>
      </c>
      <c r="BV31" s="766">
        <v>2</v>
      </c>
      <c r="BW31" s="755">
        <v>3</v>
      </c>
      <c r="BX31" s="755"/>
      <c r="BY31" s="755"/>
      <c r="BZ31" s="755"/>
      <c r="CA31" s="231"/>
    </row>
    <row r="32" spans="1:79" ht="14.4" x14ac:dyDescent="0.35">
      <c r="A32" s="231"/>
      <c r="B32" s="232" t="s">
        <v>1229</v>
      </c>
      <c r="C32" s="233">
        <v>1</v>
      </c>
      <c r="D32" s="755">
        <v>1</v>
      </c>
      <c r="E32" s="755"/>
      <c r="F32" s="755"/>
      <c r="G32" s="755"/>
      <c r="H32" s="231"/>
      <c r="I32" s="232" t="s">
        <v>1229</v>
      </c>
      <c r="J32" s="233">
        <v>1</v>
      </c>
      <c r="K32" s="755">
        <v>2</v>
      </c>
      <c r="L32" s="755"/>
      <c r="M32" s="755"/>
      <c r="N32" s="755"/>
      <c r="O32" s="231"/>
      <c r="P32" s="232" t="s">
        <v>1229</v>
      </c>
      <c r="Q32" s="233">
        <v>1</v>
      </c>
      <c r="R32" s="755">
        <v>3</v>
      </c>
      <c r="S32" s="755"/>
      <c r="T32" s="755"/>
      <c r="U32" s="755"/>
      <c r="V32" s="231"/>
      <c r="W32" s="232" t="s">
        <v>1229</v>
      </c>
      <c r="X32" s="233">
        <v>1</v>
      </c>
      <c r="Y32" s="755">
        <v>4</v>
      </c>
      <c r="Z32" s="755"/>
      <c r="AA32" s="755"/>
      <c r="AB32" s="755"/>
      <c r="AC32" s="231"/>
      <c r="AY32" s="231"/>
      <c r="AZ32" s="232" t="s">
        <v>1229</v>
      </c>
      <c r="BA32" s="766">
        <v>1</v>
      </c>
      <c r="BB32" s="755">
        <v>1</v>
      </c>
      <c r="BC32" s="755"/>
      <c r="BD32" s="755"/>
      <c r="BE32" s="755"/>
      <c r="BF32" s="231"/>
      <c r="BG32" s="232" t="s">
        <v>1229</v>
      </c>
      <c r="BH32" s="766">
        <v>1</v>
      </c>
      <c r="BI32" s="755">
        <v>2</v>
      </c>
      <c r="BJ32" s="755"/>
      <c r="BK32" s="755"/>
      <c r="BL32" s="755"/>
      <c r="BM32" s="231"/>
      <c r="BN32" s="232" t="s">
        <v>1229</v>
      </c>
      <c r="BO32" s="766">
        <v>1</v>
      </c>
      <c r="BP32" s="755">
        <v>3</v>
      </c>
      <c r="BQ32" s="755"/>
      <c r="BR32" s="755"/>
      <c r="BS32" s="755"/>
      <c r="BT32" s="231"/>
      <c r="BU32" s="232" t="s">
        <v>1229</v>
      </c>
      <c r="BV32" s="766">
        <v>1</v>
      </c>
      <c r="BW32" s="755">
        <v>4</v>
      </c>
      <c r="BX32" s="755"/>
      <c r="BY32" s="755"/>
      <c r="BZ32" s="755"/>
      <c r="CA32" s="231"/>
    </row>
    <row r="33" spans="1:79" ht="14.4" x14ac:dyDescent="0.35">
      <c r="A33" s="231"/>
      <c r="B33" s="232"/>
      <c r="C33" s="234"/>
      <c r="D33" s="233">
        <v>1</v>
      </c>
      <c r="E33" s="233"/>
      <c r="F33" s="233"/>
      <c r="G33" s="233"/>
      <c r="H33" s="231"/>
      <c r="I33" s="232"/>
      <c r="J33" s="234"/>
      <c r="K33" s="233">
        <v>1</v>
      </c>
      <c r="L33" s="233"/>
      <c r="M33" s="233"/>
      <c r="N33" s="233"/>
      <c r="O33" s="231"/>
      <c r="P33" s="232"/>
      <c r="Q33" s="234"/>
      <c r="R33" s="233">
        <v>1</v>
      </c>
      <c r="S33" s="233"/>
      <c r="T33" s="233"/>
      <c r="U33" s="233"/>
      <c r="V33" s="231"/>
      <c r="W33" s="232"/>
      <c r="X33" s="234"/>
      <c r="Y33" s="233">
        <v>1</v>
      </c>
      <c r="Z33" s="233"/>
      <c r="AA33" s="233"/>
      <c r="AB33" s="233"/>
      <c r="AC33" s="231"/>
      <c r="AY33" s="231"/>
      <c r="AZ33" s="232"/>
      <c r="BA33" s="234"/>
      <c r="BB33" s="766">
        <v>1</v>
      </c>
      <c r="BC33" s="766"/>
      <c r="BD33" s="766"/>
      <c r="BE33" s="766"/>
      <c r="BF33" s="231"/>
      <c r="BG33" s="232"/>
      <c r="BH33" s="234"/>
      <c r="BI33" s="766">
        <v>1</v>
      </c>
      <c r="BJ33" s="766"/>
      <c r="BK33" s="766"/>
      <c r="BL33" s="766"/>
      <c r="BM33" s="231"/>
      <c r="BN33" s="232"/>
      <c r="BO33" s="234"/>
      <c r="BP33" s="766">
        <v>1</v>
      </c>
      <c r="BQ33" s="766"/>
      <c r="BR33" s="766"/>
      <c r="BS33" s="766"/>
      <c r="BT33" s="231"/>
      <c r="BU33" s="232"/>
      <c r="BV33" s="234"/>
      <c r="BW33" s="766">
        <v>1</v>
      </c>
      <c r="BX33" s="766"/>
      <c r="BY33" s="766"/>
      <c r="BZ33" s="766"/>
      <c r="CA33" s="231"/>
    </row>
    <row r="34" spans="1:79" ht="14.4" x14ac:dyDescent="0.35">
      <c r="A34" s="231"/>
      <c r="B34" s="231"/>
      <c r="C34" s="234"/>
      <c r="D34" s="233" t="s">
        <v>1230</v>
      </c>
      <c r="E34" s="233" t="s">
        <v>1231</v>
      </c>
      <c r="F34" s="233" t="s">
        <v>1232</v>
      </c>
      <c r="G34" s="233" t="s">
        <v>1232</v>
      </c>
      <c r="H34" s="231"/>
      <c r="I34" s="231"/>
      <c r="J34" s="234"/>
      <c r="K34" s="233" t="s">
        <v>1230</v>
      </c>
      <c r="L34" s="233" t="s">
        <v>1231</v>
      </c>
      <c r="M34" s="233" t="s">
        <v>1232</v>
      </c>
      <c r="N34" s="233" t="s">
        <v>1232</v>
      </c>
      <c r="O34" s="231"/>
      <c r="P34" s="231"/>
      <c r="Q34" s="234"/>
      <c r="R34" s="233" t="s">
        <v>1230</v>
      </c>
      <c r="S34" s="233" t="s">
        <v>1231</v>
      </c>
      <c r="T34" s="233" t="s">
        <v>1232</v>
      </c>
      <c r="U34" s="233" t="s">
        <v>1232</v>
      </c>
      <c r="V34" s="231"/>
      <c r="W34" s="231"/>
      <c r="X34" s="234"/>
      <c r="Y34" s="233" t="s">
        <v>1230</v>
      </c>
      <c r="Z34" s="233" t="s">
        <v>1231</v>
      </c>
      <c r="AA34" s="233" t="s">
        <v>1232</v>
      </c>
      <c r="AB34" s="233" t="s">
        <v>1232</v>
      </c>
      <c r="AC34" s="231"/>
      <c r="AY34" s="231"/>
      <c r="AZ34" s="231"/>
      <c r="BA34" s="234"/>
      <c r="BB34" s="766" t="s">
        <v>1230</v>
      </c>
      <c r="BC34" s="766" t="s">
        <v>1231</v>
      </c>
      <c r="BD34" s="766" t="s">
        <v>1232</v>
      </c>
      <c r="BE34" s="766" t="s">
        <v>1232</v>
      </c>
      <c r="BF34" s="231"/>
      <c r="BG34" s="231"/>
      <c r="BH34" s="234"/>
      <c r="BI34" s="766" t="s">
        <v>1230</v>
      </c>
      <c r="BJ34" s="766" t="s">
        <v>1231</v>
      </c>
      <c r="BK34" s="766" t="s">
        <v>1232</v>
      </c>
      <c r="BL34" s="766" t="s">
        <v>1232</v>
      </c>
      <c r="BM34" s="231"/>
      <c r="BN34" s="231"/>
      <c r="BO34" s="234"/>
      <c r="BP34" s="766" t="s">
        <v>1230</v>
      </c>
      <c r="BQ34" s="766" t="s">
        <v>1231</v>
      </c>
      <c r="BR34" s="766" t="s">
        <v>1232</v>
      </c>
      <c r="BS34" s="766" t="s">
        <v>1232</v>
      </c>
      <c r="BT34" s="231"/>
      <c r="BU34" s="231"/>
      <c r="BV34" s="234"/>
      <c r="BW34" s="766" t="s">
        <v>1230</v>
      </c>
      <c r="BX34" s="766" t="s">
        <v>1231</v>
      </c>
      <c r="BY34" s="766" t="s">
        <v>1232</v>
      </c>
      <c r="BZ34" s="766" t="s">
        <v>1232</v>
      </c>
      <c r="CA34" s="231"/>
    </row>
    <row r="35" spans="1:79" ht="8.25" customHeight="1" x14ac:dyDescent="0.4"/>
    <row r="36" spans="1:79" s="239" customFormat="1" ht="15" customHeight="1" x14ac:dyDescent="0.25">
      <c r="A36" s="236" t="s">
        <v>1235</v>
      </c>
      <c r="B36" s="237"/>
      <c r="C36" s="238"/>
      <c r="D36" s="238"/>
      <c r="E36" s="238"/>
      <c r="F36" s="238"/>
      <c r="G36" s="238"/>
      <c r="H36" s="237"/>
      <c r="I36" s="237"/>
      <c r="J36" s="237"/>
      <c r="K36" s="237"/>
      <c r="L36" s="237"/>
      <c r="M36" s="237"/>
      <c r="N36" s="237"/>
      <c r="O36" s="237"/>
      <c r="P36" s="237"/>
      <c r="Q36" s="237"/>
      <c r="R36" s="237"/>
      <c r="S36" s="237"/>
      <c r="T36" s="237"/>
      <c r="U36" s="237"/>
      <c r="V36" s="237"/>
      <c r="W36" s="237"/>
      <c r="X36" s="237"/>
      <c r="Y36" s="237"/>
      <c r="Z36" s="237"/>
      <c r="AA36" s="237"/>
      <c r="AB36" s="237"/>
      <c r="AC36" s="237"/>
      <c r="AY36" s="236" t="s">
        <v>1235</v>
      </c>
      <c r="AZ36" s="237"/>
      <c r="BA36" s="238"/>
      <c r="BB36" s="238"/>
      <c r="BC36" s="238"/>
      <c r="BD36" s="238"/>
      <c r="BE36" s="238"/>
      <c r="BF36" s="237"/>
      <c r="BG36" s="237"/>
      <c r="BH36" s="237"/>
      <c r="BI36" s="237"/>
      <c r="BJ36" s="237"/>
      <c r="BK36" s="237"/>
      <c r="BL36" s="237"/>
      <c r="BM36" s="237"/>
      <c r="BN36" s="237"/>
      <c r="BO36" s="237"/>
      <c r="BP36" s="237"/>
      <c r="BQ36" s="237"/>
      <c r="BR36" s="237"/>
      <c r="BS36" s="237"/>
      <c r="BT36" s="237"/>
      <c r="BU36" s="237"/>
      <c r="BV36" s="237"/>
      <c r="BW36" s="237"/>
      <c r="BX36" s="237"/>
      <c r="BY36" s="237"/>
      <c r="BZ36" s="237"/>
      <c r="CA36" s="237"/>
    </row>
    <row r="37" spans="1:79" ht="3" customHeight="1" x14ac:dyDescent="0.4"/>
    <row r="38" spans="1:79" ht="12" customHeight="1" x14ac:dyDescent="0.35">
      <c r="A38" s="231"/>
      <c r="B38" s="231"/>
      <c r="C38" s="1118" t="s">
        <v>1223</v>
      </c>
      <c r="D38" s="1118"/>
      <c r="E38" s="1118"/>
      <c r="F38" s="1118"/>
      <c r="G38" s="1118"/>
      <c r="H38" s="231"/>
      <c r="I38" s="231"/>
      <c r="J38" s="1118" t="s">
        <v>1224</v>
      </c>
      <c r="K38" s="1118"/>
      <c r="L38" s="1118"/>
      <c r="M38" s="1118"/>
      <c r="N38" s="1118"/>
      <c r="O38" s="231"/>
      <c r="P38" s="231"/>
      <c r="Q38" s="1118" t="s">
        <v>1225</v>
      </c>
      <c r="R38" s="1118"/>
      <c r="S38" s="1118"/>
      <c r="T38" s="1118"/>
      <c r="U38" s="1118"/>
      <c r="V38" s="231"/>
      <c r="W38" s="231"/>
      <c r="X38" s="1118" t="s">
        <v>1226</v>
      </c>
      <c r="Y38" s="1118"/>
      <c r="Z38" s="1118"/>
      <c r="AA38" s="1118"/>
      <c r="AB38" s="1118"/>
      <c r="AC38" s="231"/>
      <c r="AY38" s="231"/>
      <c r="AZ38" s="231"/>
      <c r="BA38" s="1118" t="s">
        <v>1223</v>
      </c>
      <c r="BB38" s="1118"/>
      <c r="BC38" s="1118"/>
      <c r="BD38" s="1118"/>
      <c r="BE38" s="1118"/>
      <c r="BF38" s="231"/>
      <c r="BG38" s="231"/>
      <c r="BH38" s="1118" t="s">
        <v>1224</v>
      </c>
      <c r="BI38" s="1118"/>
      <c r="BJ38" s="1118"/>
      <c r="BK38" s="1118"/>
      <c r="BL38" s="1118"/>
      <c r="BM38" s="231"/>
      <c r="BN38" s="231"/>
      <c r="BO38" s="1118" t="s">
        <v>1225</v>
      </c>
      <c r="BP38" s="1118"/>
      <c r="BQ38" s="1118"/>
      <c r="BR38" s="1118"/>
      <c r="BS38" s="1118"/>
      <c r="BT38" s="231"/>
      <c r="BU38" s="231"/>
      <c r="BV38" s="1118" t="s">
        <v>1226</v>
      </c>
      <c r="BW38" s="1118"/>
      <c r="BX38" s="1118"/>
      <c r="BY38" s="1118"/>
      <c r="BZ38" s="1118"/>
      <c r="CA38" s="231"/>
    </row>
    <row r="39" spans="1:79" ht="3.75" hidden="1" customHeight="1" x14ac:dyDescent="0.4">
      <c r="J39" s="229"/>
      <c r="K39" s="229"/>
      <c r="L39" s="229"/>
      <c r="M39" s="229"/>
      <c r="N39" s="229"/>
      <c r="Q39" s="229"/>
      <c r="R39" s="229"/>
      <c r="S39" s="229"/>
      <c r="T39" s="229"/>
      <c r="U39" s="229"/>
      <c r="X39" s="229"/>
      <c r="Y39" s="229"/>
      <c r="Z39" s="229"/>
      <c r="AA39" s="229"/>
      <c r="AB39" s="229"/>
      <c r="BH39" s="229"/>
      <c r="BI39" s="229"/>
      <c r="BJ39" s="229"/>
      <c r="BK39" s="229"/>
      <c r="BL39" s="229"/>
      <c r="BO39" s="229"/>
      <c r="BP39" s="229"/>
      <c r="BQ39" s="229"/>
      <c r="BR39" s="229"/>
      <c r="BS39" s="229"/>
      <c r="BV39" s="229"/>
      <c r="BW39" s="229"/>
      <c r="BX39" s="229"/>
      <c r="BY39" s="229"/>
      <c r="BZ39" s="229"/>
    </row>
    <row r="40" spans="1:79" ht="14.4" x14ac:dyDescent="0.35">
      <c r="A40" s="231"/>
      <c r="B40" s="232" t="s">
        <v>34</v>
      </c>
      <c r="C40" s="233">
        <v>4</v>
      </c>
      <c r="D40" s="755">
        <v>1</v>
      </c>
      <c r="E40" s="755">
        <v>1</v>
      </c>
      <c r="F40" s="755">
        <v>1</v>
      </c>
      <c r="G40" s="755">
        <v>1</v>
      </c>
      <c r="H40" s="231"/>
      <c r="I40" s="232" t="s">
        <v>34</v>
      </c>
      <c r="J40" s="233">
        <v>4</v>
      </c>
      <c r="K40" s="755">
        <v>1</v>
      </c>
      <c r="L40" s="755">
        <v>1</v>
      </c>
      <c r="M40" s="755">
        <v>1</v>
      </c>
      <c r="N40" s="755">
        <v>1</v>
      </c>
      <c r="O40" s="231"/>
      <c r="P40" s="232" t="s">
        <v>34</v>
      </c>
      <c r="Q40" s="233">
        <v>4</v>
      </c>
      <c r="R40" s="755">
        <v>1</v>
      </c>
      <c r="S40" s="755">
        <v>1</v>
      </c>
      <c r="T40" s="755">
        <v>1</v>
      </c>
      <c r="U40" s="755">
        <v>1</v>
      </c>
      <c r="V40" s="231"/>
      <c r="W40" s="232" t="s">
        <v>34</v>
      </c>
      <c r="X40" s="233">
        <v>4</v>
      </c>
      <c r="Y40" s="755">
        <v>1</v>
      </c>
      <c r="Z40" s="755">
        <v>1</v>
      </c>
      <c r="AA40" s="755">
        <v>1</v>
      </c>
      <c r="AB40" s="755">
        <v>1</v>
      </c>
      <c r="AC40" s="231"/>
      <c r="AY40" s="231"/>
      <c r="AZ40" s="232" t="s">
        <v>34</v>
      </c>
      <c r="BA40" s="766">
        <v>4</v>
      </c>
      <c r="BB40" s="755">
        <v>1</v>
      </c>
      <c r="BC40" s="755">
        <v>1</v>
      </c>
      <c r="BD40" s="755">
        <v>1</v>
      </c>
      <c r="BE40" s="755">
        <v>1</v>
      </c>
      <c r="BF40" s="231"/>
      <c r="BG40" s="232" t="s">
        <v>34</v>
      </c>
      <c r="BH40" s="766">
        <v>4</v>
      </c>
      <c r="BI40" s="755">
        <v>1</v>
      </c>
      <c r="BJ40" s="755">
        <v>1</v>
      </c>
      <c r="BK40" s="755">
        <v>1</v>
      </c>
      <c r="BL40" s="755">
        <v>1</v>
      </c>
      <c r="BM40" s="231"/>
      <c r="BN40" s="232" t="s">
        <v>34</v>
      </c>
      <c r="BO40" s="766">
        <v>4</v>
      </c>
      <c r="BP40" s="755">
        <v>1</v>
      </c>
      <c r="BQ40" s="755">
        <v>1</v>
      </c>
      <c r="BR40" s="755">
        <v>1</v>
      </c>
      <c r="BS40" s="755">
        <v>1</v>
      </c>
      <c r="BT40" s="231"/>
      <c r="BU40" s="232" t="s">
        <v>34</v>
      </c>
      <c r="BV40" s="766">
        <v>4</v>
      </c>
      <c r="BW40" s="755">
        <v>1</v>
      </c>
      <c r="BX40" s="755">
        <v>1</v>
      </c>
      <c r="BY40" s="755">
        <v>1</v>
      </c>
      <c r="BZ40" s="755">
        <v>1</v>
      </c>
      <c r="CA40" s="231"/>
    </row>
    <row r="41" spans="1:79" ht="14.4" x14ac:dyDescent="0.35">
      <c r="A41" s="231"/>
      <c r="B41" s="232" t="s">
        <v>1227</v>
      </c>
      <c r="C41" s="233">
        <v>3</v>
      </c>
      <c r="D41" s="755">
        <v>1</v>
      </c>
      <c r="E41" s="755">
        <v>1</v>
      </c>
      <c r="F41" s="755">
        <v>1</v>
      </c>
      <c r="G41" s="755">
        <v>1</v>
      </c>
      <c r="H41" s="231"/>
      <c r="I41" s="232" t="s">
        <v>1227</v>
      </c>
      <c r="J41" s="233">
        <v>3</v>
      </c>
      <c r="K41" s="755">
        <v>2</v>
      </c>
      <c r="L41" s="755">
        <v>2</v>
      </c>
      <c r="M41" s="755">
        <v>1</v>
      </c>
      <c r="N41" s="755">
        <v>1</v>
      </c>
      <c r="O41" s="231"/>
      <c r="P41" s="232" t="s">
        <v>1227</v>
      </c>
      <c r="Q41" s="233">
        <v>3</v>
      </c>
      <c r="R41" s="755">
        <v>2</v>
      </c>
      <c r="S41" s="755">
        <v>2</v>
      </c>
      <c r="T41" s="755">
        <v>1</v>
      </c>
      <c r="U41" s="755">
        <v>1</v>
      </c>
      <c r="V41" s="231"/>
      <c r="W41" s="232" t="s">
        <v>1227</v>
      </c>
      <c r="X41" s="233">
        <v>3</v>
      </c>
      <c r="Y41" s="755">
        <v>2</v>
      </c>
      <c r="Z41" s="755">
        <v>2</v>
      </c>
      <c r="AA41" s="755">
        <v>2</v>
      </c>
      <c r="AB41" s="755">
        <v>1</v>
      </c>
      <c r="AC41" s="231"/>
      <c r="AY41" s="231"/>
      <c r="AZ41" s="232" t="s">
        <v>1227</v>
      </c>
      <c r="BA41" s="766">
        <v>3</v>
      </c>
      <c r="BB41" s="755">
        <v>1</v>
      </c>
      <c r="BC41" s="755">
        <v>1</v>
      </c>
      <c r="BD41" s="755">
        <v>1</v>
      </c>
      <c r="BE41" s="755">
        <v>1</v>
      </c>
      <c r="BF41" s="231"/>
      <c r="BG41" s="232" t="s">
        <v>1227</v>
      </c>
      <c r="BH41" s="766">
        <v>3</v>
      </c>
      <c r="BI41" s="755">
        <v>2</v>
      </c>
      <c r="BJ41" s="755">
        <v>2</v>
      </c>
      <c r="BK41" s="755">
        <v>1</v>
      </c>
      <c r="BL41" s="755">
        <v>1</v>
      </c>
      <c r="BM41" s="231"/>
      <c r="BN41" s="232" t="s">
        <v>1227</v>
      </c>
      <c r="BO41" s="766">
        <v>3</v>
      </c>
      <c r="BP41" s="755">
        <v>2</v>
      </c>
      <c r="BQ41" s="755">
        <v>2</v>
      </c>
      <c r="BR41" s="755">
        <v>1</v>
      </c>
      <c r="BS41" s="755">
        <v>1</v>
      </c>
      <c r="BT41" s="231"/>
      <c r="BU41" s="232" t="s">
        <v>1227</v>
      </c>
      <c r="BV41" s="766">
        <v>3</v>
      </c>
      <c r="BW41" s="755">
        <v>2</v>
      </c>
      <c r="BX41" s="755">
        <v>2</v>
      </c>
      <c r="BY41" s="755">
        <v>2</v>
      </c>
      <c r="BZ41" s="755">
        <v>1</v>
      </c>
      <c r="CA41" s="231"/>
    </row>
    <row r="42" spans="1:79" ht="14.4" x14ac:dyDescent="0.35">
      <c r="A42" s="231"/>
      <c r="B42" s="232" t="s">
        <v>1228</v>
      </c>
      <c r="C42" s="233">
        <v>2</v>
      </c>
      <c r="D42" s="755">
        <v>1</v>
      </c>
      <c r="E42" s="755">
        <v>1</v>
      </c>
      <c r="F42" s="755">
        <v>1</v>
      </c>
      <c r="G42" s="755">
        <v>1</v>
      </c>
      <c r="H42" s="231"/>
      <c r="I42" s="232" t="s">
        <v>1228</v>
      </c>
      <c r="J42" s="233">
        <v>2</v>
      </c>
      <c r="K42" s="755">
        <v>2</v>
      </c>
      <c r="L42" s="755">
        <v>2</v>
      </c>
      <c r="M42" s="755">
        <v>2</v>
      </c>
      <c r="N42" s="755">
        <v>1</v>
      </c>
      <c r="O42" s="231"/>
      <c r="P42" s="232" t="s">
        <v>1228</v>
      </c>
      <c r="Q42" s="233">
        <v>2</v>
      </c>
      <c r="R42" s="755">
        <v>3</v>
      </c>
      <c r="S42" s="755">
        <v>3</v>
      </c>
      <c r="T42" s="755">
        <v>2</v>
      </c>
      <c r="U42" s="755">
        <v>1</v>
      </c>
      <c r="V42" s="231"/>
      <c r="W42" s="232" t="s">
        <v>1228</v>
      </c>
      <c r="X42" s="233">
        <v>2</v>
      </c>
      <c r="Y42" s="755">
        <v>3</v>
      </c>
      <c r="Z42" s="755">
        <v>3</v>
      </c>
      <c r="AA42" s="755">
        <v>2</v>
      </c>
      <c r="AB42" s="755">
        <v>1</v>
      </c>
      <c r="AC42" s="231"/>
      <c r="AY42" s="231"/>
      <c r="AZ42" s="232" t="s">
        <v>1228</v>
      </c>
      <c r="BA42" s="766">
        <v>2</v>
      </c>
      <c r="BB42" s="755">
        <v>1</v>
      </c>
      <c r="BC42" s="755">
        <v>1</v>
      </c>
      <c r="BD42" s="755">
        <v>1</v>
      </c>
      <c r="BE42" s="755">
        <v>1</v>
      </c>
      <c r="BF42" s="231"/>
      <c r="BG42" s="232" t="s">
        <v>1228</v>
      </c>
      <c r="BH42" s="766">
        <v>2</v>
      </c>
      <c r="BI42" s="755">
        <v>2</v>
      </c>
      <c r="BJ42" s="755">
        <v>2</v>
      </c>
      <c r="BK42" s="755">
        <v>2</v>
      </c>
      <c r="BL42" s="755">
        <v>1</v>
      </c>
      <c r="BM42" s="231"/>
      <c r="BN42" s="232" t="s">
        <v>1228</v>
      </c>
      <c r="BO42" s="766">
        <v>2</v>
      </c>
      <c r="BP42" s="755">
        <v>3</v>
      </c>
      <c r="BQ42" s="755">
        <v>3</v>
      </c>
      <c r="BR42" s="755">
        <v>2</v>
      </c>
      <c r="BS42" s="755">
        <v>1</v>
      </c>
      <c r="BT42" s="231"/>
      <c r="BU42" s="232" t="s">
        <v>1228</v>
      </c>
      <c r="BV42" s="766">
        <v>2</v>
      </c>
      <c r="BW42" s="755">
        <v>3</v>
      </c>
      <c r="BX42" s="755">
        <v>3</v>
      </c>
      <c r="BY42" s="755">
        <v>2</v>
      </c>
      <c r="BZ42" s="755">
        <v>1</v>
      </c>
      <c r="CA42" s="231"/>
    </row>
    <row r="43" spans="1:79" ht="14.4" x14ac:dyDescent="0.35">
      <c r="A43" s="231"/>
      <c r="B43" s="232" t="s">
        <v>1229</v>
      </c>
      <c r="C43" s="233">
        <v>1</v>
      </c>
      <c r="D43" s="755">
        <v>1</v>
      </c>
      <c r="E43" s="755">
        <v>1</v>
      </c>
      <c r="F43" s="755">
        <v>1</v>
      </c>
      <c r="G43" s="755">
        <v>1</v>
      </c>
      <c r="H43" s="231"/>
      <c r="I43" s="232" t="s">
        <v>1229</v>
      </c>
      <c r="J43" s="233">
        <v>1</v>
      </c>
      <c r="K43" s="755">
        <v>2</v>
      </c>
      <c r="L43" s="755">
        <v>2</v>
      </c>
      <c r="M43" s="755">
        <v>2</v>
      </c>
      <c r="N43" s="755">
        <v>1</v>
      </c>
      <c r="O43" s="231"/>
      <c r="P43" s="232" t="s">
        <v>1229</v>
      </c>
      <c r="Q43" s="233">
        <v>1</v>
      </c>
      <c r="R43" s="755">
        <v>3</v>
      </c>
      <c r="S43" s="755">
        <v>3</v>
      </c>
      <c r="T43" s="755">
        <v>2</v>
      </c>
      <c r="U43" s="755">
        <v>1</v>
      </c>
      <c r="V43" s="231"/>
      <c r="W43" s="232" t="s">
        <v>1229</v>
      </c>
      <c r="X43" s="233">
        <v>1</v>
      </c>
      <c r="Y43" s="755">
        <v>4</v>
      </c>
      <c r="Z43" s="755">
        <v>3</v>
      </c>
      <c r="AA43" s="755">
        <v>2</v>
      </c>
      <c r="AB43" s="755">
        <v>1</v>
      </c>
      <c r="AC43" s="231"/>
      <c r="AY43" s="231"/>
      <c r="AZ43" s="232" t="s">
        <v>1229</v>
      </c>
      <c r="BA43" s="766">
        <v>1</v>
      </c>
      <c r="BB43" s="755">
        <v>1</v>
      </c>
      <c r="BC43" s="755">
        <v>1</v>
      </c>
      <c r="BD43" s="755">
        <v>1</v>
      </c>
      <c r="BE43" s="755">
        <v>1</v>
      </c>
      <c r="BF43" s="231"/>
      <c r="BG43" s="232" t="s">
        <v>1229</v>
      </c>
      <c r="BH43" s="766">
        <v>1</v>
      </c>
      <c r="BI43" s="755">
        <v>2</v>
      </c>
      <c r="BJ43" s="755">
        <v>2</v>
      </c>
      <c r="BK43" s="755">
        <v>2</v>
      </c>
      <c r="BL43" s="755">
        <v>1</v>
      </c>
      <c r="BM43" s="231"/>
      <c r="BN43" s="232" t="s">
        <v>1229</v>
      </c>
      <c r="BO43" s="766">
        <v>1</v>
      </c>
      <c r="BP43" s="755">
        <v>3</v>
      </c>
      <c r="BQ43" s="755">
        <v>3</v>
      </c>
      <c r="BR43" s="755">
        <v>2</v>
      </c>
      <c r="BS43" s="755">
        <v>1</v>
      </c>
      <c r="BT43" s="231"/>
      <c r="BU43" s="232" t="s">
        <v>1229</v>
      </c>
      <c r="BV43" s="766">
        <v>1</v>
      </c>
      <c r="BW43" s="755">
        <v>4</v>
      </c>
      <c r="BX43" s="755">
        <v>3</v>
      </c>
      <c r="BY43" s="755">
        <v>2</v>
      </c>
      <c r="BZ43" s="755">
        <v>1</v>
      </c>
      <c r="CA43" s="231"/>
    </row>
    <row r="44" spans="1:79" ht="14.4" x14ac:dyDescent="0.35">
      <c r="A44" s="231"/>
      <c r="B44" s="232"/>
      <c r="C44" s="234"/>
      <c r="D44" s="233">
        <v>1</v>
      </c>
      <c r="E44" s="233">
        <v>2</v>
      </c>
      <c r="F44" s="233">
        <v>3</v>
      </c>
      <c r="G44" s="233">
        <v>4</v>
      </c>
      <c r="H44" s="231"/>
      <c r="I44" s="232"/>
      <c r="J44" s="234"/>
      <c r="K44" s="233">
        <v>1</v>
      </c>
      <c r="L44" s="233">
        <v>2</v>
      </c>
      <c r="M44" s="233">
        <v>3</v>
      </c>
      <c r="N44" s="233">
        <v>4</v>
      </c>
      <c r="O44" s="231"/>
      <c r="P44" s="232"/>
      <c r="Q44" s="234"/>
      <c r="R44" s="233">
        <v>1</v>
      </c>
      <c r="S44" s="233">
        <v>2</v>
      </c>
      <c r="T44" s="233">
        <v>3</v>
      </c>
      <c r="U44" s="233">
        <v>4</v>
      </c>
      <c r="V44" s="231"/>
      <c r="W44" s="232"/>
      <c r="X44" s="234"/>
      <c r="Y44" s="233">
        <v>1</v>
      </c>
      <c r="Z44" s="233">
        <v>2</v>
      </c>
      <c r="AA44" s="233">
        <v>3</v>
      </c>
      <c r="AB44" s="233">
        <v>4</v>
      </c>
      <c r="AC44" s="231"/>
      <c r="AY44" s="231"/>
      <c r="AZ44" s="232"/>
      <c r="BA44" s="234"/>
      <c r="BB44" s="766">
        <v>1</v>
      </c>
      <c r="BC44" s="766">
        <v>2</v>
      </c>
      <c r="BD44" s="766">
        <v>3</v>
      </c>
      <c r="BE44" s="766">
        <v>4</v>
      </c>
      <c r="BF44" s="231"/>
      <c r="BG44" s="232"/>
      <c r="BH44" s="234"/>
      <c r="BI44" s="766">
        <v>1</v>
      </c>
      <c r="BJ44" s="766">
        <v>2</v>
      </c>
      <c r="BK44" s="766">
        <v>3</v>
      </c>
      <c r="BL44" s="766">
        <v>4</v>
      </c>
      <c r="BM44" s="231"/>
      <c r="BN44" s="232"/>
      <c r="BO44" s="234"/>
      <c r="BP44" s="766">
        <v>1</v>
      </c>
      <c r="BQ44" s="766">
        <v>2</v>
      </c>
      <c r="BR44" s="766">
        <v>3</v>
      </c>
      <c r="BS44" s="766">
        <v>4</v>
      </c>
      <c r="BT44" s="231"/>
      <c r="BU44" s="232"/>
      <c r="BV44" s="234"/>
      <c r="BW44" s="766">
        <v>1</v>
      </c>
      <c r="BX44" s="766">
        <v>2</v>
      </c>
      <c r="BY44" s="766">
        <v>3</v>
      </c>
      <c r="BZ44" s="766">
        <v>4</v>
      </c>
      <c r="CA44" s="231"/>
    </row>
    <row r="45" spans="1:79" ht="12" customHeight="1" x14ac:dyDescent="0.35">
      <c r="A45" s="231"/>
      <c r="B45" s="231"/>
      <c r="C45" s="234"/>
      <c r="D45" s="233" t="s">
        <v>1230</v>
      </c>
      <c r="E45" s="233" t="s">
        <v>1231</v>
      </c>
      <c r="F45" s="233" t="s">
        <v>1232</v>
      </c>
      <c r="G45" s="233" t="s">
        <v>1232</v>
      </c>
      <c r="H45" s="231"/>
      <c r="I45" s="231"/>
      <c r="J45" s="234"/>
      <c r="K45" s="233" t="s">
        <v>1230</v>
      </c>
      <c r="L45" s="233" t="s">
        <v>1231</v>
      </c>
      <c r="M45" s="233" t="s">
        <v>1232</v>
      </c>
      <c r="N45" s="233" t="s">
        <v>1232</v>
      </c>
      <c r="O45" s="231"/>
      <c r="P45" s="231"/>
      <c r="Q45" s="234"/>
      <c r="R45" s="233" t="s">
        <v>1230</v>
      </c>
      <c r="S45" s="233" t="s">
        <v>1231</v>
      </c>
      <c r="T45" s="233" t="s">
        <v>1232</v>
      </c>
      <c r="U45" s="233" t="s">
        <v>1232</v>
      </c>
      <c r="V45" s="231"/>
      <c r="W45" s="231"/>
      <c r="X45" s="234"/>
      <c r="Y45" s="233" t="s">
        <v>1230</v>
      </c>
      <c r="Z45" s="233" t="s">
        <v>1231</v>
      </c>
      <c r="AA45" s="233" t="s">
        <v>1232</v>
      </c>
      <c r="AB45" s="233" t="s">
        <v>1232</v>
      </c>
      <c r="AC45" s="231"/>
      <c r="AE45" s="1119"/>
      <c r="AF45" s="1119"/>
      <c r="AG45" s="1119"/>
      <c r="AH45" s="1119"/>
      <c r="AY45" s="231"/>
      <c r="AZ45" s="231"/>
      <c r="BA45" s="234"/>
      <c r="BB45" s="766" t="s">
        <v>1230</v>
      </c>
      <c r="BC45" s="766" t="s">
        <v>1231</v>
      </c>
      <c r="BD45" s="766" t="s">
        <v>1232</v>
      </c>
      <c r="BE45" s="766" t="s">
        <v>1232</v>
      </c>
      <c r="BF45" s="231"/>
      <c r="BG45" s="231"/>
      <c r="BH45" s="234"/>
      <c r="BI45" s="766" t="s">
        <v>1230</v>
      </c>
      <c r="BJ45" s="766" t="s">
        <v>1231</v>
      </c>
      <c r="BK45" s="766" t="s">
        <v>1232</v>
      </c>
      <c r="BL45" s="766" t="s">
        <v>1232</v>
      </c>
      <c r="BM45" s="231"/>
      <c r="BN45" s="231"/>
      <c r="BO45" s="234"/>
      <c r="BP45" s="766" t="s">
        <v>1230</v>
      </c>
      <c r="BQ45" s="766" t="s">
        <v>1231</v>
      </c>
      <c r="BR45" s="766" t="s">
        <v>1232</v>
      </c>
      <c r="BS45" s="766" t="s">
        <v>1232</v>
      </c>
      <c r="BT45" s="231"/>
      <c r="BU45" s="231"/>
      <c r="BV45" s="234"/>
      <c r="BW45" s="766" t="s">
        <v>1230</v>
      </c>
      <c r="BX45" s="766" t="s">
        <v>1231</v>
      </c>
      <c r="BY45" s="766" t="s">
        <v>1232</v>
      </c>
      <c r="BZ45" s="766" t="s">
        <v>1232</v>
      </c>
      <c r="CA45" s="231"/>
    </row>
    <row r="46" spans="1:79" ht="8.25" customHeight="1" x14ac:dyDescent="0.4">
      <c r="AE46" s="240"/>
      <c r="AF46" s="240"/>
      <c r="AG46" s="240"/>
      <c r="AH46" s="241"/>
    </row>
    <row r="47" spans="1:79" ht="1.5" customHeight="1" x14ac:dyDescent="0.4">
      <c r="AE47" s="240"/>
      <c r="AF47" s="240"/>
      <c r="AG47" s="240"/>
      <c r="AH47" s="241"/>
      <c r="AI47" s="239"/>
      <c r="AJ47" s="239"/>
      <c r="AK47" s="239"/>
      <c r="AL47" s="239"/>
      <c r="AM47" s="239"/>
      <c r="AN47" s="239"/>
      <c r="AO47" s="239"/>
      <c r="AP47" s="239"/>
      <c r="AQ47" s="239"/>
    </row>
    <row r="48" spans="1:79" ht="21" x14ac:dyDescent="0.5">
      <c r="A48" s="228" t="s">
        <v>1236</v>
      </c>
      <c r="B48" s="229"/>
      <c r="AE48" s="240"/>
      <c r="AF48" s="240"/>
      <c r="AG48" s="240"/>
      <c r="AH48" s="241"/>
      <c r="AY48" s="228" t="s">
        <v>1236</v>
      </c>
      <c r="AZ48" s="229"/>
    </row>
    <row r="49" spans="1:79" x14ac:dyDescent="0.4">
      <c r="B49" s="229"/>
      <c r="AE49" s="240"/>
      <c r="AF49" s="240"/>
      <c r="AG49" s="240"/>
      <c r="AH49" s="241"/>
      <c r="AZ49" s="229"/>
    </row>
    <row r="50" spans="1:79" ht="19.8" x14ac:dyDescent="0.5">
      <c r="A50" s="230" t="s">
        <v>1237</v>
      </c>
      <c r="B50" s="229"/>
      <c r="AE50" s="240"/>
      <c r="AF50" s="240"/>
      <c r="AG50" s="240"/>
      <c r="AH50" s="241"/>
      <c r="AY50" s="230" t="s">
        <v>1237</v>
      </c>
      <c r="AZ50" s="229"/>
    </row>
    <row r="51" spans="1:79" ht="3" customHeight="1" x14ac:dyDescent="0.4">
      <c r="B51" s="229"/>
      <c r="AE51" s="240"/>
      <c r="AF51" s="240"/>
      <c r="AG51" s="240"/>
      <c r="AH51" s="241"/>
      <c r="AZ51" s="229"/>
    </row>
    <row r="52" spans="1:79" ht="14.4" x14ac:dyDescent="0.35">
      <c r="A52" s="231"/>
      <c r="B52" s="234"/>
      <c r="C52" s="1118" t="s">
        <v>1238</v>
      </c>
      <c r="D52" s="1118"/>
      <c r="E52" s="1118"/>
      <c r="F52" s="1118"/>
      <c r="G52" s="1118"/>
      <c r="H52" s="231"/>
      <c r="I52" s="231"/>
      <c r="J52" s="1118" t="s">
        <v>1239</v>
      </c>
      <c r="K52" s="1118"/>
      <c r="L52" s="1118"/>
      <c r="M52" s="1118"/>
      <c r="N52" s="1118"/>
      <c r="O52" s="231"/>
      <c r="P52" s="231"/>
      <c r="Q52" s="1118" t="s">
        <v>1240</v>
      </c>
      <c r="R52" s="1118"/>
      <c r="S52" s="1118"/>
      <c r="T52" s="1118"/>
      <c r="U52" s="1118"/>
      <c r="V52" s="231"/>
      <c r="W52" s="231"/>
      <c r="X52" s="1118" t="s">
        <v>1241</v>
      </c>
      <c r="Y52" s="1118"/>
      <c r="Z52" s="1118"/>
      <c r="AA52" s="1118"/>
      <c r="AB52" s="1118"/>
      <c r="AC52" s="231"/>
      <c r="AE52" s="240"/>
      <c r="AF52" s="240"/>
      <c r="AG52" s="240"/>
      <c r="AH52" s="241"/>
      <c r="AY52" s="231"/>
      <c r="AZ52" s="234"/>
      <c r="BA52" s="1118" t="s">
        <v>1238</v>
      </c>
      <c r="BB52" s="1118"/>
      <c r="BC52" s="1118"/>
      <c r="BD52" s="1118"/>
      <c r="BE52" s="1118"/>
      <c r="BF52" s="231"/>
      <c r="BG52" s="231"/>
      <c r="BH52" s="1118" t="s">
        <v>1239</v>
      </c>
      <c r="BI52" s="1118"/>
      <c r="BJ52" s="1118"/>
      <c r="BK52" s="1118"/>
      <c r="BL52" s="1118"/>
      <c r="BM52" s="231"/>
      <c r="BN52" s="231"/>
      <c r="BO52" s="1118" t="s">
        <v>1240</v>
      </c>
      <c r="BP52" s="1118"/>
      <c r="BQ52" s="1118"/>
      <c r="BR52" s="1118"/>
      <c r="BS52" s="1118"/>
      <c r="BT52" s="231"/>
      <c r="BU52" s="231"/>
      <c r="BV52" s="1118" t="s">
        <v>1241</v>
      </c>
      <c r="BW52" s="1118"/>
      <c r="BX52" s="1118"/>
      <c r="BY52" s="1118"/>
      <c r="BZ52" s="1118"/>
      <c r="CA52" s="231"/>
    </row>
    <row r="53" spans="1:79" ht="3" customHeight="1" x14ac:dyDescent="0.4">
      <c r="B53" s="229"/>
      <c r="J53" s="229"/>
      <c r="K53" s="229"/>
      <c r="L53" s="229"/>
      <c r="M53" s="229"/>
      <c r="N53" s="229"/>
      <c r="Q53" s="229"/>
      <c r="R53" s="229"/>
      <c r="S53" s="229"/>
      <c r="T53" s="229"/>
      <c r="U53" s="229"/>
      <c r="X53" s="229"/>
      <c r="Y53" s="229"/>
      <c r="Z53" s="229"/>
      <c r="AA53" s="229"/>
      <c r="AB53" s="229"/>
      <c r="AE53" s="240"/>
      <c r="AF53" s="240"/>
      <c r="AG53" s="240"/>
      <c r="AH53" s="241"/>
      <c r="AZ53" s="229"/>
      <c r="BH53" s="229"/>
      <c r="BI53" s="229"/>
      <c r="BJ53" s="229"/>
      <c r="BK53" s="229"/>
      <c r="BL53" s="229"/>
      <c r="BO53" s="229"/>
      <c r="BP53" s="229"/>
      <c r="BQ53" s="229"/>
      <c r="BR53" s="229"/>
      <c r="BS53" s="229"/>
      <c r="BV53" s="229"/>
      <c r="BW53" s="229"/>
      <c r="BX53" s="229"/>
      <c r="BY53" s="229"/>
      <c r="BZ53" s="229"/>
    </row>
    <row r="54" spans="1:79" ht="14.4" x14ac:dyDescent="0.35">
      <c r="A54" s="231"/>
      <c r="B54" s="233" t="s">
        <v>76</v>
      </c>
      <c r="C54" s="233"/>
      <c r="D54" s="755"/>
      <c r="E54" s="755"/>
      <c r="F54" s="755"/>
      <c r="G54" s="755"/>
      <c r="H54" s="231"/>
      <c r="I54" s="233" t="s">
        <v>76</v>
      </c>
      <c r="J54" s="233"/>
      <c r="K54" s="755"/>
      <c r="L54" s="755"/>
      <c r="M54" s="755"/>
      <c r="N54" s="755"/>
      <c r="O54" s="231"/>
      <c r="P54" s="233" t="s">
        <v>76</v>
      </c>
      <c r="Q54" s="233"/>
      <c r="R54" s="755"/>
      <c r="S54" s="755"/>
      <c r="T54" s="755"/>
      <c r="U54" s="755"/>
      <c r="V54" s="231"/>
      <c r="W54" s="233" t="s">
        <v>76</v>
      </c>
      <c r="X54" s="233"/>
      <c r="Y54" s="755"/>
      <c r="Z54" s="755"/>
      <c r="AA54" s="755"/>
      <c r="AB54" s="755"/>
      <c r="AC54" s="231"/>
      <c r="AE54" s="240"/>
      <c r="AF54" s="240"/>
      <c r="AG54" s="240"/>
      <c r="AH54" s="241"/>
      <c r="AY54" s="231"/>
      <c r="AZ54" s="766" t="s">
        <v>76</v>
      </c>
      <c r="BA54" s="766"/>
      <c r="BB54" s="755"/>
      <c r="BC54" s="755"/>
      <c r="BD54" s="755"/>
      <c r="BE54" s="755"/>
      <c r="BF54" s="231"/>
      <c r="BG54" s="766" t="s">
        <v>76</v>
      </c>
      <c r="BH54" s="766"/>
      <c r="BI54" s="755"/>
      <c r="BJ54" s="755"/>
      <c r="BK54" s="755"/>
      <c r="BL54" s="755"/>
      <c r="BM54" s="231"/>
      <c r="BN54" s="766" t="s">
        <v>76</v>
      </c>
      <c r="BO54" s="766"/>
      <c r="BP54" s="755"/>
      <c r="BQ54" s="755"/>
      <c r="BR54" s="755"/>
      <c r="BS54" s="755"/>
      <c r="BT54" s="231"/>
      <c r="BU54" s="766" t="s">
        <v>76</v>
      </c>
      <c r="BV54" s="766"/>
      <c r="BW54" s="755"/>
      <c r="BX54" s="755"/>
      <c r="BY54" s="755"/>
      <c r="BZ54" s="755"/>
      <c r="CA54" s="231"/>
    </row>
    <row r="55" spans="1:79" ht="14.4" x14ac:dyDescent="0.35">
      <c r="A55" s="231"/>
      <c r="B55" s="233" t="s">
        <v>23</v>
      </c>
      <c r="C55" s="233"/>
      <c r="D55" s="755"/>
      <c r="E55" s="755"/>
      <c r="F55" s="755"/>
      <c r="G55" s="755"/>
      <c r="H55" s="231"/>
      <c r="I55" s="233" t="s">
        <v>23</v>
      </c>
      <c r="J55" s="233"/>
      <c r="K55" s="755"/>
      <c r="L55" s="755"/>
      <c r="M55" s="755"/>
      <c r="N55" s="755"/>
      <c r="O55" s="231"/>
      <c r="P55" s="233" t="s">
        <v>23</v>
      </c>
      <c r="Q55" s="233"/>
      <c r="R55" s="755"/>
      <c r="S55" s="755"/>
      <c r="T55" s="755"/>
      <c r="U55" s="755"/>
      <c r="V55" s="231"/>
      <c r="W55" s="233" t="s">
        <v>23</v>
      </c>
      <c r="X55" s="233"/>
      <c r="Y55" s="755"/>
      <c r="Z55" s="755"/>
      <c r="AA55" s="755"/>
      <c r="AB55" s="755"/>
      <c r="AC55" s="231"/>
      <c r="AE55" s="240"/>
      <c r="AF55" s="240"/>
      <c r="AG55" s="240"/>
      <c r="AH55" s="241"/>
      <c r="AY55" s="231"/>
      <c r="AZ55" s="766" t="s">
        <v>23</v>
      </c>
      <c r="BA55" s="766"/>
      <c r="BB55" s="755"/>
      <c r="BC55" s="755"/>
      <c r="BD55" s="755"/>
      <c r="BE55" s="755"/>
      <c r="BF55" s="231"/>
      <c r="BG55" s="766" t="s">
        <v>23</v>
      </c>
      <c r="BH55" s="766"/>
      <c r="BI55" s="755"/>
      <c r="BJ55" s="755"/>
      <c r="BK55" s="755"/>
      <c r="BL55" s="755"/>
      <c r="BM55" s="231"/>
      <c r="BN55" s="766" t="s">
        <v>23</v>
      </c>
      <c r="BO55" s="766"/>
      <c r="BP55" s="755"/>
      <c r="BQ55" s="755"/>
      <c r="BR55" s="755"/>
      <c r="BS55" s="755"/>
      <c r="BT55" s="231"/>
      <c r="BU55" s="766" t="s">
        <v>23</v>
      </c>
      <c r="BV55" s="766"/>
      <c r="BW55" s="755"/>
      <c r="BX55" s="755"/>
      <c r="BY55" s="755"/>
      <c r="BZ55" s="755"/>
      <c r="CA55" s="231"/>
    </row>
    <row r="56" spans="1:79" ht="14.4" x14ac:dyDescent="0.35">
      <c r="A56" s="231"/>
      <c r="B56" s="233" t="s">
        <v>1242</v>
      </c>
      <c r="C56" s="233"/>
      <c r="D56" s="755"/>
      <c r="E56" s="755"/>
      <c r="F56" s="755"/>
      <c r="G56" s="755"/>
      <c r="H56" s="231"/>
      <c r="I56" s="233" t="s">
        <v>1242</v>
      </c>
      <c r="J56" s="233"/>
      <c r="K56" s="755"/>
      <c r="L56" s="755"/>
      <c r="M56" s="755"/>
      <c r="N56" s="755"/>
      <c r="O56" s="231"/>
      <c r="P56" s="233" t="s">
        <v>1242</v>
      </c>
      <c r="Q56" s="233"/>
      <c r="R56" s="755"/>
      <c r="S56" s="755"/>
      <c r="T56" s="755"/>
      <c r="U56" s="755"/>
      <c r="V56" s="231"/>
      <c r="W56" s="233" t="s">
        <v>1242</v>
      </c>
      <c r="X56" s="233"/>
      <c r="Y56" s="755"/>
      <c r="Z56" s="755"/>
      <c r="AA56" s="755"/>
      <c r="AB56" s="755"/>
      <c r="AC56" s="231"/>
      <c r="AE56" s="240"/>
      <c r="AF56" s="240"/>
      <c r="AG56" s="240"/>
      <c r="AH56" s="241"/>
      <c r="AY56" s="231"/>
      <c r="AZ56" s="766" t="s">
        <v>1242</v>
      </c>
      <c r="BA56" s="766"/>
      <c r="BB56" s="755"/>
      <c r="BC56" s="755"/>
      <c r="BD56" s="755"/>
      <c r="BE56" s="755"/>
      <c r="BF56" s="231"/>
      <c r="BG56" s="766" t="s">
        <v>1242</v>
      </c>
      <c r="BH56" s="766"/>
      <c r="BI56" s="755"/>
      <c r="BJ56" s="755"/>
      <c r="BK56" s="755"/>
      <c r="BL56" s="755"/>
      <c r="BM56" s="231"/>
      <c r="BN56" s="766" t="s">
        <v>1242</v>
      </c>
      <c r="BO56" s="766"/>
      <c r="BP56" s="755"/>
      <c r="BQ56" s="755"/>
      <c r="BR56" s="755"/>
      <c r="BS56" s="755"/>
      <c r="BT56" s="231"/>
      <c r="BU56" s="766" t="s">
        <v>1242</v>
      </c>
      <c r="BV56" s="766"/>
      <c r="BW56" s="755"/>
      <c r="BX56" s="755"/>
      <c r="BY56" s="755"/>
      <c r="BZ56" s="755"/>
      <c r="CA56" s="231"/>
    </row>
    <row r="57" spans="1:79" ht="14.4" x14ac:dyDescent="0.35">
      <c r="A57" s="231"/>
      <c r="B57" s="233" t="s">
        <v>1242</v>
      </c>
      <c r="C57" s="233">
        <v>1</v>
      </c>
      <c r="D57" s="755">
        <v>1</v>
      </c>
      <c r="E57" s="755">
        <v>1</v>
      </c>
      <c r="F57" s="755">
        <v>1</v>
      </c>
      <c r="G57" s="755">
        <v>1</v>
      </c>
      <c r="H57" s="231"/>
      <c r="I57" s="233" t="s">
        <v>1242</v>
      </c>
      <c r="J57" s="233">
        <v>1</v>
      </c>
      <c r="K57" s="755">
        <v>2</v>
      </c>
      <c r="L57" s="755">
        <v>2</v>
      </c>
      <c r="M57" s="755">
        <v>2</v>
      </c>
      <c r="N57" s="755">
        <v>1</v>
      </c>
      <c r="O57" s="231"/>
      <c r="P57" s="233" t="s">
        <v>1242</v>
      </c>
      <c r="Q57" s="233">
        <v>1</v>
      </c>
      <c r="R57" s="755">
        <v>3</v>
      </c>
      <c r="S57" s="755">
        <v>3</v>
      </c>
      <c r="T57" s="755">
        <v>2</v>
      </c>
      <c r="U57" s="755">
        <v>1</v>
      </c>
      <c r="V57" s="231"/>
      <c r="W57" s="233" t="s">
        <v>1242</v>
      </c>
      <c r="X57" s="233">
        <v>1</v>
      </c>
      <c r="Y57" s="755">
        <v>4</v>
      </c>
      <c r="Z57" s="755">
        <v>4</v>
      </c>
      <c r="AA57" s="755">
        <v>2</v>
      </c>
      <c r="AB57" s="755">
        <v>1</v>
      </c>
      <c r="AC57" s="231"/>
      <c r="AE57" s="240"/>
      <c r="AF57" s="240"/>
      <c r="AG57" s="240"/>
      <c r="AH57" s="242"/>
      <c r="AY57" s="231"/>
      <c r="AZ57" s="766" t="s">
        <v>1242</v>
      </c>
      <c r="BA57" s="766">
        <v>1</v>
      </c>
      <c r="BB57" s="755">
        <v>1</v>
      </c>
      <c r="BC57" s="755">
        <v>1</v>
      </c>
      <c r="BD57" s="755">
        <v>1</v>
      </c>
      <c r="BE57" s="755">
        <v>1</v>
      </c>
      <c r="BF57" s="231"/>
      <c r="BG57" s="766" t="s">
        <v>1242</v>
      </c>
      <c r="BH57" s="766">
        <v>1</v>
      </c>
      <c r="BI57" s="755">
        <v>2</v>
      </c>
      <c r="BJ57" s="755">
        <v>2</v>
      </c>
      <c r="BK57" s="755">
        <v>2</v>
      </c>
      <c r="BL57" s="755">
        <v>1</v>
      </c>
      <c r="BM57" s="231"/>
      <c r="BN57" s="766" t="s">
        <v>1242</v>
      </c>
      <c r="BO57" s="766">
        <v>1</v>
      </c>
      <c r="BP57" s="755">
        <v>3</v>
      </c>
      <c r="BQ57" s="755">
        <v>3</v>
      </c>
      <c r="BR57" s="755">
        <v>2</v>
      </c>
      <c r="BS57" s="755">
        <v>1</v>
      </c>
      <c r="BT57" s="231"/>
      <c r="BU57" s="766" t="s">
        <v>1242</v>
      </c>
      <c r="BV57" s="766">
        <v>1</v>
      </c>
      <c r="BW57" s="755">
        <v>4</v>
      </c>
      <c r="BX57" s="755">
        <v>4</v>
      </c>
      <c r="BY57" s="755">
        <v>2</v>
      </c>
      <c r="BZ57" s="755">
        <v>1</v>
      </c>
      <c r="CA57" s="231"/>
    </row>
    <row r="58" spans="1:79" ht="14.4" x14ac:dyDescent="0.35">
      <c r="A58" s="231"/>
      <c r="B58" s="234"/>
      <c r="C58" s="234"/>
      <c r="D58" s="233">
        <v>1</v>
      </c>
      <c r="E58" s="233">
        <v>2</v>
      </c>
      <c r="F58" s="233">
        <v>3</v>
      </c>
      <c r="G58" s="233">
        <v>4</v>
      </c>
      <c r="H58" s="231"/>
      <c r="I58" s="231"/>
      <c r="J58" s="234"/>
      <c r="K58" s="233">
        <v>1</v>
      </c>
      <c r="L58" s="233">
        <v>2</v>
      </c>
      <c r="M58" s="233">
        <v>3</v>
      </c>
      <c r="N58" s="233">
        <v>4</v>
      </c>
      <c r="O58" s="231"/>
      <c r="P58" s="231"/>
      <c r="Q58" s="234"/>
      <c r="R58" s="233">
        <v>1</v>
      </c>
      <c r="S58" s="233">
        <v>2</v>
      </c>
      <c r="T58" s="233">
        <v>3</v>
      </c>
      <c r="U58" s="233">
        <v>4</v>
      </c>
      <c r="V58" s="231"/>
      <c r="W58" s="231"/>
      <c r="X58" s="234"/>
      <c r="Y58" s="233">
        <v>1</v>
      </c>
      <c r="Z58" s="233">
        <v>2</v>
      </c>
      <c r="AA58" s="233">
        <v>3</v>
      </c>
      <c r="AB58" s="233">
        <v>4</v>
      </c>
      <c r="AC58" s="231"/>
      <c r="AE58" s="240"/>
      <c r="AF58" s="240"/>
      <c r="AG58" s="240"/>
      <c r="AH58" s="242"/>
      <c r="AY58" s="231"/>
      <c r="AZ58" s="234"/>
      <c r="BA58" s="234"/>
      <c r="BB58" s="766">
        <v>1</v>
      </c>
      <c r="BC58" s="766">
        <v>2</v>
      </c>
      <c r="BD58" s="766">
        <v>3</v>
      </c>
      <c r="BE58" s="766">
        <v>4</v>
      </c>
      <c r="BF58" s="231"/>
      <c r="BG58" s="231"/>
      <c r="BH58" s="234"/>
      <c r="BI58" s="766">
        <v>1</v>
      </c>
      <c r="BJ58" s="766">
        <v>2</v>
      </c>
      <c r="BK58" s="766">
        <v>3</v>
      </c>
      <c r="BL58" s="766">
        <v>4</v>
      </c>
      <c r="BM58" s="231"/>
      <c r="BN58" s="231"/>
      <c r="BO58" s="234"/>
      <c r="BP58" s="766">
        <v>1</v>
      </c>
      <c r="BQ58" s="766">
        <v>2</v>
      </c>
      <c r="BR58" s="766">
        <v>3</v>
      </c>
      <c r="BS58" s="766">
        <v>4</v>
      </c>
      <c r="BT58" s="231"/>
      <c r="BU58" s="231"/>
      <c r="BV58" s="234"/>
      <c r="BW58" s="766">
        <v>1</v>
      </c>
      <c r="BX58" s="766">
        <v>2</v>
      </c>
      <c r="BY58" s="766">
        <v>3</v>
      </c>
      <c r="BZ58" s="766">
        <v>4</v>
      </c>
      <c r="CA58" s="231"/>
    </row>
    <row r="59" spans="1:79" ht="14.4" x14ac:dyDescent="0.35">
      <c r="A59" s="231"/>
      <c r="B59" s="234"/>
      <c r="C59" s="234"/>
      <c r="D59" s="233" t="s">
        <v>1230</v>
      </c>
      <c r="E59" s="233" t="s">
        <v>1243</v>
      </c>
      <c r="F59" s="233" t="s">
        <v>41</v>
      </c>
      <c r="G59" s="233" t="s">
        <v>1244</v>
      </c>
      <c r="H59" s="231"/>
      <c r="I59" s="231"/>
      <c r="J59" s="234"/>
      <c r="K59" s="233" t="s">
        <v>1230</v>
      </c>
      <c r="L59" s="233" t="s">
        <v>1243</v>
      </c>
      <c r="M59" s="233" t="s">
        <v>41</v>
      </c>
      <c r="N59" s="233" t="s">
        <v>1244</v>
      </c>
      <c r="O59" s="231"/>
      <c r="P59" s="231"/>
      <c r="Q59" s="234"/>
      <c r="R59" s="233" t="s">
        <v>1230</v>
      </c>
      <c r="S59" s="233" t="s">
        <v>1243</v>
      </c>
      <c r="T59" s="233" t="s">
        <v>41</v>
      </c>
      <c r="U59" s="233" t="s">
        <v>1244</v>
      </c>
      <c r="V59" s="231"/>
      <c r="W59" s="231"/>
      <c r="X59" s="234"/>
      <c r="Y59" s="233" t="s">
        <v>1230</v>
      </c>
      <c r="Z59" s="233" t="s">
        <v>1243</v>
      </c>
      <c r="AA59" s="233" t="s">
        <v>41</v>
      </c>
      <c r="AB59" s="233" t="s">
        <v>1244</v>
      </c>
      <c r="AC59" s="231"/>
      <c r="AE59" s="240"/>
      <c r="AF59" s="240"/>
      <c r="AG59" s="240"/>
      <c r="AH59" s="242"/>
      <c r="AY59" s="231"/>
      <c r="AZ59" s="234"/>
      <c r="BA59" s="234"/>
      <c r="BB59" s="766" t="s">
        <v>1230</v>
      </c>
      <c r="BC59" s="766" t="s">
        <v>1243</v>
      </c>
      <c r="BD59" s="766" t="s">
        <v>41</v>
      </c>
      <c r="BE59" s="766" t="s">
        <v>1244</v>
      </c>
      <c r="BF59" s="231"/>
      <c r="BG59" s="231"/>
      <c r="BH59" s="234"/>
      <c r="BI59" s="766" t="s">
        <v>1230</v>
      </c>
      <c r="BJ59" s="766" t="s">
        <v>1243</v>
      </c>
      <c r="BK59" s="766" t="s">
        <v>41</v>
      </c>
      <c r="BL59" s="766" t="s">
        <v>1244</v>
      </c>
      <c r="BM59" s="231"/>
      <c r="BN59" s="231"/>
      <c r="BO59" s="234"/>
      <c r="BP59" s="766" t="s">
        <v>1230</v>
      </c>
      <c r="BQ59" s="766" t="s">
        <v>1243</v>
      </c>
      <c r="BR59" s="766" t="s">
        <v>41</v>
      </c>
      <c r="BS59" s="766" t="s">
        <v>1244</v>
      </c>
      <c r="BT59" s="231"/>
      <c r="BU59" s="231"/>
      <c r="BV59" s="234"/>
      <c r="BW59" s="766" t="s">
        <v>1230</v>
      </c>
      <c r="BX59" s="766" t="s">
        <v>1243</v>
      </c>
      <c r="BY59" s="766" t="s">
        <v>41</v>
      </c>
      <c r="BZ59" s="766" t="s">
        <v>1244</v>
      </c>
      <c r="CA59" s="231"/>
    </row>
    <row r="60" spans="1:79" x14ac:dyDescent="0.4">
      <c r="B60" s="229"/>
      <c r="AE60" s="240"/>
      <c r="AF60" s="240"/>
      <c r="AG60" s="240"/>
      <c r="AH60" s="242"/>
      <c r="AZ60" s="229"/>
    </row>
    <row r="61" spans="1:79" ht="19.8" x14ac:dyDescent="0.5">
      <c r="A61" s="230" t="s">
        <v>1245</v>
      </c>
      <c r="B61" s="229"/>
      <c r="AE61" s="240"/>
      <c r="AF61" s="240"/>
      <c r="AG61" s="240"/>
      <c r="AH61" s="242"/>
      <c r="AY61" s="230" t="s">
        <v>1245</v>
      </c>
      <c r="AZ61" s="229"/>
    </row>
    <row r="62" spans="1:79" ht="3" customHeight="1" x14ac:dyDescent="0.4">
      <c r="B62" s="229"/>
      <c r="AE62" s="240"/>
      <c r="AF62" s="240"/>
      <c r="AG62" s="240"/>
      <c r="AH62" s="241"/>
      <c r="AZ62" s="229"/>
    </row>
    <row r="63" spans="1:79" ht="14.4" x14ac:dyDescent="0.35">
      <c r="A63" s="231"/>
      <c r="B63" s="234"/>
      <c r="C63" s="1118" t="s">
        <v>1238</v>
      </c>
      <c r="D63" s="1118"/>
      <c r="E63" s="1118"/>
      <c r="F63" s="1118"/>
      <c r="G63" s="1118"/>
      <c r="H63" s="231"/>
      <c r="I63" s="231"/>
      <c r="J63" s="1118" t="s">
        <v>1239</v>
      </c>
      <c r="K63" s="1118"/>
      <c r="L63" s="1118"/>
      <c r="M63" s="1118"/>
      <c r="N63" s="1118"/>
      <c r="O63" s="231"/>
      <c r="P63" s="231"/>
      <c r="Q63" s="1118" t="s">
        <v>1240</v>
      </c>
      <c r="R63" s="1118"/>
      <c r="S63" s="1118"/>
      <c r="T63" s="1118"/>
      <c r="U63" s="1118"/>
      <c r="V63" s="231"/>
      <c r="W63" s="231"/>
      <c r="X63" s="1118" t="s">
        <v>1241</v>
      </c>
      <c r="Y63" s="1118"/>
      <c r="Z63" s="1118"/>
      <c r="AA63" s="1118"/>
      <c r="AB63" s="1118"/>
      <c r="AC63" s="231"/>
      <c r="AE63" s="240"/>
      <c r="AF63" s="240"/>
      <c r="AG63" s="240"/>
      <c r="AH63" s="241"/>
      <c r="AY63" s="231"/>
      <c r="AZ63" s="234"/>
      <c r="BA63" s="1118" t="s">
        <v>1238</v>
      </c>
      <c r="BB63" s="1118"/>
      <c r="BC63" s="1118"/>
      <c r="BD63" s="1118"/>
      <c r="BE63" s="1118"/>
      <c r="BF63" s="231"/>
      <c r="BG63" s="231"/>
      <c r="BH63" s="1118" t="s">
        <v>1239</v>
      </c>
      <c r="BI63" s="1118"/>
      <c r="BJ63" s="1118"/>
      <c r="BK63" s="1118"/>
      <c r="BL63" s="1118"/>
      <c r="BM63" s="231"/>
      <c r="BN63" s="231"/>
      <c r="BO63" s="1118" t="s">
        <v>1240</v>
      </c>
      <c r="BP63" s="1118"/>
      <c r="BQ63" s="1118"/>
      <c r="BR63" s="1118"/>
      <c r="BS63" s="1118"/>
      <c r="BT63" s="231"/>
      <c r="BU63" s="231"/>
      <c r="BV63" s="1118" t="s">
        <v>1241</v>
      </c>
      <c r="BW63" s="1118"/>
      <c r="BX63" s="1118"/>
      <c r="BY63" s="1118"/>
      <c r="BZ63" s="1118"/>
      <c r="CA63" s="231"/>
    </row>
    <row r="64" spans="1:79" ht="3" customHeight="1" x14ac:dyDescent="0.4">
      <c r="B64" s="229"/>
      <c r="J64" s="229"/>
      <c r="K64" s="229"/>
      <c r="L64" s="229"/>
      <c r="M64" s="229"/>
      <c r="N64" s="229"/>
      <c r="Q64" s="229"/>
      <c r="R64" s="229"/>
      <c r="S64" s="229"/>
      <c r="T64" s="229"/>
      <c r="U64" s="229"/>
      <c r="X64" s="229"/>
      <c r="Y64" s="229"/>
      <c r="Z64" s="229"/>
      <c r="AA64" s="229"/>
      <c r="AB64" s="229"/>
      <c r="AE64" s="240"/>
      <c r="AF64" s="240"/>
      <c r="AG64" s="240"/>
      <c r="AH64" s="242"/>
      <c r="AZ64" s="229"/>
      <c r="BH64" s="229"/>
      <c r="BI64" s="229"/>
      <c r="BJ64" s="229"/>
      <c r="BK64" s="229"/>
      <c r="BL64" s="229"/>
      <c r="BO64" s="229"/>
      <c r="BP64" s="229"/>
      <c r="BQ64" s="229"/>
      <c r="BR64" s="229"/>
      <c r="BS64" s="229"/>
      <c r="BV64" s="229"/>
      <c r="BW64" s="229"/>
      <c r="BX64" s="229"/>
      <c r="BY64" s="229"/>
      <c r="BZ64" s="229"/>
    </row>
    <row r="65" spans="1:79" ht="14.4" x14ac:dyDescent="0.35">
      <c r="A65" s="231"/>
      <c r="B65" s="233" t="s">
        <v>76</v>
      </c>
      <c r="C65" s="233"/>
      <c r="D65" s="755"/>
      <c r="E65" s="755"/>
      <c r="F65" s="755"/>
      <c r="G65" s="755"/>
      <c r="H65" s="231"/>
      <c r="I65" s="233" t="s">
        <v>76</v>
      </c>
      <c r="J65" s="233"/>
      <c r="K65" s="755"/>
      <c r="L65" s="755"/>
      <c r="M65" s="755"/>
      <c r="N65" s="755"/>
      <c r="O65" s="231"/>
      <c r="P65" s="233" t="s">
        <v>76</v>
      </c>
      <c r="Q65" s="233"/>
      <c r="R65" s="755"/>
      <c r="S65" s="755"/>
      <c r="T65" s="755"/>
      <c r="U65" s="755"/>
      <c r="V65" s="231"/>
      <c r="W65" s="233" t="s">
        <v>76</v>
      </c>
      <c r="X65" s="233"/>
      <c r="Y65" s="755"/>
      <c r="Z65" s="755"/>
      <c r="AA65" s="755"/>
      <c r="AB65" s="755"/>
      <c r="AC65" s="231"/>
      <c r="AE65" s="240"/>
      <c r="AF65" s="240"/>
      <c r="AG65" s="240"/>
      <c r="AH65" s="242"/>
      <c r="AY65" s="231"/>
      <c r="AZ65" s="766" t="s">
        <v>76</v>
      </c>
      <c r="BA65" s="766"/>
      <c r="BB65" s="755"/>
      <c r="BC65" s="755"/>
      <c r="BD65" s="755"/>
      <c r="BE65" s="755"/>
      <c r="BF65" s="231"/>
      <c r="BG65" s="766" t="s">
        <v>76</v>
      </c>
      <c r="BH65" s="766"/>
      <c r="BI65" s="755"/>
      <c r="BJ65" s="755"/>
      <c r="BK65" s="755"/>
      <c r="BL65" s="755"/>
      <c r="BM65" s="231"/>
      <c r="BN65" s="766" t="s">
        <v>76</v>
      </c>
      <c r="BO65" s="766"/>
      <c r="BP65" s="755"/>
      <c r="BQ65" s="755"/>
      <c r="BR65" s="755"/>
      <c r="BS65" s="755"/>
      <c r="BT65" s="231"/>
      <c r="BU65" s="766" t="s">
        <v>76</v>
      </c>
      <c r="BV65" s="766"/>
      <c r="BW65" s="755"/>
      <c r="BX65" s="755"/>
      <c r="BY65" s="755"/>
      <c r="BZ65" s="755"/>
      <c r="CA65" s="231"/>
    </row>
    <row r="66" spans="1:79" ht="14.4" x14ac:dyDescent="0.35">
      <c r="A66" s="231"/>
      <c r="B66" s="233" t="s">
        <v>23</v>
      </c>
      <c r="C66" s="233"/>
      <c r="D66" s="755"/>
      <c r="E66" s="755"/>
      <c r="F66" s="755"/>
      <c r="G66" s="755"/>
      <c r="H66" s="231"/>
      <c r="I66" s="233" t="s">
        <v>23</v>
      </c>
      <c r="J66" s="233"/>
      <c r="K66" s="755"/>
      <c r="L66" s="755"/>
      <c r="M66" s="755"/>
      <c r="N66" s="755"/>
      <c r="O66" s="231"/>
      <c r="P66" s="233" t="s">
        <v>23</v>
      </c>
      <c r="Q66" s="233"/>
      <c r="R66" s="755"/>
      <c r="S66" s="755"/>
      <c r="T66" s="755"/>
      <c r="U66" s="755"/>
      <c r="V66" s="231"/>
      <c r="W66" s="233" t="s">
        <v>23</v>
      </c>
      <c r="X66" s="233"/>
      <c r="Y66" s="755"/>
      <c r="Z66" s="755"/>
      <c r="AA66" s="755"/>
      <c r="AB66" s="755"/>
      <c r="AC66" s="231"/>
      <c r="AE66" s="240"/>
      <c r="AF66" s="240"/>
      <c r="AG66" s="240"/>
      <c r="AH66" s="241"/>
      <c r="AY66" s="231"/>
      <c r="AZ66" s="766" t="s">
        <v>23</v>
      </c>
      <c r="BA66" s="766"/>
      <c r="BB66" s="755"/>
      <c r="BC66" s="755"/>
      <c r="BD66" s="755"/>
      <c r="BE66" s="755"/>
      <c r="BF66" s="231"/>
      <c r="BG66" s="766" t="s">
        <v>23</v>
      </c>
      <c r="BH66" s="766"/>
      <c r="BI66" s="755"/>
      <c r="BJ66" s="755"/>
      <c r="BK66" s="755"/>
      <c r="BL66" s="755"/>
      <c r="BM66" s="231"/>
      <c r="BN66" s="766" t="s">
        <v>23</v>
      </c>
      <c r="BO66" s="766"/>
      <c r="BP66" s="755"/>
      <c r="BQ66" s="755"/>
      <c r="BR66" s="755"/>
      <c r="BS66" s="755"/>
      <c r="BT66" s="231"/>
      <c r="BU66" s="766" t="s">
        <v>23</v>
      </c>
      <c r="BV66" s="766"/>
      <c r="BW66" s="755"/>
      <c r="BX66" s="755"/>
      <c r="BY66" s="755"/>
      <c r="BZ66" s="755"/>
      <c r="CA66" s="231"/>
    </row>
    <row r="67" spans="1:79" ht="14.4" x14ac:dyDescent="0.35">
      <c r="A67" s="231"/>
      <c r="B67" s="233" t="s">
        <v>1242</v>
      </c>
      <c r="C67" s="233"/>
      <c r="D67" s="755"/>
      <c r="E67" s="755"/>
      <c r="F67" s="755"/>
      <c r="G67" s="755"/>
      <c r="H67" s="231"/>
      <c r="I67" s="233" t="s">
        <v>1242</v>
      </c>
      <c r="J67" s="233"/>
      <c r="K67" s="755"/>
      <c r="L67" s="755"/>
      <c r="M67" s="755"/>
      <c r="N67" s="755"/>
      <c r="O67" s="231"/>
      <c r="P67" s="233" t="s">
        <v>1242</v>
      </c>
      <c r="Q67" s="233"/>
      <c r="R67" s="755"/>
      <c r="S67" s="755"/>
      <c r="T67" s="755"/>
      <c r="U67" s="755"/>
      <c r="V67" s="231"/>
      <c r="W67" s="233" t="s">
        <v>1242</v>
      </c>
      <c r="X67" s="233"/>
      <c r="Y67" s="755"/>
      <c r="Z67" s="755"/>
      <c r="AA67" s="755"/>
      <c r="AB67" s="755"/>
      <c r="AC67" s="231"/>
      <c r="AE67" s="240"/>
      <c r="AF67" s="240"/>
      <c r="AG67" s="240"/>
      <c r="AH67" s="241"/>
      <c r="AY67" s="231"/>
      <c r="AZ67" s="766" t="s">
        <v>1242</v>
      </c>
      <c r="BA67" s="766"/>
      <c r="BB67" s="755"/>
      <c r="BC67" s="755"/>
      <c r="BD67" s="755"/>
      <c r="BE67" s="755"/>
      <c r="BF67" s="231"/>
      <c r="BG67" s="766" t="s">
        <v>1242</v>
      </c>
      <c r="BH67" s="766"/>
      <c r="BI67" s="755"/>
      <c r="BJ67" s="755"/>
      <c r="BK67" s="755"/>
      <c r="BL67" s="755"/>
      <c r="BM67" s="231"/>
      <c r="BN67" s="766" t="s">
        <v>1242</v>
      </c>
      <c r="BO67" s="766"/>
      <c r="BP67" s="755"/>
      <c r="BQ67" s="755"/>
      <c r="BR67" s="755"/>
      <c r="BS67" s="755"/>
      <c r="BT67" s="231"/>
      <c r="BU67" s="766" t="s">
        <v>1242</v>
      </c>
      <c r="BV67" s="766"/>
      <c r="BW67" s="755"/>
      <c r="BX67" s="755"/>
      <c r="BY67" s="755"/>
      <c r="BZ67" s="755"/>
      <c r="CA67" s="231"/>
    </row>
    <row r="68" spans="1:79" ht="14.4" x14ac:dyDescent="0.35">
      <c r="A68" s="231"/>
      <c r="B68" s="233" t="s">
        <v>1242</v>
      </c>
      <c r="C68" s="233">
        <v>1</v>
      </c>
      <c r="D68" s="755">
        <v>1</v>
      </c>
      <c r="E68" s="755">
        <v>1</v>
      </c>
      <c r="F68" s="755">
        <v>1</v>
      </c>
      <c r="G68" s="755">
        <v>1</v>
      </c>
      <c r="H68" s="231"/>
      <c r="I68" s="233" t="s">
        <v>1242</v>
      </c>
      <c r="J68" s="233">
        <v>1</v>
      </c>
      <c r="K68" s="755">
        <v>2</v>
      </c>
      <c r="L68" s="755">
        <v>2</v>
      </c>
      <c r="M68" s="755">
        <v>2</v>
      </c>
      <c r="N68" s="755">
        <v>1</v>
      </c>
      <c r="O68" s="231"/>
      <c r="P68" s="233" t="s">
        <v>1242</v>
      </c>
      <c r="Q68" s="233">
        <v>1</v>
      </c>
      <c r="R68" s="755">
        <v>3</v>
      </c>
      <c r="S68" s="755">
        <v>3</v>
      </c>
      <c r="T68" s="755">
        <v>2</v>
      </c>
      <c r="U68" s="755">
        <v>1</v>
      </c>
      <c r="V68" s="231"/>
      <c r="W68" s="233" t="s">
        <v>1242</v>
      </c>
      <c r="X68" s="233">
        <v>1</v>
      </c>
      <c r="Y68" s="755">
        <v>4</v>
      </c>
      <c r="Z68" s="755">
        <v>4</v>
      </c>
      <c r="AA68" s="755">
        <v>2</v>
      </c>
      <c r="AB68" s="755">
        <v>1</v>
      </c>
      <c r="AC68" s="231"/>
      <c r="AE68" s="240"/>
      <c r="AF68" s="240"/>
      <c r="AG68" s="240"/>
      <c r="AH68" s="242"/>
      <c r="AY68" s="231"/>
      <c r="AZ68" s="766" t="s">
        <v>1242</v>
      </c>
      <c r="BA68" s="766">
        <v>1</v>
      </c>
      <c r="BB68" s="755">
        <v>1</v>
      </c>
      <c r="BC68" s="755">
        <v>1</v>
      </c>
      <c r="BD68" s="755">
        <v>1</v>
      </c>
      <c r="BE68" s="755">
        <v>1</v>
      </c>
      <c r="BF68" s="231"/>
      <c r="BG68" s="766" t="s">
        <v>1242</v>
      </c>
      <c r="BH68" s="766">
        <v>1</v>
      </c>
      <c r="BI68" s="755">
        <v>2</v>
      </c>
      <c r="BJ68" s="755">
        <v>2</v>
      </c>
      <c r="BK68" s="755">
        <v>2</v>
      </c>
      <c r="BL68" s="755">
        <v>1</v>
      </c>
      <c r="BM68" s="231"/>
      <c r="BN68" s="766" t="s">
        <v>1242</v>
      </c>
      <c r="BO68" s="766">
        <v>1</v>
      </c>
      <c r="BP68" s="755">
        <v>3</v>
      </c>
      <c r="BQ68" s="755">
        <v>3</v>
      </c>
      <c r="BR68" s="755">
        <v>2</v>
      </c>
      <c r="BS68" s="755">
        <v>1</v>
      </c>
      <c r="BT68" s="231"/>
      <c r="BU68" s="766" t="s">
        <v>1242</v>
      </c>
      <c r="BV68" s="766">
        <v>1</v>
      </c>
      <c r="BW68" s="755">
        <v>4</v>
      </c>
      <c r="BX68" s="755">
        <v>4</v>
      </c>
      <c r="BY68" s="755">
        <v>2</v>
      </c>
      <c r="BZ68" s="755">
        <v>1</v>
      </c>
      <c r="CA68" s="231"/>
    </row>
    <row r="69" spans="1:79" ht="14.4" x14ac:dyDescent="0.35">
      <c r="A69" s="231"/>
      <c r="B69" s="234"/>
      <c r="C69" s="234"/>
      <c r="D69" s="233">
        <v>1</v>
      </c>
      <c r="E69" s="233">
        <v>2</v>
      </c>
      <c r="F69" s="233">
        <v>3</v>
      </c>
      <c r="G69" s="233">
        <v>4</v>
      </c>
      <c r="H69" s="231"/>
      <c r="I69" s="231"/>
      <c r="J69" s="234"/>
      <c r="K69" s="233">
        <v>1</v>
      </c>
      <c r="L69" s="233">
        <v>2</v>
      </c>
      <c r="M69" s="233">
        <v>3</v>
      </c>
      <c r="N69" s="233">
        <v>4</v>
      </c>
      <c r="O69" s="231"/>
      <c r="P69" s="231"/>
      <c r="Q69" s="234"/>
      <c r="R69" s="233">
        <v>1</v>
      </c>
      <c r="S69" s="233">
        <v>2</v>
      </c>
      <c r="T69" s="233">
        <v>3</v>
      </c>
      <c r="U69" s="233">
        <v>4</v>
      </c>
      <c r="V69" s="231"/>
      <c r="W69" s="231"/>
      <c r="X69" s="234"/>
      <c r="Y69" s="233">
        <v>1</v>
      </c>
      <c r="Z69" s="233">
        <v>2</v>
      </c>
      <c r="AA69" s="233">
        <v>3</v>
      </c>
      <c r="AB69" s="233">
        <v>4</v>
      </c>
      <c r="AC69" s="231"/>
      <c r="AE69" s="240"/>
      <c r="AF69" s="240"/>
      <c r="AG69" s="240"/>
      <c r="AH69" s="242"/>
      <c r="AY69" s="231"/>
      <c r="AZ69" s="234"/>
      <c r="BA69" s="234"/>
      <c r="BB69" s="766">
        <v>1</v>
      </c>
      <c r="BC69" s="766">
        <v>2</v>
      </c>
      <c r="BD69" s="766">
        <v>3</v>
      </c>
      <c r="BE69" s="766">
        <v>4</v>
      </c>
      <c r="BF69" s="231"/>
      <c r="BG69" s="231"/>
      <c r="BH69" s="234"/>
      <c r="BI69" s="766">
        <v>1</v>
      </c>
      <c r="BJ69" s="766">
        <v>2</v>
      </c>
      <c r="BK69" s="766">
        <v>3</v>
      </c>
      <c r="BL69" s="766">
        <v>4</v>
      </c>
      <c r="BM69" s="231"/>
      <c r="BN69" s="231"/>
      <c r="BO69" s="234"/>
      <c r="BP69" s="766">
        <v>1</v>
      </c>
      <c r="BQ69" s="766">
        <v>2</v>
      </c>
      <c r="BR69" s="766">
        <v>3</v>
      </c>
      <c r="BS69" s="766">
        <v>4</v>
      </c>
      <c r="BT69" s="231"/>
      <c r="BU69" s="231"/>
      <c r="BV69" s="234"/>
      <c r="BW69" s="766">
        <v>1</v>
      </c>
      <c r="BX69" s="766">
        <v>2</v>
      </c>
      <c r="BY69" s="766">
        <v>3</v>
      </c>
      <c r="BZ69" s="766">
        <v>4</v>
      </c>
      <c r="CA69" s="231"/>
    </row>
    <row r="70" spans="1:79" ht="14.4" x14ac:dyDescent="0.35">
      <c r="A70" s="231"/>
      <c r="B70" s="234"/>
      <c r="C70" s="234"/>
      <c r="D70" s="233" t="s">
        <v>1230</v>
      </c>
      <c r="E70" s="233" t="s">
        <v>1243</v>
      </c>
      <c r="F70" s="233" t="s">
        <v>41</v>
      </c>
      <c r="G70" s="233" t="s">
        <v>1244</v>
      </c>
      <c r="H70" s="231"/>
      <c r="I70" s="231"/>
      <c r="J70" s="234"/>
      <c r="K70" s="233" t="s">
        <v>1230</v>
      </c>
      <c r="L70" s="233" t="s">
        <v>1243</v>
      </c>
      <c r="M70" s="233" t="s">
        <v>41</v>
      </c>
      <c r="N70" s="233" t="s">
        <v>1244</v>
      </c>
      <c r="O70" s="231"/>
      <c r="P70" s="231"/>
      <c r="Q70" s="234"/>
      <c r="R70" s="233" t="s">
        <v>1230</v>
      </c>
      <c r="S70" s="233" t="s">
        <v>1243</v>
      </c>
      <c r="T70" s="233" t="s">
        <v>41</v>
      </c>
      <c r="U70" s="233" t="s">
        <v>1244</v>
      </c>
      <c r="V70" s="231"/>
      <c r="W70" s="231"/>
      <c r="X70" s="234"/>
      <c r="Y70" s="233" t="s">
        <v>1230</v>
      </c>
      <c r="Z70" s="233" t="s">
        <v>1243</v>
      </c>
      <c r="AA70" s="233" t="s">
        <v>41</v>
      </c>
      <c r="AB70" s="233" t="s">
        <v>1244</v>
      </c>
      <c r="AC70" s="231"/>
      <c r="AE70" s="240"/>
      <c r="AF70" s="240"/>
      <c r="AG70" s="240"/>
      <c r="AH70" s="242"/>
      <c r="AY70" s="231"/>
      <c r="AZ70" s="234"/>
      <c r="BA70" s="234"/>
      <c r="BB70" s="766" t="s">
        <v>1230</v>
      </c>
      <c r="BC70" s="766" t="s">
        <v>1243</v>
      </c>
      <c r="BD70" s="766" t="s">
        <v>41</v>
      </c>
      <c r="BE70" s="766" t="s">
        <v>1244</v>
      </c>
      <c r="BF70" s="231"/>
      <c r="BG70" s="231"/>
      <c r="BH70" s="234"/>
      <c r="BI70" s="766" t="s">
        <v>1230</v>
      </c>
      <c r="BJ70" s="766" t="s">
        <v>1243</v>
      </c>
      <c r="BK70" s="766" t="s">
        <v>41</v>
      </c>
      <c r="BL70" s="766" t="s">
        <v>1244</v>
      </c>
      <c r="BM70" s="231"/>
      <c r="BN70" s="231"/>
      <c r="BO70" s="234"/>
      <c r="BP70" s="766" t="s">
        <v>1230</v>
      </c>
      <c r="BQ70" s="766" t="s">
        <v>1243</v>
      </c>
      <c r="BR70" s="766" t="s">
        <v>41</v>
      </c>
      <c r="BS70" s="766" t="s">
        <v>1244</v>
      </c>
      <c r="BT70" s="231"/>
      <c r="BU70" s="231"/>
      <c r="BV70" s="234"/>
      <c r="BW70" s="766" t="s">
        <v>1230</v>
      </c>
      <c r="BX70" s="766" t="s">
        <v>1243</v>
      </c>
      <c r="BY70" s="766" t="s">
        <v>41</v>
      </c>
      <c r="BZ70" s="766" t="s">
        <v>1244</v>
      </c>
      <c r="CA70" s="231"/>
    </row>
    <row r="71" spans="1:79" x14ac:dyDescent="0.4">
      <c r="B71" s="229"/>
      <c r="AE71" s="240"/>
      <c r="AF71" s="240"/>
      <c r="AG71" s="240"/>
      <c r="AH71" s="242"/>
      <c r="AZ71" s="229"/>
    </row>
    <row r="72" spans="1:79" ht="19.8" x14ac:dyDescent="0.5">
      <c r="A72" s="230" t="s">
        <v>1246</v>
      </c>
      <c r="B72" s="229"/>
      <c r="AE72" s="240"/>
      <c r="AF72" s="240"/>
      <c r="AG72" s="240"/>
      <c r="AH72" s="242"/>
      <c r="AY72" s="230" t="s">
        <v>1246</v>
      </c>
      <c r="AZ72" s="229"/>
    </row>
    <row r="73" spans="1:79" ht="2.25" customHeight="1" x14ac:dyDescent="0.4">
      <c r="B73" s="229"/>
      <c r="AE73" s="240"/>
      <c r="AF73" s="240"/>
      <c r="AG73" s="240"/>
      <c r="AH73" s="242"/>
      <c r="AZ73" s="229"/>
    </row>
    <row r="74" spans="1:79" ht="14.4" x14ac:dyDescent="0.35">
      <c r="A74" s="231"/>
      <c r="B74" s="234"/>
      <c r="C74" s="1118" t="s">
        <v>1238</v>
      </c>
      <c r="D74" s="1118"/>
      <c r="E74" s="1118"/>
      <c r="F74" s="1118"/>
      <c r="G74" s="1118"/>
      <c r="H74" s="231"/>
      <c r="I74" s="231"/>
      <c r="J74" s="1118" t="s">
        <v>1239</v>
      </c>
      <c r="K74" s="1118"/>
      <c r="L74" s="1118"/>
      <c r="M74" s="1118"/>
      <c r="N74" s="1118"/>
      <c r="O74" s="231"/>
      <c r="P74" s="231"/>
      <c r="Q74" s="1118" t="s">
        <v>1240</v>
      </c>
      <c r="R74" s="1118"/>
      <c r="S74" s="1118"/>
      <c r="T74" s="1118"/>
      <c r="U74" s="1118"/>
      <c r="V74" s="231"/>
      <c r="W74" s="231"/>
      <c r="X74" s="1118" t="s">
        <v>1241</v>
      </c>
      <c r="Y74" s="1118"/>
      <c r="Z74" s="1118"/>
      <c r="AA74" s="1118"/>
      <c r="AB74" s="1118"/>
      <c r="AC74" s="231"/>
      <c r="AE74" s="240"/>
      <c r="AF74" s="240"/>
      <c r="AG74" s="240"/>
      <c r="AH74" s="242"/>
      <c r="AY74" s="231"/>
      <c r="AZ74" s="234"/>
      <c r="BA74" s="1118" t="s">
        <v>1238</v>
      </c>
      <c r="BB74" s="1118"/>
      <c r="BC74" s="1118"/>
      <c r="BD74" s="1118"/>
      <c r="BE74" s="1118"/>
      <c r="BF74" s="231"/>
      <c r="BG74" s="231"/>
      <c r="BH74" s="1118" t="s">
        <v>1239</v>
      </c>
      <c r="BI74" s="1118"/>
      <c r="BJ74" s="1118"/>
      <c r="BK74" s="1118"/>
      <c r="BL74" s="1118"/>
      <c r="BM74" s="231"/>
      <c r="BN74" s="231"/>
      <c r="BO74" s="1118" t="s">
        <v>1240</v>
      </c>
      <c r="BP74" s="1118"/>
      <c r="BQ74" s="1118"/>
      <c r="BR74" s="1118"/>
      <c r="BS74" s="1118"/>
      <c r="BT74" s="231"/>
      <c r="BU74" s="231"/>
      <c r="BV74" s="1118" t="s">
        <v>1241</v>
      </c>
      <c r="BW74" s="1118"/>
      <c r="BX74" s="1118"/>
      <c r="BY74" s="1118"/>
      <c r="BZ74" s="1118"/>
      <c r="CA74" s="231"/>
    </row>
    <row r="75" spans="1:79" ht="3.75" customHeight="1" x14ac:dyDescent="0.4">
      <c r="B75" s="229"/>
      <c r="J75" s="229"/>
      <c r="K75" s="229"/>
      <c r="L75" s="229"/>
      <c r="M75" s="229"/>
      <c r="N75" s="229"/>
      <c r="Q75" s="229"/>
      <c r="R75" s="229"/>
      <c r="S75" s="229"/>
      <c r="T75" s="229"/>
      <c r="U75" s="229"/>
      <c r="X75" s="229"/>
      <c r="Y75" s="229"/>
      <c r="Z75" s="229"/>
      <c r="AA75" s="229"/>
      <c r="AB75" s="229"/>
      <c r="AE75" s="240"/>
      <c r="AF75" s="240"/>
      <c r="AG75" s="240"/>
      <c r="AH75" s="242"/>
      <c r="AZ75" s="229"/>
      <c r="BH75" s="229"/>
      <c r="BI75" s="229"/>
      <c r="BJ75" s="229"/>
      <c r="BK75" s="229"/>
      <c r="BL75" s="229"/>
      <c r="BO75" s="229"/>
      <c r="BP75" s="229"/>
      <c r="BQ75" s="229"/>
      <c r="BR75" s="229"/>
      <c r="BS75" s="229"/>
      <c r="BV75" s="229"/>
      <c r="BW75" s="229"/>
      <c r="BX75" s="229"/>
      <c r="BY75" s="229"/>
      <c r="BZ75" s="229"/>
    </row>
    <row r="76" spans="1:79" ht="14.4" x14ac:dyDescent="0.35">
      <c r="A76" s="231"/>
      <c r="B76" s="233" t="s">
        <v>76</v>
      </c>
      <c r="C76" s="233">
        <v>4</v>
      </c>
      <c r="D76" s="755">
        <v>1</v>
      </c>
      <c r="E76" s="755">
        <v>1</v>
      </c>
      <c r="F76" s="755">
        <v>1</v>
      </c>
      <c r="G76" s="755">
        <v>1</v>
      </c>
      <c r="H76" s="231"/>
      <c r="I76" s="233" t="s">
        <v>76</v>
      </c>
      <c r="J76" s="233">
        <v>4</v>
      </c>
      <c r="K76" s="755">
        <v>1</v>
      </c>
      <c r="L76" s="755">
        <v>1</v>
      </c>
      <c r="M76" s="755">
        <v>1</v>
      </c>
      <c r="N76" s="755">
        <v>1</v>
      </c>
      <c r="O76" s="231"/>
      <c r="P76" s="233" t="s">
        <v>76</v>
      </c>
      <c r="Q76" s="233">
        <v>4</v>
      </c>
      <c r="R76" s="755">
        <v>2</v>
      </c>
      <c r="S76" s="755">
        <v>2</v>
      </c>
      <c r="T76" s="755">
        <v>1</v>
      </c>
      <c r="U76" s="755">
        <v>1</v>
      </c>
      <c r="V76" s="231"/>
      <c r="W76" s="233" t="s">
        <v>76</v>
      </c>
      <c r="X76" s="233">
        <v>4</v>
      </c>
      <c r="Y76" s="755">
        <v>2</v>
      </c>
      <c r="Z76" s="755">
        <v>2</v>
      </c>
      <c r="AA76" s="755">
        <v>2</v>
      </c>
      <c r="AB76" s="755">
        <v>1</v>
      </c>
      <c r="AC76" s="231"/>
      <c r="AE76" s="240"/>
      <c r="AF76" s="240"/>
      <c r="AG76" s="240"/>
      <c r="AH76" s="242"/>
      <c r="AY76" s="231"/>
      <c r="AZ76" s="766" t="s">
        <v>76</v>
      </c>
      <c r="BA76" s="766">
        <v>4</v>
      </c>
      <c r="BB76" s="755">
        <v>1</v>
      </c>
      <c r="BC76" s="755">
        <v>1</v>
      </c>
      <c r="BD76" s="755">
        <v>1</v>
      </c>
      <c r="BE76" s="755">
        <v>1</v>
      </c>
      <c r="BF76" s="231"/>
      <c r="BG76" s="766" t="s">
        <v>76</v>
      </c>
      <c r="BH76" s="766">
        <v>4</v>
      </c>
      <c r="BI76" s="755">
        <v>1</v>
      </c>
      <c r="BJ76" s="755">
        <v>1</v>
      </c>
      <c r="BK76" s="755">
        <v>1</v>
      </c>
      <c r="BL76" s="755">
        <v>1</v>
      </c>
      <c r="BM76" s="231"/>
      <c r="BN76" s="766" t="s">
        <v>76</v>
      </c>
      <c r="BO76" s="766">
        <v>4</v>
      </c>
      <c r="BP76" s="755">
        <v>2</v>
      </c>
      <c r="BQ76" s="755">
        <v>2</v>
      </c>
      <c r="BR76" s="755">
        <v>1</v>
      </c>
      <c r="BS76" s="755">
        <v>1</v>
      </c>
      <c r="BT76" s="231"/>
      <c r="BU76" s="766" t="s">
        <v>76</v>
      </c>
      <c r="BV76" s="766">
        <v>4</v>
      </c>
      <c r="BW76" s="755">
        <v>2</v>
      </c>
      <c r="BX76" s="755">
        <v>2</v>
      </c>
      <c r="BY76" s="755">
        <v>2</v>
      </c>
      <c r="BZ76" s="755">
        <v>1</v>
      </c>
      <c r="CA76" s="231"/>
    </row>
    <row r="77" spans="1:79" ht="14.4" x14ac:dyDescent="0.35">
      <c r="A77" s="231"/>
      <c r="B77" s="233" t="s">
        <v>23</v>
      </c>
      <c r="C77" s="233">
        <v>3</v>
      </c>
      <c r="D77" s="755">
        <v>1</v>
      </c>
      <c r="E77" s="755">
        <v>1</v>
      </c>
      <c r="F77" s="755">
        <v>1</v>
      </c>
      <c r="G77" s="755">
        <v>1</v>
      </c>
      <c r="H77" s="231"/>
      <c r="I77" s="233" t="s">
        <v>23</v>
      </c>
      <c r="J77" s="233">
        <v>3</v>
      </c>
      <c r="K77" s="755">
        <v>2</v>
      </c>
      <c r="L77" s="755">
        <v>2</v>
      </c>
      <c r="M77" s="755">
        <v>1</v>
      </c>
      <c r="N77" s="755">
        <v>1</v>
      </c>
      <c r="O77" s="231"/>
      <c r="P77" s="233" t="s">
        <v>23</v>
      </c>
      <c r="Q77" s="233">
        <v>3</v>
      </c>
      <c r="R77" s="755">
        <v>2</v>
      </c>
      <c r="S77" s="755">
        <v>2</v>
      </c>
      <c r="T77" s="755">
        <v>1</v>
      </c>
      <c r="U77" s="755">
        <v>1</v>
      </c>
      <c r="V77" s="231"/>
      <c r="W77" s="233" t="s">
        <v>23</v>
      </c>
      <c r="X77" s="233">
        <v>3</v>
      </c>
      <c r="Y77" s="755">
        <v>3</v>
      </c>
      <c r="Z77" s="755">
        <v>3</v>
      </c>
      <c r="AA77" s="755">
        <v>2</v>
      </c>
      <c r="AB77" s="755">
        <v>2</v>
      </c>
      <c r="AC77" s="231"/>
      <c r="AE77" s="240"/>
      <c r="AF77" s="240"/>
      <c r="AG77" s="240"/>
      <c r="AH77" s="242"/>
      <c r="AY77" s="231"/>
      <c r="AZ77" s="766" t="s">
        <v>23</v>
      </c>
      <c r="BA77" s="766">
        <v>3</v>
      </c>
      <c r="BB77" s="755">
        <v>1</v>
      </c>
      <c r="BC77" s="755">
        <v>1</v>
      </c>
      <c r="BD77" s="755">
        <v>1</v>
      </c>
      <c r="BE77" s="755">
        <v>1</v>
      </c>
      <c r="BF77" s="231"/>
      <c r="BG77" s="766" t="s">
        <v>23</v>
      </c>
      <c r="BH77" s="766">
        <v>3</v>
      </c>
      <c r="BI77" s="755">
        <v>2</v>
      </c>
      <c r="BJ77" s="755">
        <v>2</v>
      </c>
      <c r="BK77" s="755">
        <v>1</v>
      </c>
      <c r="BL77" s="755">
        <v>1</v>
      </c>
      <c r="BM77" s="231"/>
      <c r="BN77" s="766" t="s">
        <v>23</v>
      </c>
      <c r="BO77" s="766">
        <v>3</v>
      </c>
      <c r="BP77" s="755">
        <v>2</v>
      </c>
      <c r="BQ77" s="755">
        <v>2</v>
      </c>
      <c r="BR77" s="755">
        <v>1</v>
      </c>
      <c r="BS77" s="755">
        <v>1</v>
      </c>
      <c r="BT77" s="231"/>
      <c r="BU77" s="766" t="s">
        <v>23</v>
      </c>
      <c r="BV77" s="766">
        <v>3</v>
      </c>
      <c r="BW77" s="755">
        <v>3</v>
      </c>
      <c r="BX77" s="755">
        <v>3</v>
      </c>
      <c r="BY77" s="755">
        <v>2</v>
      </c>
      <c r="BZ77" s="755">
        <v>2</v>
      </c>
      <c r="CA77" s="231"/>
    </row>
    <row r="78" spans="1:79" ht="14.4" x14ac:dyDescent="0.35">
      <c r="A78" s="231"/>
      <c r="B78" s="233" t="s">
        <v>1242</v>
      </c>
      <c r="C78" s="233">
        <v>2</v>
      </c>
      <c r="D78" s="755">
        <v>1</v>
      </c>
      <c r="E78" s="755">
        <v>1</v>
      </c>
      <c r="F78" s="755">
        <v>1</v>
      </c>
      <c r="G78" s="755">
        <v>1</v>
      </c>
      <c r="H78" s="231"/>
      <c r="I78" s="233" t="s">
        <v>1242</v>
      </c>
      <c r="J78" s="233">
        <v>2</v>
      </c>
      <c r="K78" s="755">
        <v>2</v>
      </c>
      <c r="L78" s="755">
        <v>2</v>
      </c>
      <c r="M78" s="755">
        <v>2</v>
      </c>
      <c r="N78" s="755">
        <v>1</v>
      </c>
      <c r="O78" s="231"/>
      <c r="P78" s="233" t="s">
        <v>1242</v>
      </c>
      <c r="Q78" s="233">
        <v>2</v>
      </c>
      <c r="R78" s="755">
        <v>3</v>
      </c>
      <c r="S78" s="755">
        <v>3</v>
      </c>
      <c r="T78" s="755">
        <v>2</v>
      </c>
      <c r="U78" s="755">
        <v>1</v>
      </c>
      <c r="V78" s="231"/>
      <c r="W78" s="233" t="s">
        <v>1242</v>
      </c>
      <c r="X78" s="233">
        <v>2</v>
      </c>
      <c r="Y78" s="755">
        <v>4</v>
      </c>
      <c r="Z78" s="755">
        <v>4</v>
      </c>
      <c r="AA78" s="755">
        <v>3</v>
      </c>
      <c r="AB78" s="755">
        <v>2</v>
      </c>
      <c r="AC78" s="231"/>
      <c r="AY78" s="231"/>
      <c r="AZ78" s="766" t="s">
        <v>1242</v>
      </c>
      <c r="BA78" s="766">
        <v>2</v>
      </c>
      <c r="BB78" s="755">
        <v>1</v>
      </c>
      <c r="BC78" s="755">
        <v>1</v>
      </c>
      <c r="BD78" s="755">
        <v>1</v>
      </c>
      <c r="BE78" s="755">
        <v>1</v>
      </c>
      <c r="BF78" s="231"/>
      <c r="BG78" s="766" t="s">
        <v>1242</v>
      </c>
      <c r="BH78" s="766">
        <v>2</v>
      </c>
      <c r="BI78" s="755">
        <v>2</v>
      </c>
      <c r="BJ78" s="755">
        <v>2</v>
      </c>
      <c r="BK78" s="755">
        <v>2</v>
      </c>
      <c r="BL78" s="755">
        <v>1</v>
      </c>
      <c r="BM78" s="231"/>
      <c r="BN78" s="766" t="s">
        <v>1242</v>
      </c>
      <c r="BO78" s="766">
        <v>2</v>
      </c>
      <c r="BP78" s="755">
        <v>3</v>
      </c>
      <c r="BQ78" s="755">
        <v>3</v>
      </c>
      <c r="BR78" s="755">
        <v>2</v>
      </c>
      <c r="BS78" s="755">
        <v>1</v>
      </c>
      <c r="BT78" s="231"/>
      <c r="BU78" s="766" t="s">
        <v>1242</v>
      </c>
      <c r="BV78" s="766">
        <v>2</v>
      </c>
      <c r="BW78" s="755">
        <v>4</v>
      </c>
      <c r="BX78" s="755">
        <v>4</v>
      </c>
      <c r="BY78" s="755">
        <v>3</v>
      </c>
      <c r="BZ78" s="755">
        <v>2</v>
      </c>
      <c r="CA78" s="231"/>
    </row>
    <row r="79" spans="1:79" ht="14.4" x14ac:dyDescent="0.35">
      <c r="A79" s="231"/>
      <c r="B79" s="233" t="s">
        <v>1242</v>
      </c>
      <c r="C79" s="233">
        <v>1</v>
      </c>
      <c r="D79" s="755">
        <v>1</v>
      </c>
      <c r="E79" s="755">
        <v>1</v>
      </c>
      <c r="F79" s="755">
        <v>1</v>
      </c>
      <c r="G79" s="755">
        <v>1</v>
      </c>
      <c r="H79" s="231"/>
      <c r="I79" s="233" t="s">
        <v>1242</v>
      </c>
      <c r="J79" s="233">
        <v>1</v>
      </c>
      <c r="K79" s="755">
        <v>2</v>
      </c>
      <c r="L79" s="755">
        <v>2</v>
      </c>
      <c r="M79" s="755">
        <v>2</v>
      </c>
      <c r="N79" s="755">
        <v>1</v>
      </c>
      <c r="O79" s="231"/>
      <c r="P79" s="233" t="s">
        <v>1242</v>
      </c>
      <c r="Q79" s="233">
        <v>1</v>
      </c>
      <c r="R79" s="755">
        <v>3</v>
      </c>
      <c r="S79" s="755">
        <v>3</v>
      </c>
      <c r="T79" s="755">
        <v>2</v>
      </c>
      <c r="U79" s="755">
        <v>1</v>
      </c>
      <c r="V79" s="231"/>
      <c r="W79" s="233" t="s">
        <v>1242</v>
      </c>
      <c r="X79" s="233">
        <v>1</v>
      </c>
      <c r="Y79" s="755">
        <v>4</v>
      </c>
      <c r="Z79" s="755">
        <v>4</v>
      </c>
      <c r="AA79" s="755">
        <v>3</v>
      </c>
      <c r="AB79" s="755">
        <v>2</v>
      </c>
      <c r="AC79" s="231"/>
      <c r="AY79" s="231"/>
      <c r="AZ79" s="766" t="s">
        <v>1242</v>
      </c>
      <c r="BA79" s="766">
        <v>1</v>
      </c>
      <c r="BB79" s="755">
        <v>1</v>
      </c>
      <c r="BC79" s="755">
        <v>1</v>
      </c>
      <c r="BD79" s="755">
        <v>1</v>
      </c>
      <c r="BE79" s="755">
        <v>1</v>
      </c>
      <c r="BF79" s="231"/>
      <c r="BG79" s="766" t="s">
        <v>1242</v>
      </c>
      <c r="BH79" s="766">
        <v>1</v>
      </c>
      <c r="BI79" s="755">
        <v>2</v>
      </c>
      <c r="BJ79" s="755">
        <v>2</v>
      </c>
      <c r="BK79" s="755">
        <v>2</v>
      </c>
      <c r="BL79" s="755">
        <v>1</v>
      </c>
      <c r="BM79" s="231"/>
      <c r="BN79" s="766" t="s">
        <v>1242</v>
      </c>
      <c r="BO79" s="766">
        <v>1</v>
      </c>
      <c r="BP79" s="755">
        <v>3</v>
      </c>
      <c r="BQ79" s="755">
        <v>3</v>
      </c>
      <c r="BR79" s="755">
        <v>2</v>
      </c>
      <c r="BS79" s="755">
        <v>1</v>
      </c>
      <c r="BT79" s="231"/>
      <c r="BU79" s="766" t="s">
        <v>1242</v>
      </c>
      <c r="BV79" s="766">
        <v>1</v>
      </c>
      <c r="BW79" s="755">
        <v>4</v>
      </c>
      <c r="BX79" s="755">
        <v>4</v>
      </c>
      <c r="BY79" s="755">
        <v>3</v>
      </c>
      <c r="BZ79" s="755">
        <v>2</v>
      </c>
      <c r="CA79" s="231"/>
    </row>
    <row r="80" spans="1:79" ht="14.4" x14ac:dyDescent="0.35">
      <c r="A80" s="231"/>
      <c r="B80" s="234"/>
      <c r="C80" s="234"/>
      <c r="D80" s="233">
        <v>1</v>
      </c>
      <c r="E80" s="233">
        <v>2</v>
      </c>
      <c r="F80" s="233">
        <v>3</v>
      </c>
      <c r="G80" s="233">
        <v>4</v>
      </c>
      <c r="H80" s="231"/>
      <c r="I80" s="231"/>
      <c r="J80" s="234"/>
      <c r="K80" s="233">
        <v>1</v>
      </c>
      <c r="L80" s="233">
        <v>2</v>
      </c>
      <c r="M80" s="233">
        <v>3</v>
      </c>
      <c r="N80" s="233">
        <v>4</v>
      </c>
      <c r="O80" s="231"/>
      <c r="P80" s="231"/>
      <c r="Q80" s="234"/>
      <c r="R80" s="233">
        <v>1</v>
      </c>
      <c r="S80" s="233">
        <v>2</v>
      </c>
      <c r="T80" s="233">
        <v>3</v>
      </c>
      <c r="U80" s="233">
        <v>4</v>
      </c>
      <c r="V80" s="231"/>
      <c r="W80" s="231"/>
      <c r="X80" s="234"/>
      <c r="Y80" s="233">
        <v>1</v>
      </c>
      <c r="Z80" s="233">
        <v>2</v>
      </c>
      <c r="AA80" s="233">
        <v>3</v>
      </c>
      <c r="AB80" s="233">
        <v>4</v>
      </c>
      <c r="AC80" s="231"/>
      <c r="AY80" s="231"/>
      <c r="AZ80" s="234"/>
      <c r="BA80" s="234"/>
      <c r="BB80" s="766">
        <v>1</v>
      </c>
      <c r="BC80" s="766">
        <v>2</v>
      </c>
      <c r="BD80" s="766">
        <v>3</v>
      </c>
      <c r="BE80" s="766">
        <v>4</v>
      </c>
      <c r="BF80" s="231"/>
      <c r="BG80" s="231"/>
      <c r="BH80" s="234"/>
      <c r="BI80" s="766">
        <v>1</v>
      </c>
      <c r="BJ80" s="766">
        <v>2</v>
      </c>
      <c r="BK80" s="766">
        <v>3</v>
      </c>
      <c r="BL80" s="766">
        <v>4</v>
      </c>
      <c r="BM80" s="231"/>
      <c r="BN80" s="231"/>
      <c r="BO80" s="234"/>
      <c r="BP80" s="766">
        <v>1</v>
      </c>
      <c r="BQ80" s="766">
        <v>2</v>
      </c>
      <c r="BR80" s="766">
        <v>3</v>
      </c>
      <c r="BS80" s="766">
        <v>4</v>
      </c>
      <c r="BT80" s="231"/>
      <c r="BU80" s="231"/>
      <c r="BV80" s="234"/>
      <c r="BW80" s="766">
        <v>1</v>
      </c>
      <c r="BX80" s="766">
        <v>2</v>
      </c>
      <c r="BY80" s="766">
        <v>3</v>
      </c>
      <c r="BZ80" s="766">
        <v>4</v>
      </c>
      <c r="CA80" s="231"/>
    </row>
    <row r="81" spans="1:79" ht="14.4" x14ac:dyDescent="0.35">
      <c r="A81" s="231"/>
      <c r="B81" s="234"/>
      <c r="C81" s="234"/>
      <c r="D81" s="233" t="s">
        <v>1230</v>
      </c>
      <c r="E81" s="233" t="s">
        <v>1243</v>
      </c>
      <c r="F81" s="233" t="s">
        <v>41</v>
      </c>
      <c r="G81" s="233" t="s">
        <v>1244</v>
      </c>
      <c r="H81" s="231"/>
      <c r="I81" s="231"/>
      <c r="J81" s="234"/>
      <c r="K81" s="233" t="s">
        <v>1230</v>
      </c>
      <c r="L81" s="233" t="s">
        <v>1243</v>
      </c>
      <c r="M81" s="233" t="s">
        <v>41</v>
      </c>
      <c r="N81" s="233" t="s">
        <v>1244</v>
      </c>
      <c r="O81" s="231"/>
      <c r="P81" s="231"/>
      <c r="Q81" s="234"/>
      <c r="R81" s="233" t="s">
        <v>1230</v>
      </c>
      <c r="S81" s="233" t="s">
        <v>1243</v>
      </c>
      <c r="T81" s="233" t="s">
        <v>41</v>
      </c>
      <c r="U81" s="233" t="s">
        <v>1244</v>
      </c>
      <c r="V81" s="231"/>
      <c r="W81" s="231"/>
      <c r="X81" s="234"/>
      <c r="Y81" s="233" t="s">
        <v>1230</v>
      </c>
      <c r="Z81" s="233" t="s">
        <v>1243</v>
      </c>
      <c r="AA81" s="233" t="s">
        <v>41</v>
      </c>
      <c r="AB81" s="233" t="s">
        <v>1244</v>
      </c>
      <c r="AC81" s="231"/>
      <c r="AY81" s="231"/>
      <c r="AZ81" s="234"/>
      <c r="BA81" s="234"/>
      <c r="BB81" s="766" t="s">
        <v>1230</v>
      </c>
      <c r="BC81" s="766" t="s">
        <v>1243</v>
      </c>
      <c r="BD81" s="766" t="s">
        <v>41</v>
      </c>
      <c r="BE81" s="766" t="s">
        <v>1244</v>
      </c>
      <c r="BF81" s="231"/>
      <c r="BG81" s="231"/>
      <c r="BH81" s="234"/>
      <c r="BI81" s="766" t="s">
        <v>1230</v>
      </c>
      <c r="BJ81" s="766" t="s">
        <v>1243</v>
      </c>
      <c r="BK81" s="766" t="s">
        <v>41</v>
      </c>
      <c r="BL81" s="766" t="s">
        <v>1244</v>
      </c>
      <c r="BM81" s="231"/>
      <c r="BN81" s="231"/>
      <c r="BO81" s="234"/>
      <c r="BP81" s="766" t="s">
        <v>1230</v>
      </c>
      <c r="BQ81" s="766" t="s">
        <v>1243</v>
      </c>
      <c r="BR81" s="766" t="s">
        <v>41</v>
      </c>
      <c r="BS81" s="766" t="s">
        <v>1244</v>
      </c>
      <c r="BT81" s="231"/>
      <c r="BU81" s="231"/>
      <c r="BV81" s="234"/>
      <c r="BW81" s="766" t="s">
        <v>1230</v>
      </c>
      <c r="BX81" s="766" t="s">
        <v>1243</v>
      </c>
      <c r="BY81" s="766" t="s">
        <v>41</v>
      </c>
      <c r="BZ81" s="766" t="s">
        <v>1244</v>
      </c>
      <c r="CA81" s="231"/>
    </row>
    <row r="82" spans="1:79" x14ac:dyDescent="0.4">
      <c r="B82" s="229"/>
      <c r="AZ82" s="229"/>
    </row>
  </sheetData>
  <sheetProtection sheet="1" objects="1" scenarios="1"/>
  <mergeCells count="61">
    <mergeCell ref="BA74:BE74"/>
    <mergeCell ref="BH74:BL74"/>
    <mergeCell ref="BO74:BS74"/>
    <mergeCell ref="BV74:BZ74"/>
    <mergeCell ref="AY1:BK1"/>
    <mergeCell ref="BA52:BE52"/>
    <mergeCell ref="BH52:BL52"/>
    <mergeCell ref="BO52:BS52"/>
    <mergeCell ref="BV52:BZ52"/>
    <mergeCell ref="BA63:BE63"/>
    <mergeCell ref="BH63:BL63"/>
    <mergeCell ref="BO63:BS63"/>
    <mergeCell ref="BV63:BZ63"/>
    <mergeCell ref="BH27:BL27"/>
    <mergeCell ref="BO27:BS27"/>
    <mergeCell ref="BV27:BZ27"/>
    <mergeCell ref="BA38:BE38"/>
    <mergeCell ref="BH38:BL38"/>
    <mergeCell ref="BO38:BS38"/>
    <mergeCell ref="BV38:BZ38"/>
    <mergeCell ref="BA5:BE5"/>
    <mergeCell ref="BH5:BL5"/>
    <mergeCell ref="BO5:BS5"/>
    <mergeCell ref="BV5:BZ5"/>
    <mergeCell ref="BA16:BE16"/>
    <mergeCell ref="BH16:BL16"/>
    <mergeCell ref="BO16:BS16"/>
    <mergeCell ref="BV16:BZ16"/>
    <mergeCell ref="BA27:BE27"/>
    <mergeCell ref="C63:G63"/>
    <mergeCell ref="J63:N63"/>
    <mergeCell ref="Q63:U63"/>
    <mergeCell ref="X63:AB63"/>
    <mergeCell ref="C74:G74"/>
    <mergeCell ref="J74:N74"/>
    <mergeCell ref="Q74:U74"/>
    <mergeCell ref="X74:AB74"/>
    <mergeCell ref="C52:G52"/>
    <mergeCell ref="J52:N52"/>
    <mergeCell ref="Q52:U52"/>
    <mergeCell ref="X52:AB52"/>
    <mergeCell ref="AG16:AK16"/>
    <mergeCell ref="C38:G38"/>
    <mergeCell ref="J38:N38"/>
    <mergeCell ref="Q38:U38"/>
    <mergeCell ref="X38:AB38"/>
    <mergeCell ref="AE45:AH45"/>
    <mergeCell ref="AN16:AR16"/>
    <mergeCell ref="AU16:AY16"/>
    <mergeCell ref="C27:G27"/>
    <mergeCell ref="J27:N27"/>
    <mergeCell ref="Q27:U27"/>
    <mergeCell ref="X27:AB27"/>
    <mergeCell ref="C5:G5"/>
    <mergeCell ref="J5:N5"/>
    <mergeCell ref="Q5:U5"/>
    <mergeCell ref="X5:AB5"/>
    <mergeCell ref="C16:G16"/>
    <mergeCell ref="J16:N16"/>
    <mergeCell ref="Q16:U16"/>
    <mergeCell ref="X16:AB16"/>
  </mergeCells>
  <dataValidations count="1">
    <dataValidation type="list" allowBlank="1" showInputMessage="1" showErrorMessage="1" sqref="D7:G10 K7:N10 R7:U10 Y7:AB10 D18:G21 K18:N21 R18:U21 Y18:AB21 D29:G32 K29:N32 R29:U32 Y29:AB32 D40:G43 K40:N43 R40:U43 Y40:AB43 D54:G57 K54:N57 R54:U57 Y54:AB57 D65:G68 K65:N68 R65:U68 Y65:AB68 D76:G79 K76:N79 R76:U79 Y76:AB79 BB7:BE10 BI7:BL10 BP7:BS10 BW7:BZ10 BB18:BE21 BI18:BL21 BP18:BS21 BW18:BZ21 BB29:BE32 BI29:BL32 BP29:BS32 BW29:BZ32 BB40:BE43 BI40:BL43 BP40:BS43 BW40:BZ43 BB54:BE57 BI54:BL57 BP54:BS57 BW54:BZ57 BB65:BE68 BI65:BL68 BP65:BS68 BW65:BZ68 BB76:BE79 BI76:BL79 BP76:BS79 BW76:BZ79" xr:uid="{7A862711-227F-4B2C-B54F-3ADAC510A579}">
      <formula1>"1,2,3,4"</formula1>
    </dataValidation>
  </dataValidations>
  <pageMargins left="0.78740157499999996" right="0.78740157499999996" top="0.4" bottom="0.56999999999999995" header="0.35" footer="0.33"/>
  <pageSetup paperSize="9" orientation="landscape" r:id="rId1"/>
  <headerFooter alignWithMargins="0">
    <oddFooter>&amp;L&amp;9&amp;F ! &amp;A&amp;C&amp;9&amp;P&amp;R&amp;9Décembre 2006</oddFooter>
  </headerFooter>
  <rowBreaks count="1" manualBreakCount="1">
    <brk id="47" max="16383" man="1"/>
  </rowBreaks>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21</vt:i4>
      </vt:variant>
      <vt:variant>
        <vt:lpstr>Plages nommées</vt:lpstr>
      </vt:variant>
      <vt:variant>
        <vt:i4>233</vt:i4>
      </vt:variant>
    </vt:vector>
  </HeadingPairs>
  <TitlesOfParts>
    <vt:vector size="254" baseType="lpstr">
      <vt:lpstr>Corr_Services</vt:lpstr>
      <vt:lpstr>ADMIN</vt:lpstr>
      <vt:lpstr>Accueil</vt:lpstr>
      <vt:lpstr>Licence</vt:lpstr>
      <vt:lpstr>Présentation</vt:lpstr>
      <vt:lpstr>Actifs_primaires</vt:lpstr>
      <vt:lpstr>Actifs_support</vt:lpstr>
      <vt:lpstr>Dommages</vt:lpstr>
      <vt:lpstr>Expo</vt:lpstr>
      <vt:lpstr>Scénarios</vt:lpstr>
      <vt:lpstr>Ana_risk</vt:lpstr>
      <vt:lpstr>Vis_risk</vt:lpstr>
      <vt:lpstr>Fic_Risk</vt:lpstr>
      <vt:lpstr>Panorama</vt:lpstr>
      <vt:lpstr>Fonctions</vt:lpstr>
      <vt:lpstr>Param</vt:lpstr>
      <vt:lpstr>Tab_sel</vt:lpstr>
      <vt:lpstr>Tab_X</vt:lpstr>
      <vt:lpstr>Tab_PE</vt:lpstr>
      <vt:lpstr>Gravité</vt:lpstr>
      <vt:lpstr>Grilles_IP</vt:lpstr>
      <vt:lpstr>Fic_Risk!_FilterDatabase</vt:lpstr>
      <vt:lpstr>Actifs_P</vt:lpstr>
      <vt:lpstr>Altd</vt:lpstr>
      <vt:lpstr>Altf</vt:lpstr>
      <vt:lpstr>Arc</vt:lpstr>
      <vt:lpstr>base_g</vt:lpstr>
      <vt:lpstr>base_i</vt:lpstr>
      <vt:lpstr>base_p</vt:lpstr>
      <vt:lpstr>CelScenDAP</vt:lpstr>
      <vt:lpstr>Cep</vt:lpstr>
      <vt:lpstr>Cfg</vt:lpstr>
      <vt:lpstr>Codderscen</vt:lpstr>
      <vt:lpstr>Coe</vt:lpstr>
      <vt:lpstr>Comment_Arisk</vt:lpstr>
      <vt:lpstr>Comment_Arisk_fus</vt:lpstr>
      <vt:lpstr>Cop</vt:lpstr>
      <vt:lpstr>Crfx</vt:lpstr>
      <vt:lpstr>Dap</vt:lpstr>
      <vt:lpstr>Dbu</vt:lpstr>
      <vt:lpstr>Dec_et_Pac</vt:lpstr>
      <vt:lpstr>Det</vt:lpstr>
      <vt:lpstr>Dex</vt:lpstr>
      <vt:lpstr>Disp</vt:lpstr>
      <vt:lpstr>Dive</vt:lpstr>
      <vt:lpstr>Doc</vt:lpstr>
      <vt:lpstr>Dpu</vt:lpstr>
      <vt:lpstr>Dysf</vt:lpstr>
      <vt:lpstr>Effic</vt:lpstr>
      <vt:lpstr>Endl</vt:lpstr>
      <vt:lpstr>Endp</vt:lpstr>
      <vt:lpstr>Eni</vt:lpstr>
      <vt:lpstr>Env</vt:lpstr>
      <vt:lpstr>Equ</vt:lpstr>
      <vt:lpstr>Erreur1</vt:lpstr>
      <vt:lpstr>Erreur10</vt:lpstr>
      <vt:lpstr>Erreur2</vt:lpstr>
      <vt:lpstr>Erreur3</vt:lpstr>
      <vt:lpstr>Erreur4</vt:lpstr>
      <vt:lpstr>Erreur5</vt:lpstr>
      <vt:lpstr>Erreur6</vt:lpstr>
      <vt:lpstr>Erreur7</vt:lpstr>
      <vt:lpstr>Erreur8</vt:lpstr>
      <vt:lpstr>Erreur9</vt:lpstr>
      <vt:lpstr>Far_anal_globdet</vt:lpstr>
      <vt:lpstr>FAR_b</vt:lpstr>
      <vt:lpstr>FAR_b_fus</vt:lpstr>
      <vt:lpstr>FAR_c</vt:lpstr>
      <vt:lpstr>Far_c_fus</vt:lpstr>
      <vt:lpstr>FAR_Com</vt:lpstr>
      <vt:lpstr>Far_Com_fus</vt:lpstr>
      <vt:lpstr>FAR_d</vt:lpstr>
      <vt:lpstr>Far_d_fus</vt:lpstr>
      <vt:lpstr>FAR_Dec</vt:lpstr>
      <vt:lpstr>Far_Dec_fus</vt:lpstr>
      <vt:lpstr>FAR_e</vt:lpstr>
      <vt:lpstr>Far_e_fus</vt:lpstr>
      <vt:lpstr>FAR_f</vt:lpstr>
      <vt:lpstr>Far_f_fus</vt:lpstr>
      <vt:lpstr>FAR_Gi</vt:lpstr>
      <vt:lpstr>FAR_Gr</vt:lpstr>
      <vt:lpstr>Far_h</vt:lpstr>
      <vt:lpstr>Far_h_fus</vt:lpstr>
      <vt:lpstr>FAR_Ii</vt:lpstr>
      <vt:lpstr>FAR_Ii_perso</vt:lpstr>
      <vt:lpstr>FAR_Ir</vt:lpstr>
      <vt:lpstr>FAR_Ir_perso</vt:lpstr>
      <vt:lpstr>FAR_Mes_Conf_Desc</vt:lpstr>
      <vt:lpstr>Far_Mes_Conf_Desc_fus</vt:lpstr>
      <vt:lpstr>FAR_Mes_Conf_Niv</vt:lpstr>
      <vt:lpstr>Far_Mes_Conf_Niv_fus</vt:lpstr>
      <vt:lpstr>FAR_Mes_Diss_Desc</vt:lpstr>
      <vt:lpstr>Far_Mes_Diss_Desc_fus</vt:lpstr>
      <vt:lpstr>FAR_Mes_Diss_Niv</vt:lpstr>
      <vt:lpstr>Far_Mes_Diss_Niv_fus</vt:lpstr>
      <vt:lpstr>Far_Mes_Pall_Desc</vt:lpstr>
      <vt:lpstr>Far_Mes_Pall_Desc_fus</vt:lpstr>
      <vt:lpstr>FAR_Mes_Pall_Niv</vt:lpstr>
      <vt:lpstr>Far_Mes_Pall_Niv_fus</vt:lpstr>
      <vt:lpstr>FAR_Mes_Prev_Desc</vt:lpstr>
      <vt:lpstr>Far_Mes_Prev_Desc_fus</vt:lpstr>
      <vt:lpstr>FAR_Mes_Prev_Niv</vt:lpstr>
      <vt:lpstr>Far_Mes_Prev_Niv_fus</vt:lpstr>
      <vt:lpstr>FAR_Pi</vt:lpstr>
      <vt:lpstr>FAR_Pi_perso</vt:lpstr>
      <vt:lpstr>FAR_Pr</vt:lpstr>
      <vt:lpstr>FAR_Pr_perso</vt:lpstr>
      <vt:lpstr>Fic</vt:lpstr>
      <vt:lpstr>Ia</vt:lpstr>
      <vt:lpstr>Ie</vt:lpstr>
      <vt:lpstr>Iei</vt:lpstr>
      <vt:lpstr>Ig</vt:lpstr>
      <vt:lpstr>Ii</vt:lpstr>
      <vt:lpstr>Iml</vt:lpstr>
      <vt:lpstr>Inac</vt:lpstr>
      <vt:lpstr>Inco</vt:lpstr>
      <vt:lpstr>IndA</vt:lpstr>
      <vt:lpstr>IndF</vt:lpstr>
      <vt:lpstr>IndG</vt:lpstr>
      <vt:lpstr>IndI</vt:lpstr>
      <vt:lpstr>IndModGD</vt:lpstr>
      <vt:lpstr>IndQok</vt:lpstr>
      <vt:lpstr>IndR</vt:lpstr>
      <vt:lpstr>Indrepyes</vt:lpstr>
      <vt:lpstr>IndS</vt:lpstr>
      <vt:lpstr>IndSret</vt:lpstr>
      <vt:lpstr>Inex</vt:lpstr>
      <vt:lpstr>Inop</vt:lpstr>
      <vt:lpstr>Ir</vt:lpstr>
      <vt:lpstr>Isd</vt:lpstr>
      <vt:lpstr>It</vt:lpstr>
      <vt:lpstr>Ligne_du_scénario</vt:lpstr>
      <vt:lpstr>Med</vt:lpstr>
      <vt:lpstr>Mes</vt:lpstr>
      <vt:lpstr>Mes_Conf_à_sélectionner</vt:lpstr>
      <vt:lpstr>Mes_Diss_à_sélectionner</vt:lpstr>
      <vt:lpstr>Mes_Pall_à_sélectionner</vt:lpstr>
      <vt:lpstr>Mes_Prev_à_sélectionner</vt:lpstr>
      <vt:lpstr>Mesures</vt:lpstr>
      <vt:lpstr>Msa</vt:lpstr>
      <vt:lpstr>msg</vt:lpstr>
      <vt:lpstr>msgact1</vt:lpstr>
      <vt:lpstr>msgact10</vt:lpstr>
      <vt:lpstr>msgact11</vt:lpstr>
      <vt:lpstr>msgact12</vt:lpstr>
      <vt:lpstr>msgact13</vt:lpstr>
      <vt:lpstr>msgact14</vt:lpstr>
      <vt:lpstr>msgact15</vt:lpstr>
      <vt:lpstr>msgact16</vt:lpstr>
      <vt:lpstr>msgact17</vt:lpstr>
      <vt:lpstr>msgact18</vt:lpstr>
      <vt:lpstr>msgact2</vt:lpstr>
      <vt:lpstr>msgact3</vt:lpstr>
      <vt:lpstr>msgact4</vt:lpstr>
      <vt:lpstr>msgact5</vt:lpstr>
      <vt:lpstr>msgact6</vt:lpstr>
      <vt:lpstr>msgact7</vt:lpstr>
      <vt:lpstr>msgact8</vt:lpstr>
      <vt:lpstr>msgact9</vt:lpstr>
      <vt:lpstr>msgcsq1</vt:lpstr>
      <vt:lpstr>msgcsq2</vt:lpstr>
      <vt:lpstr>msgcsq3</vt:lpstr>
      <vt:lpstr>msgcsq4</vt:lpstr>
      <vt:lpstr>msgcsq5</vt:lpstr>
      <vt:lpstr>msgq1</vt:lpstr>
      <vt:lpstr>msgq2</vt:lpstr>
      <vt:lpstr>msgq3</vt:lpstr>
      <vt:lpstr>msgq4</vt:lpstr>
      <vt:lpstr>msgq5</vt:lpstr>
      <vt:lpstr>msgq6</vt:lpstr>
      <vt:lpstr>msgq7</vt:lpstr>
      <vt:lpstr>Msl</vt:lpstr>
      <vt:lpstr>Napp</vt:lpstr>
      <vt:lpstr>NbAV</vt:lpstr>
      <vt:lpstr>Pgc</vt:lpstr>
      <vt:lpstr>Pgd</vt:lpstr>
      <vt:lpstr>Pro</vt:lpstr>
      <vt:lpstr>Retab</vt:lpstr>
      <vt:lpstr>RetD</vt:lpstr>
      <vt:lpstr>RetIP</vt:lpstr>
      <vt:lpstr>Sap</vt:lpstr>
      <vt:lpstr>Scen</vt:lpstr>
      <vt:lpstr>Sel_GD</vt:lpstr>
      <vt:lpstr>Sel_ID_risk</vt:lpstr>
      <vt:lpstr>Sel_Num_ActP</vt:lpstr>
      <vt:lpstr>Sel_Num_Dice</vt:lpstr>
      <vt:lpstr>Sel_Num_event</vt:lpstr>
      <vt:lpstr>Sel_Num_Expo</vt:lpstr>
      <vt:lpstr>Sex</vt:lpstr>
      <vt:lpstr>Spu</vt:lpstr>
      <vt:lpstr>Tab_ActP</vt:lpstr>
      <vt:lpstr>Tab_ActS</vt:lpstr>
      <vt:lpstr>Tab_ad_dom</vt:lpstr>
      <vt:lpstr>Tab_base_scen</vt:lpstr>
      <vt:lpstr>Tab_cod_event</vt:lpstr>
      <vt:lpstr>Tab_conf</vt:lpstr>
      <vt:lpstr>Tab_DIC</vt:lpstr>
      <vt:lpstr>Tab_diss</vt:lpstr>
      <vt:lpstr>Tab_dom</vt:lpstr>
      <vt:lpstr>Tab_fonct</vt:lpstr>
      <vt:lpstr>Tab_nb_event</vt:lpstr>
      <vt:lpstr>Tab_pall</vt:lpstr>
      <vt:lpstr>Tab_prev</vt:lpstr>
      <vt:lpstr>Tab_scen</vt:lpstr>
      <vt:lpstr>Tab_scen_GD</vt:lpstr>
      <vt:lpstr>Tab_scen_invalid</vt:lpstr>
      <vt:lpstr>Tab_scen_trait</vt:lpstr>
      <vt:lpstr>Tab_SDom</vt:lpstr>
      <vt:lpstr>Tab_sel_event</vt:lpstr>
      <vt:lpstr>Tabexpo</vt:lpstr>
      <vt:lpstr>TabPS</vt:lpstr>
      <vt:lpstr>Tabscenanal</vt:lpstr>
      <vt:lpstr>Tclassif</vt:lpstr>
      <vt:lpstr>Tscensel</vt:lpstr>
      <vt:lpstr>Type_analyse_scénario</vt:lpstr>
      <vt:lpstr>Vis_risk!VAR_b_fus</vt:lpstr>
      <vt:lpstr>Vis_risk!VAR_c_fus</vt:lpstr>
      <vt:lpstr>Vis_risk!VAR_Com_fus</vt:lpstr>
      <vt:lpstr>Vis_risk!VAR_d_fus</vt:lpstr>
      <vt:lpstr>Vis_risk!VAR_Dec_fus</vt:lpstr>
      <vt:lpstr>Var_e_fus</vt:lpstr>
      <vt:lpstr>Var_ex_conf</vt:lpstr>
      <vt:lpstr>Var_ex_diss</vt:lpstr>
      <vt:lpstr>Var_ex_pall</vt:lpstr>
      <vt:lpstr>Var_ex_prev</vt:lpstr>
      <vt:lpstr>Vis_risk!VAR_g_fus</vt:lpstr>
      <vt:lpstr>Vis_risk!VAR_Gi</vt:lpstr>
      <vt:lpstr>Vis_risk!VAR_Gr</vt:lpstr>
      <vt:lpstr>Var_h_fus</vt:lpstr>
      <vt:lpstr>Vis_risk!VAR_Ii</vt:lpstr>
      <vt:lpstr>Vis_risk!VAR_Ii_perso</vt:lpstr>
      <vt:lpstr>Vis_risk!VAR_Ir</vt:lpstr>
      <vt:lpstr>Vis_risk!VAR_Ir_perso</vt:lpstr>
      <vt:lpstr>Vis_risk!VAR_Mes_Conf_Desc_fus</vt:lpstr>
      <vt:lpstr>Vis_risk!VAR_Mes_Conf_Niv_fus</vt:lpstr>
      <vt:lpstr>Vis_risk!VAR_Mes_Diss_Desc_fus</vt:lpstr>
      <vt:lpstr>Vis_risk!VAR_Mes_Diss_Niv_fus</vt:lpstr>
      <vt:lpstr>Vis_risk!VAR_Mes_Pall_Desc</vt:lpstr>
      <vt:lpstr>VAR_Mes_Pall_Desc_fus</vt:lpstr>
      <vt:lpstr>Vis_risk!VAR_Mes_Pall_Niv_fus</vt:lpstr>
      <vt:lpstr>Vis_risk!VAR_Mes_Prev_Desc_fus</vt:lpstr>
      <vt:lpstr>Vis_risk!VAR_Mes_Prev_Niv_fus</vt:lpstr>
      <vt:lpstr>Var_Num_risk</vt:lpstr>
      <vt:lpstr>Vis_risk!VAR_Pi</vt:lpstr>
      <vt:lpstr>Vis_risk!VAR_Pi_perso</vt:lpstr>
      <vt:lpstr>Vis_risk!VAR_Pr</vt:lpstr>
      <vt:lpstr>Vis_risk!VAR_Pr_perso</vt:lpstr>
      <vt:lpstr>Var_typ_scen</vt:lpstr>
      <vt:lpstr>Actifs_primaires!Zone_d_impression</vt:lpstr>
      <vt:lpstr>Actifs_support!Zone_d_impression</vt:lpstr>
      <vt:lpstr>Ana_risk!Zone_d_impression</vt:lpstr>
      <vt:lpstr>Dommages!Zone_d_impression</vt:lpstr>
      <vt:lpstr>Panorama!Zone_d_impression</vt:lpstr>
      <vt:lpstr>Vis_risk!Zone_d_impression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Base de connaissance Méhari 2010</dc:subject>
  <dc:creator>Jean-Philippe Jouas</dc:creator>
  <cp:lastModifiedBy>Jean-Philippe Jouas</cp:lastModifiedBy>
  <cp:lastPrinted>2021-08-27T08:26:40Z</cp:lastPrinted>
  <dcterms:created xsi:type="dcterms:W3CDTF">2008-05-12T16:19:35Z</dcterms:created>
  <dcterms:modified xsi:type="dcterms:W3CDTF">2022-04-10T20:44:29Z</dcterms:modified>
</cp:coreProperties>
</file>